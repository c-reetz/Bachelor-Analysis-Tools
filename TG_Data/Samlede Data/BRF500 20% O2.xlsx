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rneliusreetz/Desktop/DTU/Bachelor/Bachelor-Analysis-Tools/TG_Data/Samlede Data/"/>
    </mc:Choice>
  </mc:AlternateContent>
  <xr:revisionPtr revIDLastSave="0" documentId="13_ncr:1_{DCCF12A3-C0D5-AF48-998B-6648315A749A}" xr6:coauthVersionLast="47" xr6:coauthVersionMax="47" xr10:uidLastSave="{00000000-0000-0000-0000-000000000000}"/>
  <bookViews>
    <workbookView xWindow="0" yWindow="620" windowWidth="40960" windowHeight="22940" activeTab="1" xr2:uid="{00000000-000D-0000-FFFF-FFFF00000000}"/>
  </bookViews>
  <sheets>
    <sheet name="All Data" sheetId="6" r:id="rId1"/>
    <sheet name="Graphing" sheetId="7" r:id="rId2"/>
    <sheet name="200C (Odin)" sheetId="1" r:id="rId3"/>
    <sheet name="225C (Sif)" sheetId="2" r:id="rId4"/>
    <sheet name="225C (Odin)" sheetId="4" r:id="rId5"/>
    <sheet name="250C (Sif)" sheetId="3" r:id="rId6"/>
    <sheet name="250C (Odin)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8" i="7" l="1"/>
  <c r="T51" i="7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126" i="6"/>
  <c r="AG127" i="6"/>
  <c r="AG128" i="6"/>
  <c r="AG129" i="6"/>
  <c r="AG130" i="6"/>
  <c r="AG131" i="6"/>
  <c r="AG132" i="6"/>
  <c r="AG133" i="6"/>
  <c r="AG134" i="6"/>
  <c r="AG135" i="6"/>
  <c r="AG136" i="6"/>
  <c r="AG137" i="6"/>
  <c r="AG138" i="6"/>
  <c r="AG139" i="6"/>
  <c r="AG140" i="6"/>
  <c r="AG141" i="6"/>
  <c r="AG142" i="6"/>
  <c r="AG143" i="6"/>
  <c r="AG144" i="6"/>
  <c r="AG145" i="6"/>
  <c r="AG146" i="6"/>
  <c r="AG147" i="6"/>
  <c r="AG148" i="6"/>
  <c r="AG149" i="6"/>
  <c r="AG150" i="6"/>
  <c r="AG151" i="6"/>
  <c r="AG152" i="6"/>
  <c r="AG153" i="6"/>
  <c r="AG154" i="6"/>
  <c r="AG155" i="6"/>
  <c r="AG156" i="6"/>
  <c r="AG157" i="6"/>
  <c r="AG158" i="6"/>
  <c r="AG159" i="6"/>
  <c r="AG160" i="6"/>
  <c r="AG161" i="6"/>
  <c r="AG162" i="6"/>
  <c r="AG163" i="6"/>
  <c r="AG164" i="6"/>
  <c r="AG165" i="6"/>
  <c r="AG166" i="6"/>
  <c r="AG167" i="6"/>
  <c r="AG168" i="6"/>
  <c r="AG169" i="6"/>
  <c r="AG170" i="6"/>
  <c r="AG171" i="6"/>
  <c r="AG172" i="6"/>
  <c r="AG173" i="6"/>
  <c r="AG174" i="6"/>
  <c r="AG175" i="6"/>
  <c r="AG176" i="6"/>
  <c r="AG177" i="6"/>
  <c r="AG178" i="6"/>
  <c r="AG179" i="6"/>
  <c r="AG180" i="6"/>
  <c r="AG181" i="6"/>
  <c r="AG182" i="6"/>
  <c r="AG183" i="6"/>
  <c r="AG184" i="6"/>
  <c r="AG185" i="6"/>
  <c r="AG186" i="6"/>
  <c r="AG187" i="6"/>
  <c r="AG188" i="6"/>
  <c r="AG189" i="6"/>
  <c r="AG190" i="6"/>
  <c r="AG191" i="6"/>
  <c r="AG192" i="6"/>
  <c r="AG193" i="6"/>
  <c r="AG194" i="6"/>
  <c r="AG195" i="6"/>
  <c r="AG196" i="6"/>
  <c r="AG197" i="6"/>
  <c r="AG198" i="6"/>
  <c r="AG199" i="6"/>
  <c r="AG200" i="6"/>
  <c r="AG201" i="6"/>
  <c r="AG202" i="6"/>
  <c r="AG203" i="6"/>
  <c r="AG204" i="6"/>
  <c r="AG205" i="6"/>
  <c r="AG206" i="6"/>
  <c r="AG207" i="6"/>
  <c r="AG208" i="6"/>
  <c r="AG209" i="6"/>
  <c r="AG210" i="6"/>
  <c r="AG211" i="6"/>
  <c r="AG212" i="6"/>
  <c r="AG213" i="6"/>
  <c r="AG214" i="6"/>
  <c r="AG215" i="6"/>
  <c r="AG216" i="6"/>
  <c r="AG217" i="6"/>
  <c r="AG218" i="6"/>
  <c r="AG219" i="6"/>
  <c r="AG220" i="6"/>
  <c r="AG221" i="6"/>
  <c r="AG222" i="6"/>
  <c r="AG223" i="6"/>
  <c r="AG224" i="6"/>
  <c r="AG225" i="6"/>
  <c r="AG226" i="6"/>
  <c r="AG227" i="6"/>
  <c r="AG228" i="6"/>
  <c r="AG229" i="6"/>
  <c r="AG230" i="6"/>
  <c r="AG231" i="6"/>
  <c r="AG232" i="6"/>
  <c r="AG233" i="6"/>
  <c r="AG234" i="6"/>
  <c r="AG235" i="6"/>
  <c r="AG236" i="6"/>
  <c r="AG237" i="6"/>
  <c r="AG238" i="6"/>
  <c r="AG239" i="6"/>
  <c r="AG240" i="6"/>
  <c r="AG241" i="6"/>
  <c r="AG242" i="6"/>
  <c r="AG243" i="6"/>
  <c r="AG244" i="6"/>
  <c r="AG245" i="6"/>
  <c r="AG246" i="6"/>
  <c r="AG247" i="6"/>
  <c r="AG248" i="6"/>
  <c r="AG249" i="6"/>
  <c r="AG250" i="6"/>
  <c r="AG251" i="6"/>
  <c r="AG252" i="6"/>
  <c r="AG253" i="6"/>
  <c r="AG254" i="6"/>
  <c r="AG255" i="6"/>
  <c r="AG256" i="6"/>
  <c r="AG257" i="6"/>
  <c r="AG258" i="6"/>
  <c r="AG259" i="6"/>
  <c r="AG260" i="6"/>
  <c r="AG261" i="6"/>
  <c r="AG262" i="6"/>
  <c r="AG263" i="6"/>
  <c r="AG264" i="6"/>
  <c r="AG265" i="6"/>
  <c r="AG266" i="6"/>
  <c r="AG267" i="6"/>
  <c r="AG268" i="6"/>
  <c r="AG269" i="6"/>
  <c r="AG270" i="6"/>
  <c r="AG271" i="6"/>
  <c r="AG272" i="6"/>
  <c r="AG273" i="6"/>
  <c r="AG274" i="6"/>
  <c r="AG275" i="6"/>
  <c r="AG276" i="6"/>
  <c r="AG277" i="6"/>
  <c r="AG278" i="6"/>
  <c r="AG279" i="6"/>
  <c r="AG280" i="6"/>
  <c r="AG281" i="6"/>
  <c r="AG282" i="6"/>
  <c r="AG283" i="6"/>
  <c r="AG284" i="6"/>
  <c r="AG285" i="6"/>
  <c r="AG286" i="6"/>
  <c r="AG287" i="6"/>
  <c r="AG288" i="6"/>
  <c r="AG289" i="6"/>
  <c r="AG290" i="6"/>
  <c r="AG291" i="6"/>
  <c r="AG292" i="6"/>
  <c r="AG293" i="6"/>
  <c r="AG294" i="6"/>
  <c r="AG295" i="6"/>
  <c r="AG296" i="6"/>
  <c r="AG297" i="6"/>
  <c r="AG298" i="6"/>
  <c r="AG299" i="6"/>
  <c r="AG300" i="6"/>
  <c r="AG301" i="6"/>
  <c r="AG302" i="6"/>
  <c r="AG303" i="6"/>
  <c r="AG304" i="6"/>
  <c r="AG305" i="6"/>
  <c r="AG306" i="6"/>
  <c r="AG307" i="6"/>
  <c r="AG308" i="6"/>
  <c r="AG309" i="6"/>
  <c r="AG310" i="6"/>
  <c r="AG311" i="6"/>
  <c r="AG312" i="6"/>
  <c r="AG313" i="6"/>
  <c r="AG314" i="6"/>
  <c r="AG315" i="6"/>
  <c r="AG316" i="6"/>
  <c r="AG317" i="6"/>
  <c r="AG318" i="6"/>
  <c r="AG319" i="6"/>
  <c r="AG320" i="6"/>
  <c r="AG321" i="6"/>
  <c r="AG322" i="6"/>
  <c r="AG323" i="6"/>
  <c r="AG324" i="6"/>
  <c r="AG325" i="6"/>
  <c r="AG326" i="6"/>
  <c r="AG327" i="6"/>
  <c r="AG328" i="6"/>
  <c r="AG329" i="6"/>
  <c r="AG330" i="6"/>
  <c r="AG331" i="6"/>
  <c r="AG332" i="6"/>
  <c r="AG333" i="6"/>
  <c r="AG334" i="6"/>
  <c r="AG335" i="6"/>
  <c r="AG336" i="6"/>
  <c r="AG337" i="6"/>
  <c r="AG338" i="6"/>
  <c r="AG339" i="6"/>
  <c r="AG340" i="6"/>
  <c r="AG341" i="6"/>
  <c r="AG342" i="6"/>
  <c r="AG343" i="6"/>
  <c r="AG344" i="6"/>
  <c r="AG345" i="6"/>
  <c r="AG346" i="6"/>
  <c r="AG347" i="6"/>
  <c r="AG348" i="6"/>
  <c r="AG349" i="6"/>
  <c r="AG350" i="6"/>
  <c r="AG351" i="6"/>
  <c r="AG352" i="6"/>
  <c r="AG353" i="6"/>
  <c r="AG354" i="6"/>
  <c r="AG355" i="6"/>
  <c r="AG356" i="6"/>
  <c r="AG357" i="6"/>
  <c r="AG358" i="6"/>
  <c r="AG359" i="6"/>
  <c r="AG360" i="6"/>
  <c r="AG361" i="6"/>
  <c r="AG362" i="6"/>
  <c r="AG363" i="6"/>
  <c r="AG364" i="6"/>
  <c r="AG365" i="6"/>
  <c r="AG366" i="6"/>
  <c r="AG367" i="6"/>
  <c r="AG368" i="6"/>
  <c r="AG369" i="6"/>
  <c r="AG370" i="6"/>
  <c r="AG371" i="6"/>
  <c r="AG372" i="6"/>
  <c r="AG373" i="6"/>
  <c r="AG374" i="6"/>
  <c r="AG375" i="6"/>
  <c r="AG376" i="6"/>
  <c r="AG377" i="6"/>
  <c r="AG378" i="6"/>
  <c r="AG379" i="6"/>
  <c r="AG380" i="6"/>
  <c r="AG381" i="6"/>
  <c r="AG382" i="6"/>
  <c r="AG383" i="6"/>
  <c r="AG384" i="6"/>
  <c r="AG385" i="6"/>
  <c r="AG386" i="6"/>
  <c r="AG387" i="6"/>
  <c r="AG388" i="6"/>
  <c r="AG389" i="6"/>
  <c r="AG390" i="6"/>
  <c r="AG391" i="6"/>
  <c r="AG392" i="6"/>
  <c r="AG393" i="6"/>
  <c r="AG394" i="6"/>
  <c r="AG395" i="6"/>
  <c r="AG396" i="6"/>
  <c r="AG397" i="6"/>
  <c r="AG398" i="6"/>
  <c r="AG399" i="6"/>
  <c r="AG400" i="6"/>
  <c r="AG401" i="6"/>
  <c r="AG402" i="6"/>
  <c r="AG403" i="6"/>
  <c r="AG404" i="6"/>
  <c r="AG405" i="6"/>
  <c r="AG406" i="6"/>
  <c r="AG407" i="6"/>
  <c r="AG408" i="6"/>
  <c r="AG409" i="6"/>
  <c r="AG410" i="6"/>
  <c r="AG411" i="6"/>
  <c r="AG412" i="6"/>
  <c r="AG413" i="6"/>
  <c r="AG414" i="6"/>
  <c r="AG415" i="6"/>
  <c r="AG416" i="6"/>
  <c r="AG417" i="6"/>
  <c r="AG418" i="6"/>
  <c r="AG419" i="6"/>
  <c r="AG420" i="6"/>
  <c r="AG421" i="6"/>
  <c r="AG422" i="6"/>
  <c r="AG423" i="6"/>
  <c r="AG424" i="6"/>
  <c r="AG425" i="6"/>
  <c r="AG426" i="6"/>
  <c r="AG427" i="6"/>
  <c r="AG428" i="6"/>
  <c r="AG429" i="6"/>
  <c r="AG430" i="6"/>
  <c r="AG431" i="6"/>
  <c r="AG432" i="6"/>
  <c r="AG433" i="6"/>
  <c r="AG434" i="6"/>
  <c r="AG435" i="6"/>
  <c r="AG436" i="6"/>
  <c r="AG437" i="6"/>
  <c r="AG438" i="6"/>
  <c r="AG439" i="6"/>
  <c r="AG440" i="6"/>
  <c r="AG441" i="6"/>
  <c r="AG442" i="6"/>
  <c r="AG443" i="6"/>
  <c r="AG444" i="6"/>
  <c r="AG445" i="6"/>
  <c r="AG446" i="6"/>
  <c r="AG447" i="6"/>
  <c r="AG448" i="6"/>
  <c r="AG449" i="6"/>
  <c r="AG450" i="6"/>
  <c r="AG451" i="6"/>
  <c r="AG452" i="6"/>
  <c r="AG453" i="6"/>
  <c r="AG454" i="6"/>
  <c r="AG455" i="6"/>
  <c r="AG456" i="6"/>
  <c r="AG457" i="6"/>
  <c r="AG458" i="6"/>
  <c r="AG459" i="6"/>
  <c r="AG460" i="6"/>
  <c r="AG461" i="6"/>
  <c r="AG462" i="6"/>
  <c r="AG463" i="6"/>
  <c r="AG464" i="6"/>
  <c r="AG465" i="6"/>
  <c r="AG466" i="6"/>
  <c r="AG467" i="6"/>
  <c r="AG468" i="6"/>
  <c r="AG469" i="6"/>
  <c r="AG470" i="6"/>
  <c r="AG471" i="6"/>
  <c r="AG472" i="6"/>
  <c r="AG473" i="6"/>
  <c r="AG474" i="6"/>
  <c r="AG475" i="6"/>
  <c r="AG476" i="6"/>
  <c r="AG477" i="6"/>
  <c r="AG478" i="6"/>
  <c r="AG479" i="6"/>
  <c r="AG480" i="6"/>
  <c r="AG481" i="6"/>
  <c r="AG482" i="6"/>
  <c r="AG483" i="6"/>
  <c r="AG484" i="6"/>
  <c r="AG485" i="6"/>
  <c r="AG486" i="6"/>
  <c r="AG487" i="6"/>
  <c r="AG488" i="6"/>
  <c r="AG489" i="6"/>
  <c r="AG490" i="6"/>
  <c r="AG491" i="6"/>
  <c r="AG492" i="6"/>
  <c r="AG493" i="6"/>
  <c r="AG494" i="6"/>
  <c r="AG495" i="6"/>
  <c r="AG496" i="6"/>
  <c r="AG497" i="6"/>
  <c r="AG498" i="6"/>
  <c r="AG499" i="6"/>
  <c r="AG500" i="6"/>
  <c r="AG501" i="6"/>
  <c r="AG502" i="6"/>
  <c r="AG503" i="6"/>
  <c r="AG504" i="6"/>
  <c r="AG505" i="6"/>
  <c r="AG506" i="6"/>
  <c r="AG507" i="6"/>
  <c r="AG508" i="6"/>
  <c r="AG509" i="6"/>
  <c r="AG510" i="6"/>
  <c r="AG511" i="6"/>
  <c r="AG512" i="6"/>
  <c r="AG513" i="6"/>
  <c r="AG514" i="6"/>
  <c r="AG515" i="6"/>
  <c r="AG516" i="6"/>
  <c r="AG517" i="6"/>
  <c r="AG518" i="6"/>
  <c r="AG519" i="6"/>
  <c r="AG520" i="6"/>
  <c r="AG521" i="6"/>
  <c r="AG522" i="6"/>
  <c r="AG523" i="6"/>
  <c r="AG524" i="6"/>
  <c r="AG525" i="6"/>
  <c r="AG526" i="6"/>
  <c r="AG527" i="6"/>
  <c r="AG528" i="6"/>
  <c r="AG529" i="6"/>
  <c r="AG530" i="6"/>
  <c r="AG531" i="6"/>
  <c r="AG532" i="6"/>
  <c r="AG533" i="6"/>
  <c r="AG534" i="6"/>
  <c r="AG535" i="6"/>
  <c r="AG536" i="6"/>
  <c r="AG537" i="6"/>
  <c r="AG538" i="6"/>
  <c r="AG539" i="6"/>
  <c r="AG540" i="6"/>
  <c r="AG541" i="6"/>
  <c r="AG542" i="6"/>
  <c r="AG543" i="6"/>
  <c r="AG544" i="6"/>
  <c r="AG545" i="6"/>
  <c r="AG546" i="6"/>
  <c r="AG547" i="6"/>
  <c r="AG548" i="6"/>
  <c r="AG549" i="6"/>
  <c r="AG550" i="6"/>
  <c r="AG551" i="6"/>
  <c r="AG552" i="6"/>
  <c r="AG553" i="6"/>
  <c r="AG554" i="6"/>
  <c r="AG555" i="6"/>
  <c r="AG556" i="6"/>
  <c r="AG557" i="6"/>
  <c r="AG558" i="6"/>
  <c r="AG559" i="6"/>
  <c r="AG560" i="6"/>
  <c r="AG561" i="6"/>
  <c r="AG562" i="6"/>
  <c r="AG563" i="6"/>
  <c r="AG564" i="6"/>
  <c r="AG565" i="6"/>
  <c r="AG566" i="6"/>
  <c r="AG567" i="6"/>
  <c r="AG568" i="6"/>
  <c r="AG569" i="6"/>
  <c r="AG570" i="6"/>
  <c r="AG571" i="6"/>
  <c r="AG572" i="6"/>
  <c r="AG573" i="6"/>
  <c r="AG574" i="6"/>
  <c r="AG575" i="6"/>
  <c r="AG576" i="6"/>
  <c r="AG577" i="6"/>
  <c r="AG578" i="6"/>
  <c r="AG579" i="6"/>
  <c r="AG580" i="6"/>
  <c r="AG581" i="6"/>
  <c r="AG582" i="6"/>
  <c r="AG583" i="6"/>
  <c r="AG584" i="6"/>
  <c r="AG585" i="6"/>
  <c r="AG586" i="6"/>
  <c r="AG587" i="6"/>
  <c r="AG588" i="6"/>
  <c r="AG589" i="6"/>
  <c r="AG590" i="6"/>
  <c r="AG591" i="6"/>
  <c r="AG592" i="6"/>
  <c r="AG593" i="6"/>
  <c r="AG594" i="6"/>
  <c r="AG595" i="6"/>
  <c r="AG596" i="6"/>
  <c r="AG597" i="6"/>
  <c r="AG598" i="6"/>
  <c r="AG599" i="6"/>
  <c r="AG600" i="6"/>
  <c r="AG601" i="6"/>
  <c r="AG602" i="6"/>
  <c r="AG603" i="6"/>
  <c r="AG604" i="6"/>
  <c r="AG605" i="6"/>
  <c r="AG606" i="6"/>
  <c r="AG607" i="6"/>
  <c r="AG608" i="6"/>
  <c r="AG609" i="6"/>
  <c r="AG610" i="6"/>
  <c r="AG611" i="6"/>
  <c r="AG612" i="6"/>
  <c r="AG613" i="6"/>
  <c r="AG614" i="6"/>
  <c r="AG615" i="6"/>
  <c r="AG616" i="6"/>
  <c r="AG617" i="6"/>
  <c r="AG618" i="6"/>
  <c r="AG619" i="6"/>
  <c r="AG620" i="6"/>
  <c r="AG621" i="6"/>
  <c r="AG622" i="6"/>
  <c r="AG623" i="6"/>
  <c r="AG624" i="6"/>
  <c r="AG625" i="6"/>
  <c r="AG626" i="6"/>
  <c r="AG627" i="6"/>
  <c r="AG628" i="6"/>
  <c r="AG629" i="6"/>
  <c r="AG630" i="6"/>
  <c r="AG631" i="6"/>
  <c r="AG632" i="6"/>
  <c r="AG633" i="6"/>
  <c r="AG634" i="6"/>
  <c r="AG635" i="6"/>
  <c r="AG636" i="6"/>
  <c r="AG637" i="6"/>
  <c r="AG638" i="6"/>
  <c r="AG639" i="6"/>
  <c r="AG640" i="6"/>
  <c r="AG641" i="6"/>
  <c r="AG642" i="6"/>
  <c r="AG643" i="6"/>
  <c r="AG644" i="6"/>
  <c r="AG645" i="6"/>
  <c r="AG646" i="6"/>
  <c r="AG647" i="6"/>
  <c r="AG648" i="6"/>
  <c r="AG649" i="6"/>
  <c r="AG650" i="6"/>
  <c r="AG651" i="6"/>
  <c r="AG652" i="6"/>
  <c r="AG653" i="6"/>
  <c r="AG654" i="6"/>
  <c r="AG655" i="6"/>
  <c r="AG656" i="6"/>
  <c r="AG657" i="6"/>
  <c r="AG658" i="6"/>
  <c r="AG659" i="6"/>
  <c r="AG660" i="6"/>
  <c r="AG661" i="6"/>
  <c r="AG662" i="6"/>
  <c r="AG663" i="6"/>
  <c r="AG664" i="6"/>
  <c r="AG665" i="6"/>
  <c r="AG666" i="6"/>
  <c r="AG667" i="6"/>
  <c r="AG668" i="6"/>
  <c r="AG669" i="6"/>
  <c r="AG670" i="6"/>
  <c r="AG671" i="6"/>
  <c r="AG672" i="6"/>
  <c r="AG673" i="6"/>
  <c r="AG674" i="6"/>
  <c r="AG675" i="6"/>
  <c r="AG676" i="6"/>
  <c r="AG677" i="6"/>
  <c r="AG678" i="6"/>
  <c r="AG679" i="6"/>
  <c r="AG680" i="6"/>
  <c r="AG681" i="6"/>
  <c r="AG682" i="6"/>
  <c r="AG683" i="6"/>
  <c r="AG684" i="6"/>
  <c r="AG685" i="6"/>
  <c r="AG686" i="6"/>
  <c r="AG687" i="6"/>
  <c r="AG688" i="6"/>
  <c r="AG689" i="6"/>
  <c r="AG690" i="6"/>
  <c r="AG691" i="6"/>
  <c r="AG692" i="6"/>
  <c r="AG693" i="6"/>
  <c r="AG694" i="6"/>
  <c r="AG695" i="6"/>
  <c r="AG696" i="6"/>
  <c r="AG697" i="6"/>
  <c r="AG698" i="6"/>
  <c r="AG699" i="6"/>
  <c r="AG700" i="6"/>
  <c r="AG701" i="6"/>
  <c r="AG702" i="6"/>
  <c r="AG703" i="6"/>
  <c r="AG704" i="6"/>
  <c r="AG705" i="6"/>
  <c r="AG706" i="6"/>
  <c r="AG707" i="6"/>
  <c r="AG708" i="6"/>
  <c r="AG709" i="6"/>
  <c r="AG710" i="6"/>
  <c r="AG711" i="6"/>
  <c r="AG712" i="6"/>
  <c r="AG713" i="6"/>
  <c r="AG714" i="6"/>
  <c r="AG715" i="6"/>
  <c r="AG716" i="6"/>
  <c r="AG717" i="6"/>
  <c r="AG718" i="6"/>
  <c r="AG719" i="6"/>
  <c r="AG720" i="6"/>
  <c r="AG721" i="6"/>
  <c r="AG722" i="6"/>
  <c r="AG723" i="6"/>
  <c r="AG724" i="6"/>
  <c r="AG725" i="6"/>
  <c r="AG726" i="6"/>
  <c r="AG727" i="6"/>
  <c r="AG728" i="6"/>
  <c r="AG729" i="6"/>
  <c r="AG730" i="6"/>
  <c r="AG731" i="6"/>
  <c r="AG732" i="6"/>
  <c r="AG733" i="6"/>
  <c r="AG734" i="6"/>
  <c r="AG735" i="6"/>
  <c r="AG736" i="6"/>
  <c r="AG737" i="6"/>
  <c r="AG738" i="6"/>
  <c r="AG739" i="6"/>
  <c r="AG740" i="6"/>
  <c r="AG741" i="6"/>
  <c r="AG742" i="6"/>
  <c r="AG743" i="6"/>
  <c r="AG744" i="6"/>
  <c r="AG745" i="6"/>
  <c r="AG746" i="6"/>
  <c r="AG747" i="6"/>
  <c r="AG748" i="6"/>
  <c r="AG749" i="6"/>
  <c r="AG750" i="6"/>
  <c r="AG751" i="6"/>
  <c r="AG752" i="6"/>
  <c r="AG753" i="6"/>
  <c r="AG754" i="6"/>
  <c r="AG755" i="6"/>
  <c r="AG756" i="6"/>
  <c r="AG757" i="6"/>
  <c r="AG758" i="6"/>
  <c r="AG759" i="6"/>
  <c r="AG760" i="6"/>
  <c r="AG761" i="6"/>
  <c r="AG762" i="6"/>
  <c r="AG763" i="6"/>
  <c r="AG764" i="6"/>
  <c r="AG765" i="6"/>
  <c r="AG766" i="6"/>
  <c r="AG767" i="6"/>
  <c r="AG768" i="6"/>
  <c r="AG769" i="6"/>
  <c r="AG770" i="6"/>
  <c r="AG771" i="6"/>
  <c r="AG772" i="6"/>
  <c r="AG773" i="6"/>
  <c r="AG774" i="6"/>
  <c r="AG775" i="6"/>
  <c r="AG776" i="6"/>
  <c r="AG777" i="6"/>
  <c r="AG778" i="6"/>
  <c r="AG779" i="6"/>
  <c r="AG780" i="6"/>
  <c r="AG781" i="6"/>
  <c r="AG782" i="6"/>
  <c r="AG783" i="6"/>
  <c r="AG784" i="6"/>
  <c r="AG785" i="6"/>
  <c r="AG786" i="6"/>
  <c r="AG787" i="6"/>
  <c r="AG788" i="6"/>
  <c r="AG789" i="6"/>
  <c r="AG790" i="6"/>
  <c r="AG791" i="6"/>
  <c r="AG792" i="6"/>
  <c r="AG793" i="6"/>
  <c r="AG794" i="6"/>
  <c r="AG795" i="6"/>
  <c r="AG796" i="6"/>
  <c r="AG797" i="6"/>
  <c r="AG798" i="6"/>
  <c r="AG799" i="6"/>
  <c r="AG800" i="6"/>
  <c r="AG801" i="6"/>
  <c r="AG802" i="6"/>
  <c r="AG803" i="6"/>
  <c r="AG804" i="6"/>
  <c r="AG805" i="6"/>
  <c r="AG806" i="6"/>
  <c r="AG807" i="6"/>
  <c r="AG808" i="6"/>
  <c r="AG809" i="6"/>
  <c r="AG810" i="6"/>
  <c r="AG811" i="6"/>
  <c r="AG812" i="6"/>
  <c r="AG813" i="6"/>
  <c r="AG814" i="6"/>
  <c r="AG815" i="6"/>
  <c r="AG816" i="6"/>
  <c r="AG817" i="6"/>
  <c r="AG818" i="6"/>
  <c r="AG819" i="6"/>
  <c r="AG820" i="6"/>
  <c r="AG821" i="6"/>
  <c r="AG822" i="6"/>
  <c r="AG823" i="6"/>
  <c r="AG824" i="6"/>
  <c r="AG825" i="6"/>
  <c r="AG826" i="6"/>
  <c r="AG827" i="6"/>
  <c r="AG828" i="6"/>
  <c r="AG829" i="6"/>
  <c r="AG830" i="6"/>
  <c r="AG831" i="6"/>
  <c r="AG832" i="6"/>
  <c r="AG833" i="6"/>
  <c r="AG834" i="6"/>
  <c r="AG835" i="6"/>
  <c r="AG836" i="6"/>
  <c r="AG837" i="6"/>
  <c r="AG838" i="6"/>
  <c r="AG839" i="6"/>
  <c r="AG840" i="6"/>
  <c r="AG841" i="6"/>
  <c r="AG842" i="6"/>
  <c r="AG843" i="6"/>
  <c r="AG844" i="6"/>
  <c r="AG845" i="6"/>
  <c r="AG846" i="6"/>
  <c r="AG847" i="6"/>
  <c r="AG848" i="6"/>
  <c r="AG849" i="6"/>
  <c r="AG850" i="6"/>
  <c r="AG851" i="6"/>
  <c r="AG852" i="6"/>
  <c r="AG853" i="6"/>
  <c r="AG854" i="6"/>
  <c r="AG855" i="6"/>
  <c r="AG856" i="6"/>
  <c r="AG857" i="6"/>
  <c r="AG858" i="6"/>
  <c r="AG859" i="6"/>
  <c r="AG860" i="6"/>
  <c r="AG861" i="6"/>
  <c r="AG862" i="6"/>
  <c r="AG863" i="6"/>
  <c r="AG864" i="6"/>
  <c r="AG865" i="6"/>
  <c r="AG866" i="6"/>
  <c r="AG867" i="6"/>
  <c r="AG868" i="6"/>
  <c r="AG869" i="6"/>
  <c r="AG870" i="6"/>
  <c r="AG871" i="6"/>
  <c r="AG872" i="6"/>
  <c r="AG873" i="6"/>
  <c r="AG874" i="6"/>
  <c r="AG875" i="6"/>
  <c r="AG876" i="6"/>
  <c r="AG877" i="6"/>
  <c r="AG878" i="6"/>
  <c r="AG879" i="6"/>
  <c r="AG880" i="6"/>
  <c r="AG881" i="6"/>
  <c r="AG882" i="6"/>
  <c r="AG883" i="6"/>
  <c r="AG884" i="6"/>
  <c r="AG885" i="6"/>
  <c r="AG886" i="6"/>
  <c r="AG887" i="6"/>
  <c r="AG888" i="6"/>
  <c r="AG889" i="6"/>
  <c r="AG890" i="6"/>
  <c r="AG891" i="6"/>
  <c r="AG892" i="6"/>
  <c r="AG893" i="6"/>
  <c r="AG894" i="6"/>
  <c r="AG895" i="6"/>
  <c r="AG896" i="6"/>
  <c r="AG897" i="6"/>
  <c r="AG898" i="6"/>
  <c r="AG899" i="6"/>
  <c r="AG900" i="6"/>
  <c r="AG901" i="6"/>
  <c r="AG902" i="6"/>
  <c r="AG903" i="6"/>
  <c r="AG904" i="6"/>
  <c r="AG905" i="6"/>
  <c r="AG906" i="6"/>
  <c r="AG907" i="6"/>
  <c r="AG908" i="6"/>
  <c r="AG909" i="6"/>
  <c r="AG910" i="6"/>
  <c r="AG911" i="6"/>
  <c r="AG912" i="6"/>
  <c r="AG913" i="6"/>
  <c r="AG914" i="6"/>
  <c r="AG915" i="6"/>
  <c r="AG916" i="6"/>
  <c r="AG917" i="6"/>
  <c r="AG918" i="6"/>
  <c r="AG919" i="6"/>
  <c r="AG920" i="6"/>
  <c r="AG921" i="6"/>
  <c r="AG922" i="6"/>
  <c r="AG923" i="6"/>
  <c r="AG924" i="6"/>
  <c r="AG925" i="6"/>
  <c r="AG926" i="6"/>
  <c r="AG927" i="6"/>
  <c r="AG928" i="6"/>
  <c r="AG929" i="6"/>
  <c r="AG930" i="6"/>
  <c r="AG931" i="6"/>
  <c r="AG932" i="6"/>
  <c r="AG933" i="6"/>
  <c r="AG934" i="6"/>
  <c r="AG935" i="6"/>
  <c r="AG936" i="6"/>
  <c r="AG937" i="6"/>
  <c r="AG938" i="6"/>
  <c r="AG939" i="6"/>
  <c r="AG940" i="6"/>
  <c r="AG941" i="6"/>
  <c r="AG942" i="6"/>
  <c r="AG943" i="6"/>
  <c r="AG944" i="6"/>
  <c r="AG945" i="6"/>
  <c r="AG946" i="6"/>
  <c r="AG947" i="6"/>
  <c r="AG948" i="6"/>
  <c r="AG949" i="6"/>
  <c r="AG950" i="6"/>
  <c r="AG951" i="6"/>
  <c r="AG952" i="6"/>
  <c r="AG953" i="6"/>
  <c r="AG954" i="6"/>
  <c r="AG955" i="6"/>
  <c r="AG956" i="6"/>
  <c r="AG957" i="6"/>
  <c r="AG958" i="6"/>
  <c r="AG959" i="6"/>
  <c r="AG960" i="6"/>
  <c r="AG961" i="6"/>
  <c r="AG962" i="6"/>
  <c r="AG963" i="6"/>
  <c r="AG964" i="6"/>
  <c r="AG965" i="6"/>
  <c r="AG966" i="6"/>
  <c r="AG967" i="6"/>
  <c r="AG968" i="6"/>
  <c r="AG969" i="6"/>
  <c r="AG970" i="6"/>
  <c r="AG971" i="6"/>
  <c r="AG972" i="6"/>
  <c r="AG973" i="6"/>
  <c r="AG974" i="6"/>
  <c r="AG975" i="6"/>
  <c r="AG976" i="6"/>
  <c r="AG977" i="6"/>
  <c r="AG978" i="6"/>
  <c r="AG979" i="6"/>
  <c r="AG980" i="6"/>
  <c r="AG981" i="6"/>
  <c r="AG982" i="6"/>
  <c r="AG983" i="6"/>
  <c r="AG984" i="6"/>
  <c r="AG985" i="6"/>
  <c r="AG986" i="6"/>
  <c r="AG987" i="6"/>
  <c r="AG988" i="6"/>
  <c r="AG989" i="6"/>
  <c r="AG990" i="6"/>
  <c r="AG991" i="6"/>
  <c r="AG992" i="6"/>
  <c r="AG993" i="6"/>
  <c r="AG994" i="6"/>
  <c r="AG995" i="6"/>
  <c r="AG996" i="6"/>
  <c r="AG997" i="6"/>
  <c r="AG998" i="6"/>
  <c r="AG999" i="6"/>
  <c r="AG1000" i="6"/>
  <c r="AG1001" i="6"/>
  <c r="AG1002" i="6"/>
  <c r="AG1003" i="6"/>
  <c r="AG1004" i="6"/>
  <c r="AG1005" i="6"/>
  <c r="AG1006" i="6"/>
  <c r="AG1007" i="6"/>
  <c r="AG1008" i="6"/>
  <c r="AG1009" i="6"/>
  <c r="AG1010" i="6"/>
  <c r="AG1011" i="6"/>
  <c r="AG1012" i="6"/>
  <c r="AG1013" i="6"/>
  <c r="AG1014" i="6"/>
  <c r="AG1015" i="6"/>
  <c r="AG1016" i="6"/>
  <c r="AG1017" i="6"/>
  <c r="AG1018" i="6"/>
  <c r="AG1019" i="6"/>
  <c r="AG1020" i="6"/>
  <c r="AG1021" i="6"/>
  <c r="AG1022" i="6"/>
  <c r="AG1023" i="6"/>
  <c r="AG1024" i="6"/>
  <c r="AG1025" i="6"/>
  <c r="AG1026" i="6"/>
  <c r="AG1027" i="6"/>
  <c r="AG1028" i="6"/>
  <c r="AG1029" i="6"/>
  <c r="AG1030" i="6"/>
  <c r="AG1031" i="6"/>
  <c r="AG1032" i="6"/>
  <c r="AG1033" i="6"/>
  <c r="AG1034" i="6"/>
  <c r="AG1035" i="6"/>
  <c r="AG1036" i="6"/>
  <c r="AG1037" i="6"/>
  <c r="AG1038" i="6"/>
  <c r="AG1039" i="6"/>
  <c r="AG1040" i="6"/>
  <c r="AG1041" i="6"/>
  <c r="AG1042" i="6"/>
  <c r="AG1043" i="6"/>
  <c r="AG1044" i="6"/>
  <c r="AG1045" i="6"/>
  <c r="AG1046" i="6"/>
  <c r="AG1047" i="6"/>
  <c r="AG1048" i="6"/>
  <c r="AG1049" i="6"/>
  <c r="AG1050" i="6"/>
  <c r="AG1051" i="6"/>
  <c r="AG1052" i="6"/>
  <c r="AG1053" i="6"/>
  <c r="AG1054" i="6"/>
  <c r="AG1055" i="6"/>
  <c r="AG1056" i="6"/>
  <c r="AG1057" i="6"/>
  <c r="AG1058" i="6"/>
  <c r="AG1059" i="6"/>
  <c r="AG1060" i="6"/>
  <c r="AG1061" i="6"/>
  <c r="AG1062" i="6"/>
  <c r="AG1063" i="6"/>
  <c r="AG1064" i="6"/>
  <c r="AG1065" i="6"/>
  <c r="AG1066" i="6"/>
  <c r="AG1067" i="6"/>
  <c r="AG1068" i="6"/>
  <c r="AG1069" i="6"/>
  <c r="AG1070" i="6"/>
  <c r="AG1071" i="6"/>
  <c r="AG1072" i="6"/>
  <c r="AG1073" i="6"/>
  <c r="AG1074" i="6"/>
  <c r="AG1075" i="6"/>
  <c r="AG1076" i="6"/>
  <c r="AG1077" i="6"/>
  <c r="AG1078" i="6"/>
  <c r="AG1079" i="6"/>
  <c r="AG1080" i="6"/>
  <c r="AG1081" i="6"/>
  <c r="AG1082" i="6"/>
  <c r="AG1083" i="6"/>
  <c r="AG1084" i="6"/>
  <c r="AG1085" i="6"/>
  <c r="AG1086" i="6"/>
  <c r="AG1087" i="6"/>
  <c r="AG1088" i="6"/>
  <c r="AG1089" i="6"/>
  <c r="AG1090" i="6"/>
  <c r="AG1091" i="6"/>
  <c r="AG1092" i="6"/>
  <c r="AG1093" i="6"/>
  <c r="AG1094" i="6"/>
  <c r="AG1095" i="6"/>
  <c r="AG1096" i="6"/>
  <c r="AG1097" i="6"/>
  <c r="AG1098" i="6"/>
  <c r="AG1099" i="6"/>
  <c r="AG1100" i="6"/>
  <c r="AG1101" i="6"/>
  <c r="AG1102" i="6"/>
  <c r="AG1103" i="6"/>
  <c r="AG1104" i="6"/>
  <c r="AG1105" i="6"/>
  <c r="AG1106" i="6"/>
  <c r="AG1107" i="6"/>
  <c r="AG1108" i="6"/>
  <c r="AG1109" i="6"/>
  <c r="AG1110" i="6"/>
  <c r="AG1111" i="6"/>
  <c r="AG1112" i="6"/>
  <c r="AG1113" i="6"/>
  <c r="AG1114" i="6"/>
  <c r="AG1115" i="6"/>
  <c r="AG1116" i="6"/>
  <c r="AG1117" i="6"/>
  <c r="AG1118" i="6"/>
  <c r="AG1119" i="6"/>
  <c r="AG1120" i="6"/>
  <c r="AG1121" i="6"/>
  <c r="AG1122" i="6"/>
  <c r="AG1123" i="6"/>
  <c r="AG1124" i="6"/>
  <c r="AG1125" i="6"/>
  <c r="AG1126" i="6"/>
  <c r="AG1127" i="6"/>
  <c r="AG1128" i="6"/>
  <c r="AG1129" i="6"/>
  <c r="AG1130" i="6"/>
  <c r="AG1131" i="6"/>
  <c r="AG1132" i="6"/>
  <c r="AG1133" i="6"/>
  <c r="AG1134" i="6"/>
  <c r="AG1135" i="6"/>
  <c r="AG1136" i="6"/>
  <c r="AG1137" i="6"/>
  <c r="AG1138" i="6"/>
  <c r="AG1139" i="6"/>
  <c r="AG1140" i="6"/>
  <c r="AG1141" i="6"/>
  <c r="AG1142" i="6"/>
  <c r="AG1143" i="6"/>
  <c r="AG1144" i="6"/>
  <c r="AG1145" i="6"/>
  <c r="AG1146" i="6"/>
  <c r="AG1147" i="6"/>
  <c r="AG1148" i="6"/>
  <c r="AG1149" i="6"/>
  <c r="AG1150" i="6"/>
  <c r="AG1151" i="6"/>
  <c r="AG1152" i="6"/>
  <c r="AG1153" i="6"/>
  <c r="AG1154" i="6"/>
  <c r="AG1155" i="6"/>
  <c r="AG1156" i="6"/>
  <c r="AG1157" i="6"/>
  <c r="AG1158" i="6"/>
  <c r="AG1159" i="6"/>
  <c r="AG1160" i="6"/>
  <c r="AG1161" i="6"/>
  <c r="AG1162" i="6"/>
  <c r="AG1163" i="6"/>
  <c r="AG1164" i="6"/>
  <c r="AG1165" i="6"/>
  <c r="AG1166" i="6"/>
  <c r="AG1167" i="6"/>
  <c r="AG1168" i="6"/>
  <c r="AG1169" i="6"/>
  <c r="AG1170" i="6"/>
  <c r="AG1171" i="6"/>
  <c r="AG1172" i="6"/>
  <c r="AG1173" i="6"/>
  <c r="AG1174" i="6"/>
  <c r="AG1175" i="6"/>
  <c r="AG1176" i="6"/>
  <c r="AG1177" i="6"/>
  <c r="AG1178" i="6"/>
  <c r="AG1179" i="6"/>
  <c r="AG1180" i="6"/>
  <c r="AG1181" i="6"/>
  <c r="AG1182" i="6"/>
  <c r="AG1183" i="6"/>
  <c r="AG1184" i="6"/>
  <c r="AG1185" i="6"/>
  <c r="AG1186" i="6"/>
  <c r="AG1187" i="6"/>
  <c r="AG1188" i="6"/>
  <c r="AG1189" i="6"/>
  <c r="AG1190" i="6"/>
  <c r="AG1191" i="6"/>
  <c r="AG1192" i="6"/>
  <c r="AG1193" i="6"/>
  <c r="AG1194" i="6"/>
  <c r="AG1195" i="6"/>
  <c r="AG1196" i="6"/>
  <c r="AG1197" i="6"/>
  <c r="AG1198" i="6"/>
  <c r="AG1199" i="6"/>
  <c r="AG1200" i="6"/>
  <c r="AG1201" i="6"/>
  <c r="AG1202" i="6"/>
  <c r="AG1203" i="6"/>
  <c r="AG4" i="6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33" i="6"/>
  <c r="Z34" i="6"/>
  <c r="Z35" i="6"/>
  <c r="Z36" i="6"/>
  <c r="Z37" i="6"/>
  <c r="Z38" i="6"/>
  <c r="Z39" i="6"/>
  <c r="Z40" i="6"/>
  <c r="Z41" i="6"/>
  <c r="Z42" i="6"/>
  <c r="Z43" i="6"/>
  <c r="Z44" i="6"/>
  <c r="Z45" i="6"/>
  <c r="Z46" i="6"/>
  <c r="Z47" i="6"/>
  <c r="Z48" i="6"/>
  <c r="Z49" i="6"/>
  <c r="Z50" i="6"/>
  <c r="Z51" i="6"/>
  <c r="Z52" i="6"/>
  <c r="Z53" i="6"/>
  <c r="Z54" i="6"/>
  <c r="Z55" i="6"/>
  <c r="Z56" i="6"/>
  <c r="Z57" i="6"/>
  <c r="Z58" i="6"/>
  <c r="Z59" i="6"/>
  <c r="Z60" i="6"/>
  <c r="Z61" i="6"/>
  <c r="Z62" i="6"/>
  <c r="Z63" i="6"/>
  <c r="Z64" i="6"/>
  <c r="Z65" i="6"/>
  <c r="Z66" i="6"/>
  <c r="Z67" i="6"/>
  <c r="Z68" i="6"/>
  <c r="Z69" i="6"/>
  <c r="Z70" i="6"/>
  <c r="Z71" i="6"/>
  <c r="Z72" i="6"/>
  <c r="Z73" i="6"/>
  <c r="Z74" i="6"/>
  <c r="Z75" i="6"/>
  <c r="Z76" i="6"/>
  <c r="Z77" i="6"/>
  <c r="Z78" i="6"/>
  <c r="Z79" i="6"/>
  <c r="Z80" i="6"/>
  <c r="Z81" i="6"/>
  <c r="Z82" i="6"/>
  <c r="Z83" i="6"/>
  <c r="Z84" i="6"/>
  <c r="Z85" i="6"/>
  <c r="Z86" i="6"/>
  <c r="Z87" i="6"/>
  <c r="Z88" i="6"/>
  <c r="Z89" i="6"/>
  <c r="Z90" i="6"/>
  <c r="Z91" i="6"/>
  <c r="Z92" i="6"/>
  <c r="Z93" i="6"/>
  <c r="Z94" i="6"/>
  <c r="Z95" i="6"/>
  <c r="Z96" i="6"/>
  <c r="Z97" i="6"/>
  <c r="Z98" i="6"/>
  <c r="Z99" i="6"/>
  <c r="Z100" i="6"/>
  <c r="Z101" i="6"/>
  <c r="Z102" i="6"/>
  <c r="Z103" i="6"/>
  <c r="Z104" i="6"/>
  <c r="Z105" i="6"/>
  <c r="Z106" i="6"/>
  <c r="Z107" i="6"/>
  <c r="Z108" i="6"/>
  <c r="Z109" i="6"/>
  <c r="Z110" i="6"/>
  <c r="Z111" i="6"/>
  <c r="Z112" i="6"/>
  <c r="Z113" i="6"/>
  <c r="Z114" i="6"/>
  <c r="Z115" i="6"/>
  <c r="Z116" i="6"/>
  <c r="Z117" i="6"/>
  <c r="Z118" i="6"/>
  <c r="Z119" i="6"/>
  <c r="Z120" i="6"/>
  <c r="Z121" i="6"/>
  <c r="Z122" i="6"/>
  <c r="Z123" i="6"/>
  <c r="Z124" i="6"/>
  <c r="Z125" i="6"/>
  <c r="Z126" i="6"/>
  <c r="Z127" i="6"/>
  <c r="Z128" i="6"/>
  <c r="Z129" i="6"/>
  <c r="Z130" i="6"/>
  <c r="Z131" i="6"/>
  <c r="Z132" i="6"/>
  <c r="Z133" i="6"/>
  <c r="Z134" i="6"/>
  <c r="Z135" i="6"/>
  <c r="Z136" i="6"/>
  <c r="Z137" i="6"/>
  <c r="Z138" i="6"/>
  <c r="Z139" i="6"/>
  <c r="Z140" i="6"/>
  <c r="Z141" i="6"/>
  <c r="Z142" i="6"/>
  <c r="Z143" i="6"/>
  <c r="Z144" i="6"/>
  <c r="Z145" i="6"/>
  <c r="Z146" i="6"/>
  <c r="Z147" i="6"/>
  <c r="Z148" i="6"/>
  <c r="Z149" i="6"/>
  <c r="Z150" i="6"/>
  <c r="Z151" i="6"/>
  <c r="Z152" i="6"/>
  <c r="Z153" i="6"/>
  <c r="Z154" i="6"/>
  <c r="Z155" i="6"/>
  <c r="Z156" i="6"/>
  <c r="Z157" i="6"/>
  <c r="Z158" i="6"/>
  <c r="Z159" i="6"/>
  <c r="Z160" i="6"/>
  <c r="Z161" i="6"/>
  <c r="Z162" i="6"/>
  <c r="Z163" i="6"/>
  <c r="Z164" i="6"/>
  <c r="Z165" i="6"/>
  <c r="Z166" i="6"/>
  <c r="Z167" i="6"/>
  <c r="Z168" i="6"/>
  <c r="Z169" i="6"/>
  <c r="Z170" i="6"/>
  <c r="Z171" i="6"/>
  <c r="Z172" i="6"/>
  <c r="Z173" i="6"/>
  <c r="Z174" i="6"/>
  <c r="Z175" i="6"/>
  <c r="Z176" i="6"/>
  <c r="Z177" i="6"/>
  <c r="Z178" i="6"/>
  <c r="Z179" i="6"/>
  <c r="Z180" i="6"/>
  <c r="Z181" i="6"/>
  <c r="Z182" i="6"/>
  <c r="Z183" i="6"/>
  <c r="Z184" i="6"/>
  <c r="Z185" i="6"/>
  <c r="Z186" i="6"/>
  <c r="Z187" i="6"/>
  <c r="Z188" i="6"/>
  <c r="Z189" i="6"/>
  <c r="Z190" i="6"/>
  <c r="Z191" i="6"/>
  <c r="Z192" i="6"/>
  <c r="Z193" i="6"/>
  <c r="Z194" i="6"/>
  <c r="Z195" i="6"/>
  <c r="Z196" i="6"/>
  <c r="Z197" i="6"/>
  <c r="Z198" i="6"/>
  <c r="Z199" i="6"/>
  <c r="Z200" i="6"/>
  <c r="Z201" i="6"/>
  <c r="Z202" i="6"/>
  <c r="Z203" i="6"/>
  <c r="Z204" i="6"/>
  <c r="Z205" i="6"/>
  <c r="Z206" i="6"/>
  <c r="Z207" i="6"/>
  <c r="Z208" i="6"/>
  <c r="Z209" i="6"/>
  <c r="Z210" i="6"/>
  <c r="Z211" i="6"/>
  <c r="Z212" i="6"/>
  <c r="Z213" i="6"/>
  <c r="Z214" i="6"/>
  <c r="Z215" i="6"/>
  <c r="Z216" i="6"/>
  <c r="Z217" i="6"/>
  <c r="Z218" i="6"/>
  <c r="Z219" i="6"/>
  <c r="Z220" i="6"/>
  <c r="Z221" i="6"/>
  <c r="Z222" i="6"/>
  <c r="Z223" i="6"/>
  <c r="Z224" i="6"/>
  <c r="Z225" i="6"/>
  <c r="Z226" i="6"/>
  <c r="Z227" i="6"/>
  <c r="Z228" i="6"/>
  <c r="Z229" i="6"/>
  <c r="Z230" i="6"/>
  <c r="Z231" i="6"/>
  <c r="Z232" i="6"/>
  <c r="Z233" i="6"/>
  <c r="Z234" i="6"/>
  <c r="Z235" i="6"/>
  <c r="Z236" i="6"/>
  <c r="Z237" i="6"/>
  <c r="Z238" i="6"/>
  <c r="Z239" i="6"/>
  <c r="Z240" i="6"/>
  <c r="Z241" i="6"/>
  <c r="Z242" i="6"/>
  <c r="Z243" i="6"/>
  <c r="Z244" i="6"/>
  <c r="Z245" i="6"/>
  <c r="Z246" i="6"/>
  <c r="Z247" i="6"/>
  <c r="Z248" i="6"/>
  <c r="Z249" i="6"/>
  <c r="Z250" i="6"/>
  <c r="Z251" i="6"/>
  <c r="Z252" i="6"/>
  <c r="Z253" i="6"/>
  <c r="Z254" i="6"/>
  <c r="Z255" i="6"/>
  <c r="Z256" i="6"/>
  <c r="Z257" i="6"/>
  <c r="Z258" i="6"/>
  <c r="Z259" i="6"/>
  <c r="Z260" i="6"/>
  <c r="Z261" i="6"/>
  <c r="Z262" i="6"/>
  <c r="Z263" i="6"/>
  <c r="Z264" i="6"/>
  <c r="Z265" i="6"/>
  <c r="Z266" i="6"/>
  <c r="Z267" i="6"/>
  <c r="Z268" i="6"/>
  <c r="Z269" i="6"/>
  <c r="Z270" i="6"/>
  <c r="Z271" i="6"/>
  <c r="Z272" i="6"/>
  <c r="Z273" i="6"/>
  <c r="Z274" i="6"/>
  <c r="Z275" i="6"/>
  <c r="Z276" i="6"/>
  <c r="Z277" i="6"/>
  <c r="Z278" i="6"/>
  <c r="Z279" i="6"/>
  <c r="Z280" i="6"/>
  <c r="Z281" i="6"/>
  <c r="Z282" i="6"/>
  <c r="Z283" i="6"/>
  <c r="Z284" i="6"/>
  <c r="Z285" i="6"/>
  <c r="Z286" i="6"/>
  <c r="Z287" i="6"/>
  <c r="Z288" i="6"/>
  <c r="Z289" i="6"/>
  <c r="Z290" i="6"/>
  <c r="Z291" i="6"/>
  <c r="Z292" i="6"/>
  <c r="Z293" i="6"/>
  <c r="Z294" i="6"/>
  <c r="Z295" i="6"/>
  <c r="Z296" i="6"/>
  <c r="Z297" i="6"/>
  <c r="Z298" i="6"/>
  <c r="Z299" i="6"/>
  <c r="Z300" i="6"/>
  <c r="Z301" i="6"/>
  <c r="Z302" i="6"/>
  <c r="Z303" i="6"/>
  <c r="Z304" i="6"/>
  <c r="Z305" i="6"/>
  <c r="Z306" i="6"/>
  <c r="Z307" i="6"/>
  <c r="Z308" i="6"/>
  <c r="Z309" i="6"/>
  <c r="Z310" i="6"/>
  <c r="Z311" i="6"/>
  <c r="Z312" i="6"/>
  <c r="Z313" i="6"/>
  <c r="Z314" i="6"/>
  <c r="Z315" i="6"/>
  <c r="Z316" i="6"/>
  <c r="Z317" i="6"/>
  <c r="Z318" i="6"/>
  <c r="Z319" i="6"/>
  <c r="Z320" i="6"/>
  <c r="Z321" i="6"/>
  <c r="Z322" i="6"/>
  <c r="Z323" i="6"/>
  <c r="Z324" i="6"/>
  <c r="Z325" i="6"/>
  <c r="Z326" i="6"/>
  <c r="Z327" i="6"/>
  <c r="Z328" i="6"/>
  <c r="Z329" i="6"/>
  <c r="Z330" i="6"/>
  <c r="Z331" i="6"/>
  <c r="Z332" i="6"/>
  <c r="Z333" i="6"/>
  <c r="Z334" i="6"/>
  <c r="Z335" i="6"/>
  <c r="Z336" i="6"/>
  <c r="Z337" i="6"/>
  <c r="Z338" i="6"/>
  <c r="Z339" i="6"/>
  <c r="Z340" i="6"/>
  <c r="Z341" i="6"/>
  <c r="Z342" i="6"/>
  <c r="Z343" i="6"/>
  <c r="Z344" i="6"/>
  <c r="Z345" i="6"/>
  <c r="Z346" i="6"/>
  <c r="Z347" i="6"/>
  <c r="Z348" i="6"/>
  <c r="Z349" i="6"/>
  <c r="Z350" i="6"/>
  <c r="Z351" i="6"/>
  <c r="Z352" i="6"/>
  <c r="Z353" i="6"/>
  <c r="Z354" i="6"/>
  <c r="Z355" i="6"/>
  <c r="Z356" i="6"/>
  <c r="Z357" i="6"/>
  <c r="Z358" i="6"/>
  <c r="Z359" i="6"/>
  <c r="Z360" i="6"/>
  <c r="Z361" i="6"/>
  <c r="Z362" i="6"/>
  <c r="Z363" i="6"/>
  <c r="Z364" i="6"/>
  <c r="Z365" i="6"/>
  <c r="Z366" i="6"/>
  <c r="Z367" i="6"/>
  <c r="Z368" i="6"/>
  <c r="Z369" i="6"/>
  <c r="Z370" i="6"/>
  <c r="Z371" i="6"/>
  <c r="Z372" i="6"/>
  <c r="Z373" i="6"/>
  <c r="Z374" i="6"/>
  <c r="Z375" i="6"/>
  <c r="Z376" i="6"/>
  <c r="Z377" i="6"/>
  <c r="Z378" i="6"/>
  <c r="Z379" i="6"/>
  <c r="Z380" i="6"/>
  <c r="Z381" i="6"/>
  <c r="Z382" i="6"/>
  <c r="Z383" i="6"/>
  <c r="Z384" i="6"/>
  <c r="Z385" i="6"/>
  <c r="Z386" i="6"/>
  <c r="Z387" i="6"/>
  <c r="Z388" i="6"/>
  <c r="Z389" i="6"/>
  <c r="Z390" i="6"/>
  <c r="Z391" i="6"/>
  <c r="Z392" i="6"/>
  <c r="Z393" i="6"/>
  <c r="Z394" i="6"/>
  <c r="Z395" i="6"/>
  <c r="Z396" i="6"/>
  <c r="Z397" i="6"/>
  <c r="Z398" i="6"/>
  <c r="Z399" i="6"/>
  <c r="Z400" i="6"/>
  <c r="Z401" i="6"/>
  <c r="Z402" i="6"/>
  <c r="Z403" i="6"/>
  <c r="Z404" i="6"/>
  <c r="Z405" i="6"/>
  <c r="Z406" i="6"/>
  <c r="Z407" i="6"/>
  <c r="Z408" i="6"/>
  <c r="Z409" i="6"/>
  <c r="Z410" i="6"/>
  <c r="Z411" i="6"/>
  <c r="Z412" i="6"/>
  <c r="Z413" i="6"/>
  <c r="Z414" i="6"/>
  <c r="Z415" i="6"/>
  <c r="Z416" i="6"/>
  <c r="Z417" i="6"/>
  <c r="Z418" i="6"/>
  <c r="Z419" i="6"/>
  <c r="Z420" i="6"/>
  <c r="Z421" i="6"/>
  <c r="Z422" i="6"/>
  <c r="Z423" i="6"/>
  <c r="Z424" i="6"/>
  <c r="Z425" i="6"/>
  <c r="Z426" i="6"/>
  <c r="Z427" i="6"/>
  <c r="Z428" i="6"/>
  <c r="Z429" i="6"/>
  <c r="Z430" i="6"/>
  <c r="Z431" i="6"/>
  <c r="Z432" i="6"/>
  <c r="Z433" i="6"/>
  <c r="Z434" i="6"/>
  <c r="Z435" i="6"/>
  <c r="Z436" i="6"/>
  <c r="Z437" i="6"/>
  <c r="Z438" i="6"/>
  <c r="Z439" i="6"/>
  <c r="Z440" i="6"/>
  <c r="Z441" i="6"/>
  <c r="Z442" i="6"/>
  <c r="Z443" i="6"/>
  <c r="Z444" i="6"/>
  <c r="Z445" i="6"/>
  <c r="Z446" i="6"/>
  <c r="Z447" i="6"/>
  <c r="Z448" i="6"/>
  <c r="Z449" i="6"/>
  <c r="Z450" i="6"/>
  <c r="Z451" i="6"/>
  <c r="Z452" i="6"/>
  <c r="Z453" i="6"/>
  <c r="Z454" i="6"/>
  <c r="Z455" i="6"/>
  <c r="Z456" i="6"/>
  <c r="Z457" i="6"/>
  <c r="Z458" i="6"/>
  <c r="Z459" i="6"/>
  <c r="Z460" i="6"/>
  <c r="Z461" i="6"/>
  <c r="Z462" i="6"/>
  <c r="Z463" i="6"/>
  <c r="Z464" i="6"/>
  <c r="Z465" i="6"/>
  <c r="Z466" i="6"/>
  <c r="Z467" i="6"/>
  <c r="Z468" i="6"/>
  <c r="Z469" i="6"/>
  <c r="Z470" i="6"/>
  <c r="Z471" i="6"/>
  <c r="Z472" i="6"/>
  <c r="Z473" i="6"/>
  <c r="Z474" i="6"/>
  <c r="Z475" i="6"/>
  <c r="Z476" i="6"/>
  <c r="Z477" i="6"/>
  <c r="Z478" i="6"/>
  <c r="Z479" i="6"/>
  <c r="Z480" i="6"/>
  <c r="Z481" i="6"/>
  <c r="Z482" i="6"/>
  <c r="Z483" i="6"/>
  <c r="Z484" i="6"/>
  <c r="Z485" i="6"/>
  <c r="Z486" i="6"/>
  <c r="Z487" i="6"/>
  <c r="Z488" i="6"/>
  <c r="Z489" i="6"/>
  <c r="Z490" i="6"/>
  <c r="Z491" i="6"/>
  <c r="Z492" i="6"/>
  <c r="Z493" i="6"/>
  <c r="Z494" i="6"/>
  <c r="Z495" i="6"/>
  <c r="Z496" i="6"/>
  <c r="Z497" i="6"/>
  <c r="Z498" i="6"/>
  <c r="Z499" i="6"/>
  <c r="Z500" i="6"/>
  <c r="Z501" i="6"/>
  <c r="Z502" i="6"/>
  <c r="Z503" i="6"/>
  <c r="Z504" i="6"/>
  <c r="Z505" i="6"/>
  <c r="Z506" i="6"/>
  <c r="Z507" i="6"/>
  <c r="Z508" i="6"/>
  <c r="Z509" i="6"/>
  <c r="Z510" i="6"/>
  <c r="Z511" i="6"/>
  <c r="Z512" i="6"/>
  <c r="Z513" i="6"/>
  <c r="Z514" i="6"/>
  <c r="Z515" i="6"/>
  <c r="Z516" i="6"/>
  <c r="Z517" i="6"/>
  <c r="Z518" i="6"/>
  <c r="Z519" i="6"/>
  <c r="Z520" i="6"/>
  <c r="Z521" i="6"/>
  <c r="Z522" i="6"/>
  <c r="Z523" i="6"/>
  <c r="Z524" i="6"/>
  <c r="Z525" i="6"/>
  <c r="Z526" i="6"/>
  <c r="Z527" i="6"/>
  <c r="Z528" i="6"/>
  <c r="Z529" i="6"/>
  <c r="Z530" i="6"/>
  <c r="Z531" i="6"/>
  <c r="Z532" i="6"/>
  <c r="Z533" i="6"/>
  <c r="Z534" i="6"/>
  <c r="Z535" i="6"/>
  <c r="Z536" i="6"/>
  <c r="Z537" i="6"/>
  <c r="Z538" i="6"/>
  <c r="Z539" i="6"/>
  <c r="Z540" i="6"/>
  <c r="Z541" i="6"/>
  <c r="Z542" i="6"/>
  <c r="Z543" i="6"/>
  <c r="Z544" i="6"/>
  <c r="Z545" i="6"/>
  <c r="Z546" i="6"/>
  <c r="Z547" i="6"/>
  <c r="Z548" i="6"/>
  <c r="Z549" i="6"/>
  <c r="Z550" i="6"/>
  <c r="Z551" i="6"/>
  <c r="Z552" i="6"/>
  <c r="Z553" i="6"/>
  <c r="Z554" i="6"/>
  <c r="Z555" i="6"/>
  <c r="Z556" i="6"/>
  <c r="Z557" i="6"/>
  <c r="Z558" i="6"/>
  <c r="Z559" i="6"/>
  <c r="Z560" i="6"/>
  <c r="Z561" i="6"/>
  <c r="Z562" i="6"/>
  <c r="Z563" i="6"/>
  <c r="Z564" i="6"/>
  <c r="Z565" i="6"/>
  <c r="Z566" i="6"/>
  <c r="Z567" i="6"/>
  <c r="Z568" i="6"/>
  <c r="Z569" i="6"/>
  <c r="Z570" i="6"/>
  <c r="Z571" i="6"/>
  <c r="Z572" i="6"/>
  <c r="Z573" i="6"/>
  <c r="Z574" i="6"/>
  <c r="Z575" i="6"/>
  <c r="Z576" i="6"/>
  <c r="Z577" i="6"/>
  <c r="Z578" i="6"/>
  <c r="Z579" i="6"/>
  <c r="Z580" i="6"/>
  <c r="Z581" i="6"/>
  <c r="Z582" i="6"/>
  <c r="Z583" i="6"/>
  <c r="Z584" i="6"/>
  <c r="Z585" i="6"/>
  <c r="Z586" i="6"/>
  <c r="Z587" i="6"/>
  <c r="Z588" i="6"/>
  <c r="Z589" i="6"/>
  <c r="Z590" i="6"/>
  <c r="Z591" i="6"/>
  <c r="Z592" i="6"/>
  <c r="Z593" i="6"/>
  <c r="Z594" i="6"/>
  <c r="Z595" i="6"/>
  <c r="Z596" i="6"/>
  <c r="Z597" i="6"/>
  <c r="Z598" i="6"/>
  <c r="Z599" i="6"/>
  <c r="Z600" i="6"/>
  <c r="Z601" i="6"/>
  <c r="Z602" i="6"/>
  <c r="Z603" i="6"/>
  <c r="Z604" i="6"/>
  <c r="Z605" i="6"/>
  <c r="Z606" i="6"/>
  <c r="Z607" i="6"/>
  <c r="Z608" i="6"/>
  <c r="Z609" i="6"/>
  <c r="Z610" i="6"/>
  <c r="Z611" i="6"/>
  <c r="Z612" i="6"/>
  <c r="Z613" i="6"/>
  <c r="Z614" i="6"/>
  <c r="Z615" i="6"/>
  <c r="Z616" i="6"/>
  <c r="Z617" i="6"/>
  <c r="Z618" i="6"/>
  <c r="Z619" i="6"/>
  <c r="Z620" i="6"/>
  <c r="Z621" i="6"/>
  <c r="Z622" i="6"/>
  <c r="Z623" i="6"/>
  <c r="Z624" i="6"/>
  <c r="Z625" i="6"/>
  <c r="Z626" i="6"/>
  <c r="Z627" i="6"/>
  <c r="Z628" i="6"/>
  <c r="Z629" i="6"/>
  <c r="Z630" i="6"/>
  <c r="Z631" i="6"/>
  <c r="Z632" i="6"/>
  <c r="Z633" i="6"/>
  <c r="Z634" i="6"/>
  <c r="Z635" i="6"/>
  <c r="Z636" i="6"/>
  <c r="Z637" i="6"/>
  <c r="Z638" i="6"/>
  <c r="Z639" i="6"/>
  <c r="Z640" i="6"/>
  <c r="Z641" i="6"/>
  <c r="Z642" i="6"/>
  <c r="Z643" i="6"/>
  <c r="Z644" i="6"/>
  <c r="Z645" i="6"/>
  <c r="Z646" i="6"/>
  <c r="Z647" i="6"/>
  <c r="Z648" i="6"/>
  <c r="Z649" i="6"/>
  <c r="Z650" i="6"/>
  <c r="Z651" i="6"/>
  <c r="Z652" i="6"/>
  <c r="Z653" i="6"/>
  <c r="Z654" i="6"/>
  <c r="Z655" i="6"/>
  <c r="Z656" i="6"/>
  <c r="Z657" i="6"/>
  <c r="Z658" i="6"/>
  <c r="Z659" i="6"/>
  <c r="Z660" i="6"/>
  <c r="Z661" i="6"/>
  <c r="Z662" i="6"/>
  <c r="Z663" i="6"/>
  <c r="Z664" i="6"/>
  <c r="Z665" i="6"/>
  <c r="Z666" i="6"/>
  <c r="Z667" i="6"/>
  <c r="Z668" i="6"/>
  <c r="Z669" i="6"/>
  <c r="Z670" i="6"/>
  <c r="Z671" i="6"/>
  <c r="Z672" i="6"/>
  <c r="Z673" i="6"/>
  <c r="Z674" i="6"/>
  <c r="Z675" i="6"/>
  <c r="Z676" i="6"/>
  <c r="Z677" i="6"/>
  <c r="Z678" i="6"/>
  <c r="Z679" i="6"/>
  <c r="Z680" i="6"/>
  <c r="Z681" i="6"/>
  <c r="Z682" i="6"/>
  <c r="Z683" i="6"/>
  <c r="Z684" i="6"/>
  <c r="Z685" i="6"/>
  <c r="Z686" i="6"/>
  <c r="Z687" i="6"/>
  <c r="Z688" i="6"/>
  <c r="Z689" i="6"/>
  <c r="Z690" i="6"/>
  <c r="Z691" i="6"/>
  <c r="Z692" i="6"/>
  <c r="Z693" i="6"/>
  <c r="Z694" i="6"/>
  <c r="Z695" i="6"/>
  <c r="Z696" i="6"/>
  <c r="Z697" i="6"/>
  <c r="Z698" i="6"/>
  <c r="Z699" i="6"/>
  <c r="Z700" i="6"/>
  <c r="Z701" i="6"/>
  <c r="Z702" i="6"/>
  <c r="Z703" i="6"/>
  <c r="Z704" i="6"/>
  <c r="Z705" i="6"/>
  <c r="Z706" i="6"/>
  <c r="Z707" i="6"/>
  <c r="Z708" i="6"/>
  <c r="Z709" i="6"/>
  <c r="Z710" i="6"/>
  <c r="Z711" i="6"/>
  <c r="Z712" i="6"/>
  <c r="Z713" i="6"/>
  <c r="Z714" i="6"/>
  <c r="Z715" i="6"/>
  <c r="Z716" i="6"/>
  <c r="Z717" i="6"/>
  <c r="Z718" i="6"/>
  <c r="Z719" i="6"/>
  <c r="Z720" i="6"/>
  <c r="Z721" i="6"/>
  <c r="Z722" i="6"/>
  <c r="Z723" i="6"/>
  <c r="Z724" i="6"/>
  <c r="Z725" i="6"/>
  <c r="Z726" i="6"/>
  <c r="Z727" i="6"/>
  <c r="Z728" i="6"/>
  <c r="Z729" i="6"/>
  <c r="Z730" i="6"/>
  <c r="Z731" i="6"/>
  <c r="Z732" i="6"/>
  <c r="Z733" i="6"/>
  <c r="Z734" i="6"/>
  <c r="Z735" i="6"/>
  <c r="Z736" i="6"/>
  <c r="Z737" i="6"/>
  <c r="Z738" i="6"/>
  <c r="Z739" i="6"/>
  <c r="Z740" i="6"/>
  <c r="Z741" i="6"/>
  <c r="Z742" i="6"/>
  <c r="Z743" i="6"/>
  <c r="Z744" i="6"/>
  <c r="Z745" i="6"/>
  <c r="Z746" i="6"/>
  <c r="Z747" i="6"/>
  <c r="Z748" i="6"/>
  <c r="Z749" i="6"/>
  <c r="Z750" i="6"/>
  <c r="Z751" i="6"/>
  <c r="Z752" i="6"/>
  <c r="Z753" i="6"/>
  <c r="Z754" i="6"/>
  <c r="Z755" i="6"/>
  <c r="Z756" i="6"/>
  <c r="Z757" i="6"/>
  <c r="Z758" i="6"/>
  <c r="Z759" i="6"/>
  <c r="Z760" i="6"/>
  <c r="Z761" i="6"/>
  <c r="Z762" i="6"/>
  <c r="Z763" i="6"/>
  <c r="Z764" i="6"/>
  <c r="Z765" i="6"/>
  <c r="Z766" i="6"/>
  <c r="Z767" i="6"/>
  <c r="Z768" i="6"/>
  <c r="Z769" i="6"/>
  <c r="Z770" i="6"/>
  <c r="Z771" i="6"/>
  <c r="Z772" i="6"/>
  <c r="Z773" i="6"/>
  <c r="Z774" i="6"/>
  <c r="Z775" i="6"/>
  <c r="Z776" i="6"/>
  <c r="Z777" i="6"/>
  <c r="Z778" i="6"/>
  <c r="Z779" i="6"/>
  <c r="Z780" i="6"/>
  <c r="Z781" i="6"/>
  <c r="Z782" i="6"/>
  <c r="Z783" i="6"/>
  <c r="Z784" i="6"/>
  <c r="Z785" i="6"/>
  <c r="Z786" i="6"/>
  <c r="Z787" i="6"/>
  <c r="Z788" i="6"/>
  <c r="Z789" i="6"/>
  <c r="Z790" i="6"/>
  <c r="Z791" i="6"/>
  <c r="Z792" i="6"/>
  <c r="Z793" i="6"/>
  <c r="Z794" i="6"/>
  <c r="Z795" i="6"/>
  <c r="Z796" i="6"/>
  <c r="Z797" i="6"/>
  <c r="Z798" i="6"/>
  <c r="Z799" i="6"/>
  <c r="Z800" i="6"/>
  <c r="Z801" i="6"/>
  <c r="Z802" i="6"/>
  <c r="Z803" i="6"/>
  <c r="Z804" i="6"/>
  <c r="Z805" i="6"/>
  <c r="Z806" i="6"/>
  <c r="Z807" i="6"/>
  <c r="Z808" i="6"/>
  <c r="Z809" i="6"/>
  <c r="Z810" i="6"/>
  <c r="Z811" i="6"/>
  <c r="Z812" i="6"/>
  <c r="Z813" i="6"/>
  <c r="Z814" i="6"/>
  <c r="Z815" i="6"/>
  <c r="Z816" i="6"/>
  <c r="Z817" i="6"/>
  <c r="Z818" i="6"/>
  <c r="Z819" i="6"/>
  <c r="Z820" i="6"/>
  <c r="Z821" i="6"/>
  <c r="Z822" i="6"/>
  <c r="Z823" i="6"/>
  <c r="Z824" i="6"/>
  <c r="Z825" i="6"/>
  <c r="Z826" i="6"/>
  <c r="Z827" i="6"/>
  <c r="Z828" i="6"/>
  <c r="Z829" i="6"/>
  <c r="Z830" i="6"/>
  <c r="Z831" i="6"/>
  <c r="Z832" i="6"/>
  <c r="Z833" i="6"/>
  <c r="Z834" i="6"/>
  <c r="Z835" i="6"/>
  <c r="Z836" i="6"/>
  <c r="Z837" i="6"/>
  <c r="Z838" i="6"/>
  <c r="Z839" i="6"/>
  <c r="Z840" i="6"/>
  <c r="Z841" i="6"/>
  <c r="Z842" i="6"/>
  <c r="Z843" i="6"/>
  <c r="Z844" i="6"/>
  <c r="Z845" i="6"/>
  <c r="Z846" i="6"/>
  <c r="Z847" i="6"/>
  <c r="Z848" i="6"/>
  <c r="Z849" i="6"/>
  <c r="Z850" i="6"/>
  <c r="Z851" i="6"/>
  <c r="Z852" i="6"/>
  <c r="Z853" i="6"/>
  <c r="Z854" i="6"/>
  <c r="Z855" i="6"/>
  <c r="Z856" i="6"/>
  <c r="Z857" i="6"/>
  <c r="Z858" i="6"/>
  <c r="Z859" i="6"/>
  <c r="Z860" i="6"/>
  <c r="Z861" i="6"/>
  <c r="Z862" i="6"/>
  <c r="Z863" i="6"/>
  <c r="Z864" i="6"/>
  <c r="Z865" i="6"/>
  <c r="Z866" i="6"/>
  <c r="Z867" i="6"/>
  <c r="Z868" i="6"/>
  <c r="Z869" i="6"/>
  <c r="Z870" i="6"/>
  <c r="Z871" i="6"/>
  <c r="Z872" i="6"/>
  <c r="Z873" i="6"/>
  <c r="Z874" i="6"/>
  <c r="Z875" i="6"/>
  <c r="Z876" i="6"/>
  <c r="Z877" i="6"/>
  <c r="Z878" i="6"/>
  <c r="Z879" i="6"/>
  <c r="Z880" i="6"/>
  <c r="Z881" i="6"/>
  <c r="Z882" i="6"/>
  <c r="Z883" i="6"/>
  <c r="Z884" i="6"/>
  <c r="Z885" i="6"/>
  <c r="Z886" i="6"/>
  <c r="Z887" i="6"/>
  <c r="Z888" i="6"/>
  <c r="Z889" i="6"/>
  <c r="Z890" i="6"/>
  <c r="Z891" i="6"/>
  <c r="Z892" i="6"/>
  <c r="Z893" i="6"/>
  <c r="Z894" i="6"/>
  <c r="Z895" i="6"/>
  <c r="Z896" i="6"/>
  <c r="Z897" i="6"/>
  <c r="Z898" i="6"/>
  <c r="Z899" i="6"/>
  <c r="Z900" i="6"/>
  <c r="Z901" i="6"/>
  <c r="Z902" i="6"/>
  <c r="Z903" i="6"/>
  <c r="Z904" i="6"/>
  <c r="Z905" i="6"/>
  <c r="Z906" i="6"/>
  <c r="Z907" i="6"/>
  <c r="Z908" i="6"/>
  <c r="Z909" i="6"/>
  <c r="Z910" i="6"/>
  <c r="Z911" i="6"/>
  <c r="Z912" i="6"/>
  <c r="Z913" i="6"/>
  <c r="Z914" i="6"/>
  <c r="Z915" i="6"/>
  <c r="Z916" i="6"/>
  <c r="Z917" i="6"/>
  <c r="Z918" i="6"/>
  <c r="Z919" i="6"/>
  <c r="Z920" i="6"/>
  <c r="Z921" i="6"/>
  <c r="Z922" i="6"/>
  <c r="Z923" i="6"/>
  <c r="Z924" i="6"/>
  <c r="Z925" i="6"/>
  <c r="Z926" i="6"/>
  <c r="Z927" i="6"/>
  <c r="Z928" i="6"/>
  <c r="Z929" i="6"/>
  <c r="Z930" i="6"/>
  <c r="Z931" i="6"/>
  <c r="Z932" i="6"/>
  <c r="Z933" i="6"/>
  <c r="Z934" i="6"/>
  <c r="Z935" i="6"/>
  <c r="Z936" i="6"/>
  <c r="Z937" i="6"/>
  <c r="Z938" i="6"/>
  <c r="Z939" i="6"/>
  <c r="Z940" i="6"/>
  <c r="Z941" i="6"/>
  <c r="Z942" i="6"/>
  <c r="Z943" i="6"/>
  <c r="Z944" i="6"/>
  <c r="Z945" i="6"/>
  <c r="Z946" i="6"/>
  <c r="Z947" i="6"/>
  <c r="Z948" i="6"/>
  <c r="Z949" i="6"/>
  <c r="Z950" i="6"/>
  <c r="Z951" i="6"/>
  <c r="Z952" i="6"/>
  <c r="Z953" i="6"/>
  <c r="Z954" i="6"/>
  <c r="Z955" i="6"/>
  <c r="Z956" i="6"/>
  <c r="Z957" i="6"/>
  <c r="Z958" i="6"/>
  <c r="Z959" i="6"/>
  <c r="Z960" i="6"/>
  <c r="Z961" i="6"/>
  <c r="Z962" i="6"/>
  <c r="Z963" i="6"/>
  <c r="Z964" i="6"/>
  <c r="Z965" i="6"/>
  <c r="Z966" i="6"/>
  <c r="Z967" i="6"/>
  <c r="Z968" i="6"/>
  <c r="Z969" i="6"/>
  <c r="Z970" i="6"/>
  <c r="Z971" i="6"/>
  <c r="Z972" i="6"/>
  <c r="Z973" i="6"/>
  <c r="Z974" i="6"/>
  <c r="Z975" i="6"/>
  <c r="Z976" i="6"/>
  <c r="Z977" i="6"/>
  <c r="Z978" i="6"/>
  <c r="Z979" i="6"/>
  <c r="Z980" i="6"/>
  <c r="Z981" i="6"/>
  <c r="Z982" i="6"/>
  <c r="Z983" i="6"/>
  <c r="Z984" i="6"/>
  <c r="Z985" i="6"/>
  <c r="Z986" i="6"/>
  <c r="Z987" i="6"/>
  <c r="Z988" i="6"/>
  <c r="Z989" i="6"/>
  <c r="Z990" i="6"/>
  <c r="Z991" i="6"/>
  <c r="Z992" i="6"/>
  <c r="Z993" i="6"/>
  <c r="Z994" i="6"/>
  <c r="Z995" i="6"/>
  <c r="Z996" i="6"/>
  <c r="Z997" i="6"/>
  <c r="Z998" i="6"/>
  <c r="Z999" i="6"/>
  <c r="Z1000" i="6"/>
  <c r="Z1001" i="6"/>
  <c r="Z1002" i="6"/>
  <c r="Z1003" i="6"/>
  <c r="Z1004" i="6"/>
  <c r="Z1005" i="6"/>
  <c r="Z1006" i="6"/>
  <c r="Z1007" i="6"/>
  <c r="Z1008" i="6"/>
  <c r="Z1009" i="6"/>
  <c r="Z1010" i="6"/>
  <c r="Z1011" i="6"/>
  <c r="Z1012" i="6"/>
  <c r="Z1013" i="6"/>
  <c r="Z1014" i="6"/>
  <c r="Z1015" i="6"/>
  <c r="Z1016" i="6"/>
  <c r="Z1017" i="6"/>
  <c r="Z1018" i="6"/>
  <c r="Z1019" i="6"/>
  <c r="Z1020" i="6"/>
  <c r="Z1021" i="6"/>
  <c r="Z1022" i="6"/>
  <c r="Z1023" i="6"/>
  <c r="Z1024" i="6"/>
  <c r="Z1025" i="6"/>
  <c r="Z1026" i="6"/>
  <c r="Z1027" i="6"/>
  <c r="Z1028" i="6"/>
  <c r="Z1029" i="6"/>
  <c r="Z1030" i="6"/>
  <c r="Z1031" i="6"/>
  <c r="Z1032" i="6"/>
  <c r="Z1033" i="6"/>
  <c r="Z1034" i="6"/>
  <c r="Z1035" i="6"/>
  <c r="Z1036" i="6"/>
  <c r="Z1037" i="6"/>
  <c r="Z1038" i="6"/>
  <c r="Z1039" i="6"/>
  <c r="Z1040" i="6"/>
  <c r="Z1041" i="6"/>
  <c r="Z1042" i="6"/>
  <c r="Z1043" i="6"/>
  <c r="Z1044" i="6"/>
  <c r="Z1045" i="6"/>
  <c r="Z1046" i="6"/>
  <c r="Z1047" i="6"/>
  <c r="Z1048" i="6"/>
  <c r="Z1049" i="6"/>
  <c r="Z1050" i="6"/>
  <c r="Z1051" i="6"/>
  <c r="Z1052" i="6"/>
  <c r="Z1053" i="6"/>
  <c r="Z1054" i="6"/>
  <c r="Z1055" i="6"/>
  <c r="Z1056" i="6"/>
  <c r="Z1057" i="6"/>
  <c r="Z1058" i="6"/>
  <c r="Z1059" i="6"/>
  <c r="Z1060" i="6"/>
  <c r="Z1061" i="6"/>
  <c r="Z1062" i="6"/>
  <c r="Z1063" i="6"/>
  <c r="Z1064" i="6"/>
  <c r="Z1065" i="6"/>
  <c r="Z1066" i="6"/>
  <c r="Z1067" i="6"/>
  <c r="Z1068" i="6"/>
  <c r="Z1069" i="6"/>
  <c r="Z1070" i="6"/>
  <c r="Z1071" i="6"/>
  <c r="Z1072" i="6"/>
  <c r="Z1073" i="6"/>
  <c r="Z1074" i="6"/>
  <c r="Z1075" i="6"/>
  <c r="Z1076" i="6"/>
  <c r="Z1077" i="6"/>
  <c r="Z1078" i="6"/>
  <c r="Z1079" i="6"/>
  <c r="Z1080" i="6"/>
  <c r="Z1081" i="6"/>
  <c r="Z1082" i="6"/>
  <c r="Z1083" i="6"/>
  <c r="Z1084" i="6"/>
  <c r="Z1085" i="6"/>
  <c r="Z1086" i="6"/>
  <c r="Z1087" i="6"/>
  <c r="Z1088" i="6"/>
  <c r="Z1089" i="6"/>
  <c r="Z1090" i="6"/>
  <c r="Z1091" i="6"/>
  <c r="Z1092" i="6"/>
  <c r="Z1093" i="6"/>
  <c r="Z1094" i="6"/>
  <c r="Z1095" i="6"/>
  <c r="Z1096" i="6"/>
  <c r="Z1097" i="6"/>
  <c r="Z1098" i="6"/>
  <c r="Z1099" i="6"/>
  <c r="Z1100" i="6"/>
  <c r="Z1101" i="6"/>
  <c r="Z1102" i="6"/>
  <c r="Z1103" i="6"/>
  <c r="Z1104" i="6"/>
  <c r="Z1105" i="6"/>
  <c r="Z1106" i="6"/>
  <c r="Z1107" i="6"/>
  <c r="Z1108" i="6"/>
  <c r="Z1109" i="6"/>
  <c r="Z1110" i="6"/>
  <c r="Z1111" i="6"/>
  <c r="Z1112" i="6"/>
  <c r="Z1113" i="6"/>
  <c r="Z1114" i="6"/>
  <c r="Z1115" i="6"/>
  <c r="Z1116" i="6"/>
  <c r="Z1117" i="6"/>
  <c r="Z1118" i="6"/>
  <c r="Z1119" i="6"/>
  <c r="Z1120" i="6"/>
  <c r="Z1121" i="6"/>
  <c r="Z1122" i="6"/>
  <c r="Z1123" i="6"/>
  <c r="Z1124" i="6"/>
  <c r="Z1125" i="6"/>
  <c r="Z1126" i="6"/>
  <c r="Z1127" i="6"/>
  <c r="Z1128" i="6"/>
  <c r="Z1129" i="6"/>
  <c r="Z1130" i="6"/>
  <c r="Z1131" i="6"/>
  <c r="Z1132" i="6"/>
  <c r="Z1133" i="6"/>
  <c r="Z1134" i="6"/>
  <c r="Z1135" i="6"/>
  <c r="Z1136" i="6"/>
  <c r="Z1137" i="6"/>
  <c r="Z1138" i="6"/>
  <c r="Z1139" i="6"/>
  <c r="Z1140" i="6"/>
  <c r="Z1141" i="6"/>
  <c r="Z1142" i="6"/>
  <c r="Z1143" i="6"/>
  <c r="Z1144" i="6"/>
  <c r="Z1145" i="6"/>
  <c r="Z1146" i="6"/>
  <c r="Z1147" i="6"/>
  <c r="Z1148" i="6"/>
  <c r="Z1149" i="6"/>
  <c r="Z1150" i="6"/>
  <c r="Z1151" i="6"/>
  <c r="Z1152" i="6"/>
  <c r="Z1153" i="6"/>
  <c r="Z1154" i="6"/>
  <c r="Z1155" i="6"/>
  <c r="Z1156" i="6"/>
  <c r="Z1157" i="6"/>
  <c r="Z1158" i="6"/>
  <c r="Z1159" i="6"/>
  <c r="Z1160" i="6"/>
  <c r="Z1161" i="6"/>
  <c r="Z1162" i="6"/>
  <c r="Z1163" i="6"/>
  <c r="Z1164" i="6"/>
  <c r="Z1165" i="6"/>
  <c r="Z1166" i="6"/>
  <c r="Z1167" i="6"/>
  <c r="Z1168" i="6"/>
  <c r="Z1169" i="6"/>
  <c r="Z1170" i="6"/>
  <c r="Z1171" i="6"/>
  <c r="Z1172" i="6"/>
  <c r="Z1173" i="6"/>
  <c r="Z1174" i="6"/>
  <c r="Z1175" i="6"/>
  <c r="Z1176" i="6"/>
  <c r="Z1177" i="6"/>
  <c r="Z1178" i="6"/>
  <c r="Z1179" i="6"/>
  <c r="Z1180" i="6"/>
  <c r="Z1181" i="6"/>
  <c r="Z1182" i="6"/>
  <c r="Z1183" i="6"/>
  <c r="Z1184" i="6"/>
  <c r="Z1185" i="6"/>
  <c r="Z1186" i="6"/>
  <c r="Z1187" i="6"/>
  <c r="Z1188" i="6"/>
  <c r="Z1189" i="6"/>
  <c r="Z1190" i="6"/>
  <c r="Z1191" i="6"/>
  <c r="Z1192" i="6"/>
  <c r="Z1193" i="6"/>
  <c r="Z1194" i="6"/>
  <c r="Z1195" i="6"/>
  <c r="Z1196" i="6"/>
  <c r="Z1197" i="6"/>
  <c r="Z1198" i="6"/>
  <c r="Z1199" i="6"/>
  <c r="Z1200" i="6"/>
  <c r="Z1201" i="6"/>
  <c r="Z1202" i="6"/>
  <c r="Z1203" i="6"/>
  <c r="Z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260" i="6"/>
  <c r="S261" i="6"/>
  <c r="S262" i="6"/>
  <c r="S263" i="6"/>
  <c r="S264" i="6"/>
  <c r="S265" i="6"/>
  <c r="S266" i="6"/>
  <c r="S267" i="6"/>
  <c r="S268" i="6"/>
  <c r="S269" i="6"/>
  <c r="S270" i="6"/>
  <c r="S271" i="6"/>
  <c r="S272" i="6"/>
  <c r="S273" i="6"/>
  <c r="S274" i="6"/>
  <c r="S275" i="6"/>
  <c r="S276" i="6"/>
  <c r="S277" i="6"/>
  <c r="S278" i="6"/>
  <c r="S279" i="6"/>
  <c r="S280" i="6"/>
  <c r="S281" i="6"/>
  <c r="S282" i="6"/>
  <c r="S283" i="6"/>
  <c r="S284" i="6"/>
  <c r="S285" i="6"/>
  <c r="S286" i="6"/>
  <c r="S287" i="6"/>
  <c r="S288" i="6"/>
  <c r="S289" i="6"/>
  <c r="S290" i="6"/>
  <c r="S291" i="6"/>
  <c r="S292" i="6"/>
  <c r="S293" i="6"/>
  <c r="S294" i="6"/>
  <c r="S295" i="6"/>
  <c r="S296" i="6"/>
  <c r="S297" i="6"/>
  <c r="S298" i="6"/>
  <c r="S299" i="6"/>
  <c r="S300" i="6"/>
  <c r="S301" i="6"/>
  <c r="S302" i="6"/>
  <c r="S303" i="6"/>
  <c r="S304" i="6"/>
  <c r="S305" i="6"/>
  <c r="S306" i="6"/>
  <c r="S307" i="6"/>
  <c r="S308" i="6"/>
  <c r="S309" i="6"/>
  <c r="S310" i="6"/>
  <c r="S311" i="6"/>
  <c r="S312" i="6"/>
  <c r="S313" i="6"/>
  <c r="S314" i="6"/>
  <c r="S315" i="6"/>
  <c r="S316" i="6"/>
  <c r="S317" i="6"/>
  <c r="S318" i="6"/>
  <c r="S319" i="6"/>
  <c r="S320" i="6"/>
  <c r="S321" i="6"/>
  <c r="S322" i="6"/>
  <c r="S323" i="6"/>
  <c r="S324" i="6"/>
  <c r="S325" i="6"/>
  <c r="S326" i="6"/>
  <c r="S327" i="6"/>
  <c r="S328" i="6"/>
  <c r="S329" i="6"/>
  <c r="S330" i="6"/>
  <c r="S331" i="6"/>
  <c r="S332" i="6"/>
  <c r="S333" i="6"/>
  <c r="S334" i="6"/>
  <c r="S335" i="6"/>
  <c r="S336" i="6"/>
  <c r="S337" i="6"/>
  <c r="S338" i="6"/>
  <c r="S339" i="6"/>
  <c r="S340" i="6"/>
  <c r="S341" i="6"/>
  <c r="S342" i="6"/>
  <c r="S343" i="6"/>
  <c r="S344" i="6"/>
  <c r="S345" i="6"/>
  <c r="S346" i="6"/>
  <c r="S347" i="6"/>
  <c r="S348" i="6"/>
  <c r="S349" i="6"/>
  <c r="S350" i="6"/>
  <c r="S351" i="6"/>
  <c r="S352" i="6"/>
  <c r="S353" i="6"/>
  <c r="S354" i="6"/>
  <c r="S355" i="6"/>
  <c r="S356" i="6"/>
  <c r="S357" i="6"/>
  <c r="S358" i="6"/>
  <c r="S359" i="6"/>
  <c r="S360" i="6"/>
  <c r="S361" i="6"/>
  <c r="S362" i="6"/>
  <c r="S363" i="6"/>
  <c r="S364" i="6"/>
  <c r="S365" i="6"/>
  <c r="S366" i="6"/>
  <c r="S367" i="6"/>
  <c r="S368" i="6"/>
  <c r="S369" i="6"/>
  <c r="S370" i="6"/>
  <c r="S371" i="6"/>
  <c r="S372" i="6"/>
  <c r="S373" i="6"/>
  <c r="S374" i="6"/>
  <c r="S375" i="6"/>
  <c r="S376" i="6"/>
  <c r="S377" i="6"/>
  <c r="S378" i="6"/>
  <c r="S379" i="6"/>
  <c r="S380" i="6"/>
  <c r="S381" i="6"/>
  <c r="S382" i="6"/>
  <c r="S383" i="6"/>
  <c r="S384" i="6"/>
  <c r="S385" i="6"/>
  <c r="S386" i="6"/>
  <c r="S387" i="6"/>
  <c r="S388" i="6"/>
  <c r="S389" i="6"/>
  <c r="S390" i="6"/>
  <c r="S391" i="6"/>
  <c r="S392" i="6"/>
  <c r="S393" i="6"/>
  <c r="S394" i="6"/>
  <c r="S395" i="6"/>
  <c r="S396" i="6"/>
  <c r="S397" i="6"/>
  <c r="S398" i="6"/>
  <c r="S399" i="6"/>
  <c r="S400" i="6"/>
  <c r="S401" i="6"/>
  <c r="S402" i="6"/>
  <c r="S403" i="6"/>
  <c r="S404" i="6"/>
  <c r="S405" i="6"/>
  <c r="S406" i="6"/>
  <c r="S407" i="6"/>
  <c r="S408" i="6"/>
  <c r="S409" i="6"/>
  <c r="S410" i="6"/>
  <c r="S411" i="6"/>
  <c r="S412" i="6"/>
  <c r="S413" i="6"/>
  <c r="S414" i="6"/>
  <c r="S415" i="6"/>
  <c r="S416" i="6"/>
  <c r="S417" i="6"/>
  <c r="S418" i="6"/>
  <c r="S419" i="6"/>
  <c r="S420" i="6"/>
  <c r="S421" i="6"/>
  <c r="S422" i="6"/>
  <c r="S423" i="6"/>
  <c r="S424" i="6"/>
  <c r="S425" i="6"/>
  <c r="S426" i="6"/>
  <c r="S427" i="6"/>
  <c r="S428" i="6"/>
  <c r="S429" i="6"/>
  <c r="S430" i="6"/>
  <c r="S431" i="6"/>
  <c r="S432" i="6"/>
  <c r="S433" i="6"/>
  <c r="S434" i="6"/>
  <c r="S435" i="6"/>
  <c r="S436" i="6"/>
  <c r="S437" i="6"/>
  <c r="S438" i="6"/>
  <c r="S439" i="6"/>
  <c r="S440" i="6"/>
  <c r="S441" i="6"/>
  <c r="S442" i="6"/>
  <c r="S443" i="6"/>
  <c r="S444" i="6"/>
  <c r="S445" i="6"/>
  <c r="S446" i="6"/>
  <c r="S447" i="6"/>
  <c r="S448" i="6"/>
  <c r="S449" i="6"/>
  <c r="S450" i="6"/>
  <c r="S451" i="6"/>
  <c r="S452" i="6"/>
  <c r="S453" i="6"/>
  <c r="S454" i="6"/>
  <c r="S455" i="6"/>
  <c r="S456" i="6"/>
  <c r="S457" i="6"/>
  <c r="S458" i="6"/>
  <c r="S459" i="6"/>
  <c r="S460" i="6"/>
  <c r="S461" i="6"/>
  <c r="S462" i="6"/>
  <c r="S463" i="6"/>
  <c r="S464" i="6"/>
  <c r="S465" i="6"/>
  <c r="S466" i="6"/>
  <c r="S467" i="6"/>
  <c r="S468" i="6"/>
  <c r="S469" i="6"/>
  <c r="S470" i="6"/>
  <c r="S471" i="6"/>
  <c r="S472" i="6"/>
  <c r="S473" i="6"/>
  <c r="S474" i="6"/>
  <c r="S475" i="6"/>
  <c r="S476" i="6"/>
  <c r="S477" i="6"/>
  <c r="S478" i="6"/>
  <c r="S479" i="6"/>
  <c r="S480" i="6"/>
  <c r="S481" i="6"/>
  <c r="S482" i="6"/>
  <c r="S483" i="6"/>
  <c r="S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5" i="6"/>
  <c r="E6" i="6"/>
  <c r="E4" i="6"/>
  <c r="E217" i="2"/>
  <c r="M46" i="5" l="1"/>
  <c r="K46" i="5"/>
  <c r="J630" i="4"/>
  <c r="L151" i="4"/>
  <c r="J151" i="4"/>
  <c r="K151" i="4" s="1"/>
  <c r="I216" i="2"/>
  <c r="G216" i="2"/>
  <c r="J216" i="2"/>
  <c r="E216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220" i="3"/>
  <c r="E219" i="3"/>
  <c r="F30" i="3"/>
</calcChain>
</file>

<file path=xl/sharedStrings.xml><?xml version="1.0" encoding="utf-8"?>
<sst xmlns="http://schemas.openxmlformats.org/spreadsheetml/2006/main" count="381" uniqueCount="134">
  <si>
    <t>#EXPORTTYPE:</t>
  </si>
  <si>
    <t>DATA ALL</t>
  </si>
  <si>
    <t>#FILE:</t>
  </si>
  <si>
    <t>BRF 500C.ngb-ds1</t>
  </si>
  <si>
    <t>#FORMAT:</t>
  </si>
  <si>
    <t>NETZSCH5</t>
  </si>
  <si>
    <t>#FTYPE:</t>
  </si>
  <si>
    <t>UNICODE</t>
  </si>
  <si>
    <t>#IDENTITY:</t>
  </si>
  <si>
    <t>BRF 500C</t>
  </si>
  <si>
    <t>#MTYPE:</t>
  </si>
  <si>
    <t>DSC</t>
  </si>
  <si>
    <t>#INSTRUMENT:</t>
  </si>
  <si>
    <t>NETZSCH STA 449F1</t>
  </si>
  <si>
    <t>#PROJECT:</t>
  </si>
  <si>
    <t>#DATE/TIME:</t>
  </si>
  <si>
    <t>30-10-2025 17:34:01 (UTC+1)</t>
  </si>
  <si>
    <t>#CORR. FILE:</t>
  </si>
  <si>
    <t>Correction for method ISOTHERMAL 200C, 20% O2, 30MIN DRYING TIME</t>
  </si>
  <si>
    <t>#TEMPCAL:</t>
  </si>
  <si>
    <t>TCALZERO.TCX</t>
  </si>
  <si>
    <t>#SENSITIVITY:</t>
  </si>
  <si>
    <t>SENSZERO.EXX</t>
  </si>
  <si>
    <t>#LABORATORY:</t>
  </si>
  <si>
    <t>CHEC-053</t>
  </si>
  <si>
    <t>#OPERATOR:</t>
  </si>
  <si>
    <t>cornelius</t>
  </si>
  <si>
    <t>#REMARK:</t>
  </si>
  <si>
    <t/>
  </si>
  <si>
    <t>#SAMPLE:</t>
  </si>
  <si>
    <t>#SAMPLE MASS /mg:</t>
  </si>
  <si>
    <t>#MATERIAL:</t>
  </si>
  <si>
    <t>biochar</t>
  </si>
  <si>
    <t>#REFERENCE:</t>
  </si>
  <si>
    <t>ahugo</t>
  </si>
  <si>
    <t>#REFERENCE MASS /mg:</t>
  </si>
  <si>
    <t>#TYPE OF CRUCIBLE:</t>
  </si>
  <si>
    <t>Al2O3 85 µl, open</t>
  </si>
  <si>
    <t>#SAMPLE CRUCIBLE MASS /mg:</t>
  </si>
  <si>
    <t>#REFERENCE CRUCIBLE MASS /mg:</t>
  </si>
  <si>
    <t>#PURGE 1 MFC:</t>
  </si>
  <si>
    <t>OXYGEN,252,5 ml/min</t>
  </si>
  <si>
    <t>#PURGE 2 MFC:</t>
  </si>
  <si>
    <t>NITROGEN,250,0 ml/min</t>
  </si>
  <si>
    <t>#PROTECTIVE MFC:</t>
  </si>
  <si>
    <t>#DSC RANGE /µV:</t>
  </si>
  <si>
    <t>#TG RANGE /mg:</t>
  </si>
  <si>
    <t>#TAU-R:</t>
  </si>
  <si>
    <t>---</t>
  </si>
  <si>
    <t>#CORR. CODE:</t>
  </si>
  <si>
    <t>#EXO:</t>
  </si>
  <si>
    <t>#RANGE:</t>
  </si>
  <si>
    <t>50°C....200°C/0.0....40.0K/min</t>
  </si>
  <si>
    <t>#SEGMENT:</t>
  </si>
  <si>
    <t>S1-4/4</t>
  </si>
  <si>
    <t>#SEG. 1:</t>
  </si>
  <si>
    <t>50°C/40.0(K/min)/105°C</t>
  </si>
  <si>
    <t>#SEG. 2:</t>
  </si>
  <si>
    <t>105°C/00:30/105°C</t>
  </si>
  <si>
    <t>#SEG. 3:</t>
  </si>
  <si>
    <t>105°C/5.0(K/min)/200°C</t>
  </si>
  <si>
    <t>#SEG. 4:</t>
  </si>
  <si>
    <t>200°C/04:00/200°C</t>
  </si>
  <si>
    <t>##Temp./°C</t>
  </si>
  <si>
    <t>Time/min</t>
  </si>
  <si>
    <t>DSC/(uV/mg)</t>
  </si>
  <si>
    <t>Mass/%</t>
  </si>
  <si>
    <t>Gas Flow(purge1)/(ml/min)</t>
  </si>
  <si>
    <t>Gas Flow(protective)/(ml/min)</t>
  </si>
  <si>
    <t>Sensit./(uV/mW)</t>
  </si>
  <si>
    <t>Segment</t>
  </si>
  <si>
    <t>DATA SINGLE</t>
  </si>
  <si>
    <t>BRF.ngb-dt6</t>
  </si>
  <si>
    <t>BRF</t>
  </si>
  <si>
    <t>TG</t>
  </si>
  <si>
    <t>NETZSCH TG 209F3</t>
  </si>
  <si>
    <t>03-11-2025 20:39:36 (UTC+1)</t>
  </si>
  <si>
    <t>Correction for method ISOTHERMAL OX 225 20% O2 4H</t>
  </si>
  <si>
    <t>Initial mass: 5,475</t>
  </si>
  <si>
    <t>BLANK</t>
  </si>
  <si>
    <t>#M.RANGE /mg:</t>
  </si>
  <si>
    <t>45°C....225°C/0.0....20.0K/min</t>
  </si>
  <si>
    <t>S1-5/5</t>
  </si>
  <si>
    <t>45°C/20.0(K/min)/105°C</t>
  </si>
  <si>
    <t>105°C/5.0(K/min)/225°C</t>
  </si>
  <si>
    <t>225°C/00:30/225°C</t>
  </si>
  <si>
    <t>#SEG. 5:</t>
  </si>
  <si>
    <t>225°C/04:00/225°C</t>
  </si>
  <si>
    <t>BRF 500.ngb-dt6</t>
  </si>
  <si>
    <t>BRF500</t>
  </si>
  <si>
    <t>31-10-2025 23:54:11 (UTC+1)</t>
  </si>
  <si>
    <t>Correction for method CHAR ISOTHERMAL 10H 250C 20% O2</t>
  </si>
  <si>
    <t>Initial mass: 5,215</t>
  </si>
  <si>
    <t>empty</t>
  </si>
  <si>
    <t>45°C....250°C/0.0....40.0K/min</t>
  </si>
  <si>
    <t>45°C/40.0(K/min)/105°C</t>
  </si>
  <si>
    <t>105°C/5.0(K/min)/250°C</t>
  </si>
  <si>
    <t>250°C/00:30/250°C</t>
  </si>
  <si>
    <t>250°C/10:00/250°C</t>
  </si>
  <si>
    <t>X_C</t>
  </si>
  <si>
    <t>m0 * (1-ash)</t>
  </si>
  <si>
    <t>&lt;--- max</t>
  </si>
  <si>
    <t>m0 %  = 95,06653</t>
  </si>
  <si>
    <t>&lt;--- 1% mass conversion</t>
  </si>
  <si>
    <t>&lt;--- 1% Carbon conversion</t>
  </si>
  <si>
    <t>&lt;--- top</t>
  </si>
  <si>
    <t>&lt;-- overshoot until here</t>
  </si>
  <si>
    <t>Reported Mass Loss over 4h</t>
  </si>
  <si>
    <t>Elapsed hrs</t>
  </si>
  <si>
    <t>BRF500.ngb-ds1</t>
  </si>
  <si>
    <t>12-11-2025 20:15:35 (UTC+1)</t>
  </si>
  <si>
    <t>Correction for method 225C 20% O2, ISOTHERMAL 4H</t>
  </si>
  <si>
    <t>AHUGO, CORNELIUS</t>
  </si>
  <si>
    <t>50°C....225°C/0.0....40.0K/min</t>
  </si>
  <si>
    <t>15-11-2025 05:30:52 (UTC+1)</t>
  </si>
  <si>
    <t>Correction for method ISOTHERMAL 250C 20% O2 10H HOLD</t>
  </si>
  <si>
    <t>CORNELIUS</t>
  </si>
  <si>
    <t>45°C/40.0(K/min)/110°C</t>
  </si>
  <si>
    <t>110°C/00:30/110°C</t>
  </si>
  <si>
    <t>110°C/5.0(K/min)/250°C</t>
  </si>
  <si>
    <t>Difference in start mass:</t>
  </si>
  <si>
    <t>Difference in end mass:</t>
  </si>
  <si>
    <t>TEMP</t>
  </si>
  <si>
    <t>CORRECTED TIME</t>
  </si>
  <si>
    <t>MASS%</t>
  </si>
  <si>
    <t>CORRECTED MASS%</t>
  </si>
  <si>
    <t>X_C FROM TOP-POINT</t>
  </si>
  <si>
    <t>200C Odin</t>
  </si>
  <si>
    <t>225 Sif</t>
  </si>
  <si>
    <t>225 Odin</t>
  </si>
  <si>
    <t>250 Sif</t>
  </si>
  <si>
    <t>250 Odin</t>
  </si>
  <si>
    <t>Difference at end: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</si>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</sst>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00000"/>
    <numFmt numFmtId="165" formatCode="0.00000"/>
    <numFmt numFmtId="166" formatCode="0.000000E-0"/>
    <numFmt numFmtId="167" formatCode="0.000000E+0"/>
    <numFmt numFmtId="168" formatCode="0.0000"/>
  </numFmts>
  <fonts count="2" x14ac:knownFonts="1">
    <font>
      <sz val="10"/>
      <name val="Arial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DBDBDB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66" fontId="0" fillId="0" borderId="0" xfId="0" applyNumberFormat="1" applyAlignment="1">
      <alignment horizontal="left" vertical="center"/>
    </xf>
    <xf numFmtId="167" fontId="0" fillId="0" borderId="0" xfId="0" applyNumberFormat="1" applyAlignment="1">
      <alignment horizontal="left" vertical="center"/>
    </xf>
    <xf numFmtId="168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 vertical="center"/>
    </xf>
    <xf numFmtId="165" fontId="0" fillId="2" borderId="0" xfId="0" applyNumberFormat="1" applyFill="1" applyAlignment="1">
      <alignment horizontal="left" vertical="center"/>
    </xf>
    <xf numFmtId="1" fontId="0" fillId="2" borderId="0" xfId="0" applyNumberForma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1" fontId="0" fillId="3" borderId="0" xfId="0" applyNumberFormat="1" applyFill="1" applyAlignment="1">
      <alignment horizontal="left" vertical="center"/>
    </xf>
    <xf numFmtId="1" fontId="0" fillId="5" borderId="0" xfId="0" applyNumberFormat="1" applyFill="1" applyAlignment="1">
      <alignment horizontal="left" vertical="center"/>
    </xf>
    <xf numFmtId="0" fontId="1" fillId="0" borderId="0" xfId="1" applyAlignment="1">
      <alignment horizontal="left" vertical="center"/>
    </xf>
    <xf numFmtId="1" fontId="1" fillId="0" borderId="0" xfId="1" applyNumberFormat="1" applyAlignment="1">
      <alignment horizontal="left" vertical="center"/>
    </xf>
    <xf numFmtId="164" fontId="1" fillId="0" borderId="0" xfId="1" applyNumberFormat="1" applyAlignment="1">
      <alignment horizontal="left" vertical="center"/>
    </xf>
    <xf numFmtId="2" fontId="1" fillId="0" borderId="0" xfId="1" applyNumberFormat="1" applyAlignment="1">
      <alignment horizontal="left" vertical="center"/>
    </xf>
    <xf numFmtId="165" fontId="1" fillId="0" borderId="0" xfId="1" applyNumberFormat="1" applyAlignment="1">
      <alignment horizontal="left" vertical="center"/>
    </xf>
    <xf numFmtId="166" fontId="1" fillId="0" borderId="0" xfId="1" applyNumberFormat="1" applyAlignment="1">
      <alignment horizontal="left" vertical="center"/>
    </xf>
    <xf numFmtId="167" fontId="1" fillId="0" borderId="0" xfId="1" applyNumberFormat="1" applyAlignment="1">
      <alignment horizontal="left" vertical="center"/>
    </xf>
    <xf numFmtId="165" fontId="0" fillId="6" borderId="0" xfId="0" applyNumberFormat="1" applyFill="1" applyAlignment="1">
      <alignment horizontal="left" vertical="center"/>
    </xf>
    <xf numFmtId="165" fontId="0" fillId="7" borderId="0" xfId="0" applyNumberFormat="1" applyFill="1" applyAlignment="1">
      <alignment horizontal="left" vertical="center"/>
    </xf>
    <xf numFmtId="165" fontId="1" fillId="6" borderId="0" xfId="1" applyNumberFormat="1" applyFont="1" applyFill="1" applyBorder="1" applyAlignment="1">
      <alignment horizontal="left" vertical="center"/>
    </xf>
    <xf numFmtId="165" fontId="1" fillId="7" borderId="0" xfId="1" applyNumberFormat="1" applyFont="1" applyFill="1" applyBorder="1" applyAlignment="1">
      <alignment horizontal="left" vertical="center"/>
    </xf>
  </cellXfs>
  <cellStyles count="2">
    <cellStyle name="Normal" xfId="0" builtinId="0"/>
    <cellStyle name="Normal 2" xfId="1" xr:uid="{0B76FB71-2B89-1E45-B158-2E153A33B5BE}"/>
  </cellStyles>
  <dxfs count="4">
    <dxf>
      <numFmt numFmtId="0" formatCode="General"/>
    </dxf>
    <dxf>
      <fill>
        <patternFill patternType="solid">
          <bgColor rgb="FFDBDBDB"/>
        </patternFill>
      </fill>
    </dxf>
    <dxf>
      <fill>
        <patternFill patternType="solid">
          <bgColor rgb="FFC9C9C9"/>
        </patternFill>
      </fill>
    </dxf>
    <dxf>
      <font>
        <color rgb="FFFFFFFF"/>
      </font>
      <fill>
        <patternFill patternType="solid">
          <bgColor rgb="FFA5A5A5"/>
        </patternFill>
      </fill>
    </dxf>
  </dxfs>
  <tableStyles count="2" defaultTableStyle="TableStyleMedium2" defaultPivotStyle="PivotStyleLight16">
    <tableStyle name="Default Netzsch Table Style" pivot="0" count="0" xr9:uid="{00000000-0011-0000-FFFF-FFFF00000000}"/>
    <tableStyle name="Netzsch Table Style" pivot="0" count="3" xr9:uid="{00000000-0011-0000-FFFF-FFFF01000000}">
      <tableStyleElement type="headerRow" dxfId="3"/>
      <tableStyleElement type="firstColumn" dxfId="2"/>
      <tableStyleElement type="first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250C</a:t>
            </a:r>
            <a:r>
              <a:rPr lang="en-GB" baseline="0"/>
              <a:t> Sif + Odin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Sif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Data'!$X$4:$X$1203</c:f>
              <c:numCache>
                <c:formatCode>General</c:formatCode>
                <c:ptCount val="12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</c:numCache>
            </c:numRef>
          </c:xVal>
          <c:yVal>
            <c:numRef>
              <c:f>'All Data'!$Z$4:$Z$1203</c:f>
              <c:numCache>
                <c:formatCode>0.00000</c:formatCode>
                <c:ptCount val="1200"/>
                <c:pt idx="0">
                  <c:v>100</c:v>
                </c:pt>
                <c:pt idx="1">
                  <c:v>100.13368000000001</c:v>
                </c:pt>
                <c:pt idx="2">
                  <c:v>100.29835</c:v>
                </c:pt>
                <c:pt idx="3">
                  <c:v>100.40191</c:v>
                </c:pt>
                <c:pt idx="4">
                  <c:v>100.47273</c:v>
                </c:pt>
                <c:pt idx="5">
                  <c:v>100.48620000000001</c:v>
                </c:pt>
                <c:pt idx="6">
                  <c:v>100.50139</c:v>
                </c:pt>
                <c:pt idx="7">
                  <c:v>100.50736000000001</c:v>
                </c:pt>
                <c:pt idx="8">
                  <c:v>100.50516</c:v>
                </c:pt>
                <c:pt idx="9">
                  <c:v>100.49354000000001</c:v>
                </c:pt>
                <c:pt idx="10">
                  <c:v>100.47245000000001</c:v>
                </c:pt>
                <c:pt idx="11">
                  <c:v>100.45356000000001</c:v>
                </c:pt>
                <c:pt idx="12">
                  <c:v>100.4325</c:v>
                </c:pt>
                <c:pt idx="13">
                  <c:v>100.40184000000001</c:v>
                </c:pt>
                <c:pt idx="14">
                  <c:v>100.39593000000001</c:v>
                </c:pt>
                <c:pt idx="15">
                  <c:v>100.37676</c:v>
                </c:pt>
                <c:pt idx="16">
                  <c:v>100.34614000000001</c:v>
                </c:pt>
                <c:pt idx="17">
                  <c:v>100.32693</c:v>
                </c:pt>
                <c:pt idx="18">
                  <c:v>100.28283</c:v>
                </c:pt>
                <c:pt idx="19">
                  <c:v>100.27135000000001</c:v>
                </c:pt>
                <c:pt idx="20">
                  <c:v>100.22914</c:v>
                </c:pt>
                <c:pt idx="21">
                  <c:v>100.21179000000001</c:v>
                </c:pt>
                <c:pt idx="22">
                  <c:v>100.18510000000001</c:v>
                </c:pt>
                <c:pt idx="23">
                  <c:v>100.14627</c:v>
                </c:pt>
                <c:pt idx="24">
                  <c:v>100.13511000000001</c:v>
                </c:pt>
                <c:pt idx="25">
                  <c:v>100.11029000000001</c:v>
                </c:pt>
                <c:pt idx="26">
                  <c:v>100.07376000000001</c:v>
                </c:pt>
                <c:pt idx="27">
                  <c:v>100.05257</c:v>
                </c:pt>
                <c:pt idx="28">
                  <c:v>100.01653</c:v>
                </c:pt>
                <c:pt idx="29">
                  <c:v>99.993459999999999</c:v>
                </c:pt>
                <c:pt idx="30">
                  <c:v>99.966340000000002</c:v>
                </c:pt>
                <c:pt idx="31">
                  <c:v>99.941340000000011</c:v>
                </c:pt>
                <c:pt idx="32">
                  <c:v>99.89537</c:v>
                </c:pt>
                <c:pt idx="33">
                  <c:v>99.868600000000001</c:v>
                </c:pt>
                <c:pt idx="34">
                  <c:v>99.847400000000007</c:v>
                </c:pt>
                <c:pt idx="35">
                  <c:v>99.822700000000012</c:v>
                </c:pt>
                <c:pt idx="36">
                  <c:v>99.784220000000005</c:v>
                </c:pt>
                <c:pt idx="37">
                  <c:v>99.757390000000001</c:v>
                </c:pt>
                <c:pt idx="38">
                  <c:v>99.726730000000003</c:v>
                </c:pt>
                <c:pt idx="39">
                  <c:v>99.692180000000008</c:v>
                </c:pt>
                <c:pt idx="40">
                  <c:v>99.655799999999999</c:v>
                </c:pt>
                <c:pt idx="41">
                  <c:v>99.628860000000003</c:v>
                </c:pt>
                <c:pt idx="42">
                  <c:v>99.607820000000004</c:v>
                </c:pt>
                <c:pt idx="43">
                  <c:v>99.579239999999999</c:v>
                </c:pt>
                <c:pt idx="44">
                  <c:v>99.548510000000007</c:v>
                </c:pt>
                <c:pt idx="45">
                  <c:v>99.519630000000006</c:v>
                </c:pt>
                <c:pt idx="46">
                  <c:v>99.48527</c:v>
                </c:pt>
                <c:pt idx="47">
                  <c:v>99.46587000000001</c:v>
                </c:pt>
                <c:pt idx="48">
                  <c:v>99.431350000000009</c:v>
                </c:pt>
                <c:pt idx="49">
                  <c:v>99.398650000000004</c:v>
                </c:pt>
                <c:pt idx="50">
                  <c:v>99.371740000000003</c:v>
                </c:pt>
                <c:pt idx="51">
                  <c:v>99.341340000000002</c:v>
                </c:pt>
                <c:pt idx="52">
                  <c:v>99.314520000000002</c:v>
                </c:pt>
                <c:pt idx="53">
                  <c:v>99.281960000000012</c:v>
                </c:pt>
                <c:pt idx="54">
                  <c:v>99.260720000000006</c:v>
                </c:pt>
                <c:pt idx="55">
                  <c:v>99.214780000000005</c:v>
                </c:pt>
                <c:pt idx="56">
                  <c:v>99.195580000000007</c:v>
                </c:pt>
                <c:pt idx="57">
                  <c:v>99.14567000000001</c:v>
                </c:pt>
                <c:pt idx="58">
                  <c:v>99.132360000000006</c:v>
                </c:pt>
                <c:pt idx="59">
                  <c:v>99.109290000000001</c:v>
                </c:pt>
                <c:pt idx="60">
                  <c:v>99.08832000000001</c:v>
                </c:pt>
                <c:pt idx="61">
                  <c:v>99.067050000000009</c:v>
                </c:pt>
                <c:pt idx="62">
                  <c:v>99.030590000000004</c:v>
                </c:pt>
                <c:pt idx="63">
                  <c:v>98.99991</c:v>
                </c:pt>
                <c:pt idx="64">
                  <c:v>98.976950000000002</c:v>
                </c:pt>
                <c:pt idx="65">
                  <c:v>98.938690000000008</c:v>
                </c:pt>
                <c:pt idx="66">
                  <c:v>98.909829999999999</c:v>
                </c:pt>
                <c:pt idx="67">
                  <c:v>98.871510000000001</c:v>
                </c:pt>
                <c:pt idx="68">
                  <c:v>98.848460000000003</c:v>
                </c:pt>
                <c:pt idx="69">
                  <c:v>98.82350000000001</c:v>
                </c:pt>
                <c:pt idx="70">
                  <c:v>98.781350000000003</c:v>
                </c:pt>
                <c:pt idx="71">
                  <c:v>98.748650000000012</c:v>
                </c:pt>
                <c:pt idx="72">
                  <c:v>98.727530000000002</c:v>
                </c:pt>
                <c:pt idx="73">
                  <c:v>98.697030000000012</c:v>
                </c:pt>
                <c:pt idx="74">
                  <c:v>98.66255000000001</c:v>
                </c:pt>
                <c:pt idx="75">
                  <c:v>98.645300000000006</c:v>
                </c:pt>
                <c:pt idx="76">
                  <c:v>98.614699999999999</c:v>
                </c:pt>
                <c:pt idx="77">
                  <c:v>98.582100000000011</c:v>
                </c:pt>
                <c:pt idx="78">
                  <c:v>98.543630000000007</c:v>
                </c:pt>
                <c:pt idx="79">
                  <c:v>98.512900000000002</c:v>
                </c:pt>
                <c:pt idx="80">
                  <c:v>98.470780000000005</c:v>
                </c:pt>
                <c:pt idx="81">
                  <c:v>98.453580000000002</c:v>
                </c:pt>
                <c:pt idx="82">
                  <c:v>98.422690000000003</c:v>
                </c:pt>
                <c:pt idx="83">
                  <c:v>98.417100000000005</c:v>
                </c:pt>
                <c:pt idx="84">
                  <c:v>98.388350000000003</c:v>
                </c:pt>
                <c:pt idx="85">
                  <c:v>98.342380000000006</c:v>
                </c:pt>
                <c:pt idx="86">
                  <c:v>98.313580000000002</c:v>
                </c:pt>
                <c:pt idx="87">
                  <c:v>98.294319999999999</c:v>
                </c:pt>
                <c:pt idx="88">
                  <c:v>98.275150000000011</c:v>
                </c:pt>
                <c:pt idx="89">
                  <c:v>98.256010000000003</c:v>
                </c:pt>
                <c:pt idx="90">
                  <c:v>98.22908000000001</c:v>
                </c:pt>
                <c:pt idx="91">
                  <c:v>98.20047000000001</c:v>
                </c:pt>
                <c:pt idx="92">
                  <c:v>98.169730000000001</c:v>
                </c:pt>
                <c:pt idx="93">
                  <c:v>98.142910000000001</c:v>
                </c:pt>
                <c:pt idx="94">
                  <c:v>98.096920000000011</c:v>
                </c:pt>
                <c:pt idx="95">
                  <c:v>98.075700000000012</c:v>
                </c:pt>
                <c:pt idx="96">
                  <c:v>98.041270000000011</c:v>
                </c:pt>
                <c:pt idx="97">
                  <c:v>98.018270000000001</c:v>
                </c:pt>
                <c:pt idx="98">
                  <c:v>97.979740000000007</c:v>
                </c:pt>
                <c:pt idx="99">
                  <c:v>97.974090000000004</c:v>
                </c:pt>
                <c:pt idx="100">
                  <c:v>97.941540000000003</c:v>
                </c:pt>
                <c:pt idx="101">
                  <c:v>97.914740000000009</c:v>
                </c:pt>
                <c:pt idx="102">
                  <c:v>97.912700000000001</c:v>
                </c:pt>
                <c:pt idx="103">
                  <c:v>97.863020000000006</c:v>
                </c:pt>
                <c:pt idx="104">
                  <c:v>97.845669999999998</c:v>
                </c:pt>
                <c:pt idx="105">
                  <c:v>97.816800000000001</c:v>
                </c:pt>
                <c:pt idx="106">
                  <c:v>97.815150000000003</c:v>
                </c:pt>
                <c:pt idx="107">
                  <c:v>97.759380000000007</c:v>
                </c:pt>
                <c:pt idx="108">
                  <c:v>97.732550000000003</c:v>
                </c:pt>
                <c:pt idx="109">
                  <c:v>97.730820000000008</c:v>
                </c:pt>
                <c:pt idx="110">
                  <c:v>97.692329999999998</c:v>
                </c:pt>
                <c:pt idx="111">
                  <c:v>97.652110000000008</c:v>
                </c:pt>
                <c:pt idx="112">
                  <c:v>97.636720000000011</c:v>
                </c:pt>
                <c:pt idx="113">
                  <c:v>97.584830000000011</c:v>
                </c:pt>
                <c:pt idx="114">
                  <c:v>97.561869999999999</c:v>
                </c:pt>
                <c:pt idx="115">
                  <c:v>97.533210000000011</c:v>
                </c:pt>
                <c:pt idx="116">
                  <c:v>97.504450000000006</c:v>
                </c:pt>
                <c:pt idx="117">
                  <c:v>97.471980000000002</c:v>
                </c:pt>
                <c:pt idx="118">
                  <c:v>97.448660000000004</c:v>
                </c:pt>
                <c:pt idx="119">
                  <c:v>97.427580000000006</c:v>
                </c:pt>
                <c:pt idx="120">
                  <c:v>97.375900000000001</c:v>
                </c:pt>
                <c:pt idx="121">
                  <c:v>97.36636</c:v>
                </c:pt>
                <c:pt idx="122">
                  <c:v>97.343310000000002</c:v>
                </c:pt>
                <c:pt idx="123">
                  <c:v>97.324110000000005</c:v>
                </c:pt>
                <c:pt idx="124">
                  <c:v>97.295439999999999</c:v>
                </c:pt>
                <c:pt idx="125">
                  <c:v>97.272290000000012</c:v>
                </c:pt>
                <c:pt idx="126">
                  <c:v>97.258960000000002</c:v>
                </c:pt>
                <c:pt idx="127">
                  <c:v>97.224530000000001</c:v>
                </c:pt>
                <c:pt idx="128">
                  <c:v>97.199539999999999</c:v>
                </c:pt>
                <c:pt idx="129">
                  <c:v>97.184240000000003</c:v>
                </c:pt>
                <c:pt idx="130">
                  <c:v>97.141810000000007</c:v>
                </c:pt>
                <c:pt idx="131">
                  <c:v>97.138120000000001</c:v>
                </c:pt>
                <c:pt idx="132">
                  <c:v>97.094120000000004</c:v>
                </c:pt>
                <c:pt idx="133">
                  <c:v>97.070950000000011</c:v>
                </c:pt>
                <c:pt idx="134">
                  <c:v>97.044139999999999</c:v>
                </c:pt>
                <c:pt idx="135">
                  <c:v>97.009530000000012</c:v>
                </c:pt>
                <c:pt idx="136">
                  <c:v>96.996320000000011</c:v>
                </c:pt>
                <c:pt idx="137">
                  <c:v>96.971230000000006</c:v>
                </c:pt>
                <c:pt idx="138">
                  <c:v>96.953730000000007</c:v>
                </c:pt>
                <c:pt idx="139">
                  <c:v>96.915710000000004</c:v>
                </c:pt>
                <c:pt idx="140">
                  <c:v>96.867750000000001</c:v>
                </c:pt>
                <c:pt idx="141">
                  <c:v>96.854500000000002</c:v>
                </c:pt>
                <c:pt idx="142">
                  <c:v>96.831250000000011</c:v>
                </c:pt>
                <c:pt idx="143">
                  <c:v>96.819730000000007</c:v>
                </c:pt>
                <c:pt idx="144">
                  <c:v>96.78922</c:v>
                </c:pt>
                <c:pt idx="145">
                  <c:v>96.758520000000004</c:v>
                </c:pt>
                <c:pt idx="146">
                  <c:v>96.735350000000011</c:v>
                </c:pt>
                <c:pt idx="147">
                  <c:v>96.712800000000001</c:v>
                </c:pt>
                <c:pt idx="148">
                  <c:v>96.687840000000008</c:v>
                </c:pt>
                <c:pt idx="149">
                  <c:v>96.657070000000004</c:v>
                </c:pt>
                <c:pt idx="150">
                  <c:v>96.637590000000003</c:v>
                </c:pt>
                <c:pt idx="151">
                  <c:v>96.589770000000001</c:v>
                </c:pt>
                <c:pt idx="152">
                  <c:v>96.593650000000011</c:v>
                </c:pt>
                <c:pt idx="153">
                  <c:v>96.551140000000004</c:v>
                </c:pt>
                <c:pt idx="154">
                  <c:v>96.526310000000009</c:v>
                </c:pt>
                <c:pt idx="155">
                  <c:v>96.520840000000007</c:v>
                </c:pt>
                <c:pt idx="156">
                  <c:v>96.48809</c:v>
                </c:pt>
                <c:pt idx="157">
                  <c:v>96.471040000000002</c:v>
                </c:pt>
                <c:pt idx="158">
                  <c:v>96.45356000000001</c:v>
                </c:pt>
                <c:pt idx="159">
                  <c:v>96.411460000000005</c:v>
                </c:pt>
                <c:pt idx="160">
                  <c:v>96.394440000000003</c:v>
                </c:pt>
                <c:pt idx="161">
                  <c:v>96.359639999999999</c:v>
                </c:pt>
                <c:pt idx="162">
                  <c:v>96.344110000000001</c:v>
                </c:pt>
                <c:pt idx="163">
                  <c:v>96.329149999999998</c:v>
                </c:pt>
                <c:pt idx="164">
                  <c:v>96.304000000000002</c:v>
                </c:pt>
                <c:pt idx="165">
                  <c:v>96.273290000000003</c:v>
                </c:pt>
                <c:pt idx="166">
                  <c:v>96.24633</c:v>
                </c:pt>
                <c:pt idx="167">
                  <c:v>96.240660000000005</c:v>
                </c:pt>
                <c:pt idx="168">
                  <c:v>96.227510000000009</c:v>
                </c:pt>
                <c:pt idx="169">
                  <c:v>96.194630000000004</c:v>
                </c:pt>
                <c:pt idx="170">
                  <c:v>96.154390000000006</c:v>
                </c:pt>
                <c:pt idx="171">
                  <c:v>96.154470000000003</c:v>
                </c:pt>
                <c:pt idx="172">
                  <c:v>96.092750000000009</c:v>
                </c:pt>
                <c:pt idx="173">
                  <c:v>96.0989</c:v>
                </c:pt>
                <c:pt idx="174">
                  <c:v>96.045190000000005</c:v>
                </c:pt>
                <c:pt idx="175">
                  <c:v>96.043289999999999</c:v>
                </c:pt>
                <c:pt idx="176">
                  <c:v>96.02413</c:v>
                </c:pt>
                <c:pt idx="177">
                  <c:v>95.997330000000005</c:v>
                </c:pt>
                <c:pt idx="178">
                  <c:v>95.972410000000011</c:v>
                </c:pt>
                <c:pt idx="179">
                  <c:v>95.98387000000001</c:v>
                </c:pt>
                <c:pt idx="180">
                  <c:v>95.939660000000003</c:v>
                </c:pt>
                <c:pt idx="181">
                  <c:v>95.914770000000004</c:v>
                </c:pt>
                <c:pt idx="182">
                  <c:v>95.895630000000011</c:v>
                </c:pt>
                <c:pt idx="183">
                  <c:v>95.870710000000003</c:v>
                </c:pt>
                <c:pt idx="184">
                  <c:v>95.859080000000006</c:v>
                </c:pt>
                <c:pt idx="185">
                  <c:v>95.836250000000007</c:v>
                </c:pt>
                <c:pt idx="186">
                  <c:v>95.818950000000001</c:v>
                </c:pt>
                <c:pt idx="187">
                  <c:v>95.778750000000002</c:v>
                </c:pt>
                <c:pt idx="188">
                  <c:v>95.74794</c:v>
                </c:pt>
                <c:pt idx="189">
                  <c:v>95.723089999999999</c:v>
                </c:pt>
                <c:pt idx="190">
                  <c:v>95.705870000000004</c:v>
                </c:pt>
                <c:pt idx="191">
                  <c:v>95.688540000000003</c:v>
                </c:pt>
                <c:pt idx="192">
                  <c:v>95.654210000000006</c:v>
                </c:pt>
                <c:pt idx="193">
                  <c:v>95.657780000000002</c:v>
                </c:pt>
                <c:pt idx="194">
                  <c:v>95.636740000000003</c:v>
                </c:pt>
                <c:pt idx="195">
                  <c:v>95.60399000000001</c:v>
                </c:pt>
                <c:pt idx="196">
                  <c:v>95.575569999999999</c:v>
                </c:pt>
                <c:pt idx="197">
                  <c:v>95.558270000000007</c:v>
                </c:pt>
                <c:pt idx="198">
                  <c:v>95.52752000000001</c:v>
                </c:pt>
                <c:pt idx="199">
                  <c:v>95.510200000000012</c:v>
                </c:pt>
                <c:pt idx="200">
                  <c:v>95.483330000000009</c:v>
                </c:pt>
                <c:pt idx="201">
                  <c:v>95.462520000000012</c:v>
                </c:pt>
                <c:pt idx="202">
                  <c:v>95.437340000000006</c:v>
                </c:pt>
                <c:pt idx="203">
                  <c:v>95.400960000000012</c:v>
                </c:pt>
                <c:pt idx="204">
                  <c:v>95.402960000000007</c:v>
                </c:pt>
                <c:pt idx="205">
                  <c:v>95.375950000000003</c:v>
                </c:pt>
                <c:pt idx="206">
                  <c:v>95.341470000000001</c:v>
                </c:pt>
                <c:pt idx="207">
                  <c:v>95.33193</c:v>
                </c:pt>
                <c:pt idx="208">
                  <c:v>95.303060000000002</c:v>
                </c:pt>
                <c:pt idx="209">
                  <c:v>95.297290000000004</c:v>
                </c:pt>
                <c:pt idx="210">
                  <c:v>95.255140000000011</c:v>
                </c:pt>
                <c:pt idx="211">
                  <c:v>95.239840000000001</c:v>
                </c:pt>
                <c:pt idx="212">
                  <c:v>95.228459999999998</c:v>
                </c:pt>
                <c:pt idx="213">
                  <c:v>95.216880000000003</c:v>
                </c:pt>
                <c:pt idx="214">
                  <c:v>95.189930000000004</c:v>
                </c:pt>
                <c:pt idx="215">
                  <c:v>95.176510000000007</c:v>
                </c:pt>
                <c:pt idx="216">
                  <c:v>95.14967</c:v>
                </c:pt>
                <c:pt idx="217">
                  <c:v>95.117070000000012</c:v>
                </c:pt>
                <c:pt idx="218">
                  <c:v>95.092320000000001</c:v>
                </c:pt>
                <c:pt idx="219">
                  <c:v>95.067220000000006</c:v>
                </c:pt>
                <c:pt idx="220">
                  <c:v>95.046260000000004</c:v>
                </c:pt>
                <c:pt idx="221">
                  <c:v>95.040420000000012</c:v>
                </c:pt>
                <c:pt idx="222">
                  <c:v>95.019330000000011</c:v>
                </c:pt>
                <c:pt idx="223">
                  <c:v>94.990459999999999</c:v>
                </c:pt>
                <c:pt idx="224">
                  <c:v>94.963840000000005</c:v>
                </c:pt>
                <c:pt idx="225">
                  <c:v>94.930850000000007</c:v>
                </c:pt>
                <c:pt idx="226">
                  <c:v>94.921720000000008</c:v>
                </c:pt>
                <c:pt idx="227">
                  <c:v>94.894649999999999</c:v>
                </c:pt>
                <c:pt idx="228">
                  <c:v>94.864010000000007</c:v>
                </c:pt>
                <c:pt idx="229">
                  <c:v>94.846690000000009</c:v>
                </c:pt>
                <c:pt idx="230">
                  <c:v>94.827580000000012</c:v>
                </c:pt>
                <c:pt idx="231">
                  <c:v>94.800790000000006</c:v>
                </c:pt>
                <c:pt idx="232">
                  <c:v>94.785510000000002</c:v>
                </c:pt>
                <c:pt idx="233">
                  <c:v>94.750950000000003</c:v>
                </c:pt>
                <c:pt idx="234">
                  <c:v>94.730050000000006</c:v>
                </c:pt>
                <c:pt idx="235">
                  <c:v>94.718190000000007</c:v>
                </c:pt>
                <c:pt idx="236">
                  <c:v>94.695300000000003</c:v>
                </c:pt>
                <c:pt idx="237">
                  <c:v>94.668480000000002</c:v>
                </c:pt>
                <c:pt idx="238">
                  <c:v>94.651210000000006</c:v>
                </c:pt>
                <c:pt idx="239">
                  <c:v>94.643510000000006</c:v>
                </c:pt>
                <c:pt idx="240">
                  <c:v>94.618660000000006</c:v>
                </c:pt>
                <c:pt idx="241">
                  <c:v>94.599230000000006</c:v>
                </c:pt>
                <c:pt idx="242">
                  <c:v>94.56468000000001</c:v>
                </c:pt>
                <c:pt idx="243">
                  <c:v>94.542010000000005</c:v>
                </c:pt>
                <c:pt idx="244">
                  <c:v>94.52458</c:v>
                </c:pt>
                <c:pt idx="245">
                  <c:v>94.509460000000004</c:v>
                </c:pt>
                <c:pt idx="246">
                  <c:v>94.486370000000008</c:v>
                </c:pt>
                <c:pt idx="247">
                  <c:v>94.469160000000002</c:v>
                </c:pt>
                <c:pt idx="248">
                  <c:v>94.436430000000001</c:v>
                </c:pt>
                <c:pt idx="249">
                  <c:v>94.415400000000005</c:v>
                </c:pt>
                <c:pt idx="250">
                  <c:v>94.413360000000011</c:v>
                </c:pt>
                <c:pt idx="251">
                  <c:v>94.379069999999999</c:v>
                </c:pt>
                <c:pt idx="252">
                  <c:v>94.357800000000012</c:v>
                </c:pt>
                <c:pt idx="253">
                  <c:v>94.334910000000008</c:v>
                </c:pt>
                <c:pt idx="254">
                  <c:v>94.327150000000003</c:v>
                </c:pt>
                <c:pt idx="255">
                  <c:v>94.288720000000012</c:v>
                </c:pt>
                <c:pt idx="256">
                  <c:v>94.271370000000005</c:v>
                </c:pt>
                <c:pt idx="257">
                  <c:v>94.25621000000001</c:v>
                </c:pt>
                <c:pt idx="258">
                  <c:v>94.2273</c:v>
                </c:pt>
                <c:pt idx="259">
                  <c:v>94.204370000000011</c:v>
                </c:pt>
                <c:pt idx="260">
                  <c:v>94.175640000000001</c:v>
                </c:pt>
                <c:pt idx="261">
                  <c:v>94.158510000000007</c:v>
                </c:pt>
                <c:pt idx="262">
                  <c:v>94.143020000000007</c:v>
                </c:pt>
                <c:pt idx="263">
                  <c:v>94.11036</c:v>
                </c:pt>
                <c:pt idx="264">
                  <c:v>94.10090000000001</c:v>
                </c:pt>
                <c:pt idx="265">
                  <c:v>94.077830000000006</c:v>
                </c:pt>
                <c:pt idx="266">
                  <c:v>94.051079999999999</c:v>
                </c:pt>
                <c:pt idx="267">
                  <c:v>94.033750000000012</c:v>
                </c:pt>
                <c:pt idx="268">
                  <c:v>94.006799999999998</c:v>
                </c:pt>
                <c:pt idx="269">
                  <c:v>93.99539</c:v>
                </c:pt>
                <c:pt idx="270">
                  <c:v>93.98199000000001</c:v>
                </c:pt>
                <c:pt idx="271">
                  <c:v>93.95881</c:v>
                </c:pt>
                <c:pt idx="272">
                  <c:v>93.936130000000006</c:v>
                </c:pt>
                <c:pt idx="273">
                  <c:v>93.920540000000003</c:v>
                </c:pt>
                <c:pt idx="274">
                  <c:v>93.862890000000007</c:v>
                </c:pt>
                <c:pt idx="275">
                  <c:v>93.859220000000008</c:v>
                </c:pt>
                <c:pt idx="276">
                  <c:v>93.832340000000002</c:v>
                </c:pt>
                <c:pt idx="277">
                  <c:v>93.818899999999999</c:v>
                </c:pt>
                <c:pt idx="278">
                  <c:v>93.78849000000001</c:v>
                </c:pt>
                <c:pt idx="279">
                  <c:v>93.774860000000004</c:v>
                </c:pt>
                <c:pt idx="280">
                  <c:v>93.750039999999998</c:v>
                </c:pt>
                <c:pt idx="281">
                  <c:v>93.72296</c:v>
                </c:pt>
                <c:pt idx="282">
                  <c:v>93.709860000000006</c:v>
                </c:pt>
                <c:pt idx="283">
                  <c:v>93.692440000000005</c:v>
                </c:pt>
                <c:pt idx="284">
                  <c:v>93.671240000000012</c:v>
                </c:pt>
                <c:pt idx="285">
                  <c:v>93.657890000000009</c:v>
                </c:pt>
                <c:pt idx="286">
                  <c:v>93.627310000000008</c:v>
                </c:pt>
                <c:pt idx="287">
                  <c:v>93.596600000000009</c:v>
                </c:pt>
                <c:pt idx="288">
                  <c:v>93.581050000000005</c:v>
                </c:pt>
                <c:pt idx="289">
                  <c:v>93.552540000000008</c:v>
                </c:pt>
                <c:pt idx="290">
                  <c:v>93.529350000000008</c:v>
                </c:pt>
                <c:pt idx="291">
                  <c:v>93.506540000000001</c:v>
                </c:pt>
                <c:pt idx="292">
                  <c:v>93.493140000000011</c:v>
                </c:pt>
                <c:pt idx="293">
                  <c:v>93.481440000000006</c:v>
                </c:pt>
                <c:pt idx="294">
                  <c:v>93.462440000000001</c:v>
                </c:pt>
                <c:pt idx="295">
                  <c:v>93.420169999999999</c:v>
                </c:pt>
                <c:pt idx="296">
                  <c:v>93.404800000000009</c:v>
                </c:pt>
                <c:pt idx="297">
                  <c:v>93.387570000000011</c:v>
                </c:pt>
                <c:pt idx="298">
                  <c:v>93.385730000000009</c:v>
                </c:pt>
                <c:pt idx="299">
                  <c:v>93.353070000000002</c:v>
                </c:pt>
                <c:pt idx="300">
                  <c:v>93.330080000000009</c:v>
                </c:pt>
                <c:pt idx="301">
                  <c:v>93.303170000000009</c:v>
                </c:pt>
                <c:pt idx="302">
                  <c:v>93.278450000000007</c:v>
                </c:pt>
                <c:pt idx="303">
                  <c:v>93.251280000000008</c:v>
                </c:pt>
                <c:pt idx="304">
                  <c:v>93.236170000000001</c:v>
                </c:pt>
                <c:pt idx="305">
                  <c:v>93.226410000000001</c:v>
                </c:pt>
                <c:pt idx="306">
                  <c:v>93.203440000000001</c:v>
                </c:pt>
                <c:pt idx="307">
                  <c:v>93.182600000000008</c:v>
                </c:pt>
                <c:pt idx="308">
                  <c:v>93.149850000000001</c:v>
                </c:pt>
                <c:pt idx="309">
                  <c:v>93.142130000000009</c:v>
                </c:pt>
                <c:pt idx="310">
                  <c:v>93.109940000000009</c:v>
                </c:pt>
                <c:pt idx="311">
                  <c:v>93.078060000000008</c:v>
                </c:pt>
                <c:pt idx="312">
                  <c:v>93.084680000000006</c:v>
                </c:pt>
                <c:pt idx="313">
                  <c:v>93.05389000000001</c:v>
                </c:pt>
                <c:pt idx="314">
                  <c:v>93.025210000000001</c:v>
                </c:pt>
                <c:pt idx="315">
                  <c:v>93.004249999999999</c:v>
                </c:pt>
                <c:pt idx="316">
                  <c:v>92.977260000000001</c:v>
                </c:pt>
                <c:pt idx="317">
                  <c:v>92.940750000000008</c:v>
                </c:pt>
                <c:pt idx="318">
                  <c:v>92.944720000000004</c:v>
                </c:pt>
                <c:pt idx="319">
                  <c:v>92.890920000000008</c:v>
                </c:pt>
                <c:pt idx="320">
                  <c:v>92.888890000000004</c:v>
                </c:pt>
                <c:pt idx="321">
                  <c:v>92.879490000000004</c:v>
                </c:pt>
                <c:pt idx="322">
                  <c:v>92.84678000000001</c:v>
                </c:pt>
                <c:pt idx="323">
                  <c:v>92.835360000000009</c:v>
                </c:pt>
                <c:pt idx="324">
                  <c:v>92.820090000000008</c:v>
                </c:pt>
                <c:pt idx="325">
                  <c:v>92.78746000000001</c:v>
                </c:pt>
                <c:pt idx="326">
                  <c:v>92.768360000000001</c:v>
                </c:pt>
                <c:pt idx="327">
                  <c:v>92.745360000000005</c:v>
                </c:pt>
                <c:pt idx="328">
                  <c:v>92.724080000000001</c:v>
                </c:pt>
                <c:pt idx="329">
                  <c:v>92.704910000000012</c:v>
                </c:pt>
                <c:pt idx="330">
                  <c:v>92.682020000000009</c:v>
                </c:pt>
                <c:pt idx="331">
                  <c:v>92.64949</c:v>
                </c:pt>
                <c:pt idx="332">
                  <c:v>92.63403000000001</c:v>
                </c:pt>
                <c:pt idx="333">
                  <c:v>92.614940000000004</c:v>
                </c:pt>
                <c:pt idx="334">
                  <c:v>92.585999999999999</c:v>
                </c:pt>
                <c:pt idx="335">
                  <c:v>92.557270000000003</c:v>
                </c:pt>
                <c:pt idx="336">
                  <c:v>92.551690000000008</c:v>
                </c:pt>
                <c:pt idx="337">
                  <c:v>92.545660000000012</c:v>
                </c:pt>
                <c:pt idx="338">
                  <c:v>92.515180000000001</c:v>
                </c:pt>
                <c:pt idx="339">
                  <c:v>92.524740000000008</c:v>
                </c:pt>
                <c:pt idx="340">
                  <c:v>92.495870000000011</c:v>
                </c:pt>
                <c:pt idx="341">
                  <c:v>92.455860000000001</c:v>
                </c:pt>
                <c:pt idx="342">
                  <c:v>92.451760000000007</c:v>
                </c:pt>
                <c:pt idx="343">
                  <c:v>92.413620000000009</c:v>
                </c:pt>
                <c:pt idx="344">
                  <c:v>92.382900000000006</c:v>
                </c:pt>
                <c:pt idx="345">
                  <c:v>92.390560000000008</c:v>
                </c:pt>
                <c:pt idx="346">
                  <c:v>92.363740000000007</c:v>
                </c:pt>
                <c:pt idx="347">
                  <c:v>92.338640000000012</c:v>
                </c:pt>
                <c:pt idx="348">
                  <c:v>92.317599999999999</c:v>
                </c:pt>
                <c:pt idx="349">
                  <c:v>92.292750000000012</c:v>
                </c:pt>
                <c:pt idx="350">
                  <c:v>92.284910000000011</c:v>
                </c:pt>
                <c:pt idx="351">
                  <c:v>92.275440000000003</c:v>
                </c:pt>
                <c:pt idx="352">
                  <c:v>92.242990000000006</c:v>
                </c:pt>
                <c:pt idx="353">
                  <c:v>92.227519999999998</c:v>
                </c:pt>
                <c:pt idx="354">
                  <c:v>92.210190000000011</c:v>
                </c:pt>
                <c:pt idx="355">
                  <c:v>92.175670000000011</c:v>
                </c:pt>
                <c:pt idx="356">
                  <c:v>92.169910000000002</c:v>
                </c:pt>
                <c:pt idx="357">
                  <c:v>92.133590000000012</c:v>
                </c:pt>
                <c:pt idx="358">
                  <c:v>92.112230000000011</c:v>
                </c:pt>
                <c:pt idx="359">
                  <c:v>92.093190000000007</c:v>
                </c:pt>
                <c:pt idx="360">
                  <c:v>92.074110000000005</c:v>
                </c:pt>
                <c:pt idx="361">
                  <c:v>92.045380000000009</c:v>
                </c:pt>
                <c:pt idx="362">
                  <c:v>92.039480000000012</c:v>
                </c:pt>
                <c:pt idx="363">
                  <c:v>92.022330000000011</c:v>
                </c:pt>
                <c:pt idx="364">
                  <c:v>91.997399999999999</c:v>
                </c:pt>
                <c:pt idx="365">
                  <c:v>91.987880000000004</c:v>
                </c:pt>
                <c:pt idx="366">
                  <c:v>91.940000000000012</c:v>
                </c:pt>
                <c:pt idx="367">
                  <c:v>91.934170000000009</c:v>
                </c:pt>
                <c:pt idx="368">
                  <c:v>91.910890000000009</c:v>
                </c:pt>
                <c:pt idx="369">
                  <c:v>91.899640000000005</c:v>
                </c:pt>
                <c:pt idx="370">
                  <c:v>91.882300000000001</c:v>
                </c:pt>
                <c:pt idx="371">
                  <c:v>91.855630000000005</c:v>
                </c:pt>
                <c:pt idx="372">
                  <c:v>91.855519999999999</c:v>
                </c:pt>
                <c:pt idx="373">
                  <c:v>91.815200000000004</c:v>
                </c:pt>
                <c:pt idx="374">
                  <c:v>91.80547</c:v>
                </c:pt>
                <c:pt idx="375">
                  <c:v>91.772880000000001</c:v>
                </c:pt>
                <c:pt idx="376">
                  <c:v>91.757800000000003</c:v>
                </c:pt>
                <c:pt idx="377">
                  <c:v>91.715460000000007</c:v>
                </c:pt>
                <c:pt idx="378">
                  <c:v>91.717460000000003</c:v>
                </c:pt>
                <c:pt idx="379">
                  <c:v>91.681070000000005</c:v>
                </c:pt>
                <c:pt idx="380">
                  <c:v>91.67313</c:v>
                </c:pt>
                <c:pt idx="381">
                  <c:v>91.656090000000006</c:v>
                </c:pt>
                <c:pt idx="382">
                  <c:v>91.629300000000001</c:v>
                </c:pt>
                <c:pt idx="383">
                  <c:v>91.619460000000004</c:v>
                </c:pt>
                <c:pt idx="384">
                  <c:v>91.611840000000001</c:v>
                </c:pt>
                <c:pt idx="385">
                  <c:v>91.584980000000002</c:v>
                </c:pt>
                <c:pt idx="386">
                  <c:v>91.554370000000006</c:v>
                </c:pt>
                <c:pt idx="387">
                  <c:v>91.53334000000001</c:v>
                </c:pt>
                <c:pt idx="388">
                  <c:v>91.543060000000011</c:v>
                </c:pt>
                <c:pt idx="389">
                  <c:v>91.529700000000005</c:v>
                </c:pt>
                <c:pt idx="390">
                  <c:v>91.493200000000002</c:v>
                </c:pt>
                <c:pt idx="391">
                  <c:v>91.481670000000008</c:v>
                </c:pt>
                <c:pt idx="392">
                  <c:v>91.443250000000006</c:v>
                </c:pt>
                <c:pt idx="393">
                  <c:v>91.437400000000011</c:v>
                </c:pt>
                <c:pt idx="394">
                  <c:v>91.416450000000012</c:v>
                </c:pt>
                <c:pt idx="395">
                  <c:v>91.383750000000006</c:v>
                </c:pt>
                <c:pt idx="396">
                  <c:v>91.381920000000008</c:v>
                </c:pt>
                <c:pt idx="397">
                  <c:v>91.368610000000004</c:v>
                </c:pt>
                <c:pt idx="398">
                  <c:v>91.368549999999999</c:v>
                </c:pt>
                <c:pt idx="399">
                  <c:v>91.345420000000004</c:v>
                </c:pt>
                <c:pt idx="400">
                  <c:v>91.324269999999999</c:v>
                </c:pt>
                <c:pt idx="401">
                  <c:v>91.305230000000009</c:v>
                </c:pt>
                <c:pt idx="402">
                  <c:v>91.286060000000006</c:v>
                </c:pt>
                <c:pt idx="403">
                  <c:v>91.266950000000008</c:v>
                </c:pt>
                <c:pt idx="404">
                  <c:v>91.263080000000002</c:v>
                </c:pt>
                <c:pt idx="405">
                  <c:v>91.234180000000009</c:v>
                </c:pt>
                <c:pt idx="406">
                  <c:v>91.194020000000009</c:v>
                </c:pt>
                <c:pt idx="407">
                  <c:v>91.176700000000011</c:v>
                </c:pt>
                <c:pt idx="408">
                  <c:v>91.192050000000009</c:v>
                </c:pt>
                <c:pt idx="409">
                  <c:v>91.161360000000002</c:v>
                </c:pt>
                <c:pt idx="410">
                  <c:v>91.136560000000003</c:v>
                </c:pt>
                <c:pt idx="411">
                  <c:v>91.123050000000006</c:v>
                </c:pt>
                <c:pt idx="412">
                  <c:v>91.092570000000009</c:v>
                </c:pt>
                <c:pt idx="413">
                  <c:v>91.080750000000009</c:v>
                </c:pt>
                <c:pt idx="414">
                  <c:v>91.05986</c:v>
                </c:pt>
                <c:pt idx="415">
                  <c:v>91.050200000000004</c:v>
                </c:pt>
                <c:pt idx="416">
                  <c:v>91.034760000000006</c:v>
                </c:pt>
                <c:pt idx="417">
                  <c:v>91.01191</c:v>
                </c:pt>
                <c:pt idx="418">
                  <c:v>90.988860000000003</c:v>
                </c:pt>
                <c:pt idx="419">
                  <c:v>90.973700000000008</c:v>
                </c:pt>
                <c:pt idx="420">
                  <c:v>90.9482</c:v>
                </c:pt>
                <c:pt idx="421">
                  <c:v>90.93883000000001</c:v>
                </c:pt>
                <c:pt idx="422">
                  <c:v>90.914060000000006</c:v>
                </c:pt>
                <c:pt idx="423">
                  <c:v>90.904560000000004</c:v>
                </c:pt>
                <c:pt idx="424">
                  <c:v>90.868070000000003</c:v>
                </c:pt>
                <c:pt idx="425">
                  <c:v>90.873810000000006</c:v>
                </c:pt>
                <c:pt idx="426">
                  <c:v>90.852879999999999</c:v>
                </c:pt>
                <c:pt idx="427">
                  <c:v>90.833290000000005</c:v>
                </c:pt>
                <c:pt idx="428">
                  <c:v>90.816300000000012</c:v>
                </c:pt>
                <c:pt idx="429">
                  <c:v>90.793320000000008</c:v>
                </c:pt>
                <c:pt idx="430">
                  <c:v>90.785570000000007</c:v>
                </c:pt>
                <c:pt idx="431">
                  <c:v>90.775900000000007</c:v>
                </c:pt>
                <c:pt idx="432">
                  <c:v>90.7453</c:v>
                </c:pt>
                <c:pt idx="433">
                  <c:v>90.741550000000004</c:v>
                </c:pt>
                <c:pt idx="434">
                  <c:v>90.726150000000004</c:v>
                </c:pt>
                <c:pt idx="435">
                  <c:v>90.71266</c:v>
                </c:pt>
                <c:pt idx="436">
                  <c:v>90.672450000000012</c:v>
                </c:pt>
                <c:pt idx="437">
                  <c:v>90.679970000000012</c:v>
                </c:pt>
                <c:pt idx="438">
                  <c:v>90.660960000000003</c:v>
                </c:pt>
                <c:pt idx="439">
                  <c:v>90.634060000000005</c:v>
                </c:pt>
                <c:pt idx="440">
                  <c:v>90.624390000000005</c:v>
                </c:pt>
                <c:pt idx="441">
                  <c:v>90.622500000000002</c:v>
                </c:pt>
                <c:pt idx="442">
                  <c:v>90.599800000000002</c:v>
                </c:pt>
                <c:pt idx="443">
                  <c:v>90.588010000000011</c:v>
                </c:pt>
                <c:pt idx="444">
                  <c:v>90.553350000000009</c:v>
                </c:pt>
                <c:pt idx="445">
                  <c:v>90.549630000000008</c:v>
                </c:pt>
                <c:pt idx="446">
                  <c:v>90.53428000000001</c:v>
                </c:pt>
                <c:pt idx="447">
                  <c:v>90.513410000000007</c:v>
                </c:pt>
                <c:pt idx="448">
                  <c:v>90.505549999999999</c:v>
                </c:pt>
                <c:pt idx="449">
                  <c:v>90.492310000000003</c:v>
                </c:pt>
                <c:pt idx="450">
                  <c:v>90.461520000000007</c:v>
                </c:pt>
                <c:pt idx="451">
                  <c:v>90.449980000000011</c:v>
                </c:pt>
                <c:pt idx="452">
                  <c:v>90.415490000000005</c:v>
                </c:pt>
                <c:pt idx="453">
                  <c:v>90.409750000000003</c:v>
                </c:pt>
                <c:pt idx="454">
                  <c:v>90.398220000000009</c:v>
                </c:pt>
                <c:pt idx="455">
                  <c:v>90.375219999999999</c:v>
                </c:pt>
                <c:pt idx="456">
                  <c:v>90.34845</c:v>
                </c:pt>
                <c:pt idx="457">
                  <c:v>90.342690000000005</c:v>
                </c:pt>
                <c:pt idx="458">
                  <c:v>90.335190000000011</c:v>
                </c:pt>
                <c:pt idx="459">
                  <c:v>90.325280000000006</c:v>
                </c:pt>
                <c:pt idx="460">
                  <c:v>90.298640000000006</c:v>
                </c:pt>
                <c:pt idx="461">
                  <c:v>90.283280000000005</c:v>
                </c:pt>
                <c:pt idx="462">
                  <c:v>90.264040000000008</c:v>
                </c:pt>
                <c:pt idx="463">
                  <c:v>90.263980000000004</c:v>
                </c:pt>
                <c:pt idx="464">
                  <c:v>90.246670000000009</c:v>
                </c:pt>
                <c:pt idx="465">
                  <c:v>90.2333</c:v>
                </c:pt>
                <c:pt idx="466">
                  <c:v>90.21981000000001</c:v>
                </c:pt>
                <c:pt idx="467">
                  <c:v>90.206530000000001</c:v>
                </c:pt>
                <c:pt idx="468">
                  <c:v>90.185270000000003</c:v>
                </c:pt>
                <c:pt idx="469">
                  <c:v>90.170090000000002</c:v>
                </c:pt>
                <c:pt idx="470">
                  <c:v>90.143219999999999</c:v>
                </c:pt>
                <c:pt idx="471">
                  <c:v>90.108860000000007</c:v>
                </c:pt>
                <c:pt idx="472">
                  <c:v>90.095410000000001</c:v>
                </c:pt>
                <c:pt idx="473">
                  <c:v>90.103020000000001</c:v>
                </c:pt>
                <c:pt idx="474">
                  <c:v>90.076070000000001</c:v>
                </c:pt>
                <c:pt idx="475">
                  <c:v>90.055120000000002</c:v>
                </c:pt>
                <c:pt idx="476">
                  <c:v>90.041570000000007</c:v>
                </c:pt>
                <c:pt idx="477">
                  <c:v>90.02637</c:v>
                </c:pt>
                <c:pt idx="478">
                  <c:v>90.014780000000002</c:v>
                </c:pt>
                <c:pt idx="479">
                  <c:v>89.999369999999999</c:v>
                </c:pt>
                <c:pt idx="480">
                  <c:v>89.986070000000012</c:v>
                </c:pt>
                <c:pt idx="481">
                  <c:v>89.96857</c:v>
                </c:pt>
                <c:pt idx="482">
                  <c:v>89.947659999999999</c:v>
                </c:pt>
                <c:pt idx="483">
                  <c:v>89.934150000000002</c:v>
                </c:pt>
                <c:pt idx="484">
                  <c:v>89.92483</c:v>
                </c:pt>
                <c:pt idx="485">
                  <c:v>89.916970000000006</c:v>
                </c:pt>
                <c:pt idx="486">
                  <c:v>89.897800000000004</c:v>
                </c:pt>
                <c:pt idx="487">
                  <c:v>89.869100000000003</c:v>
                </c:pt>
                <c:pt idx="488">
                  <c:v>89.855730000000008</c:v>
                </c:pt>
                <c:pt idx="489">
                  <c:v>89.84402</c:v>
                </c:pt>
                <c:pt idx="490">
                  <c:v>89.826920000000001</c:v>
                </c:pt>
                <c:pt idx="491">
                  <c:v>89.798100000000005</c:v>
                </c:pt>
                <c:pt idx="492">
                  <c:v>89.790360000000007</c:v>
                </c:pt>
                <c:pt idx="493">
                  <c:v>89.773060000000001</c:v>
                </c:pt>
                <c:pt idx="494">
                  <c:v>89.75976</c:v>
                </c:pt>
                <c:pt idx="495">
                  <c:v>89.736930000000001</c:v>
                </c:pt>
                <c:pt idx="496">
                  <c:v>89.727170000000001</c:v>
                </c:pt>
                <c:pt idx="497">
                  <c:v>89.705910000000003</c:v>
                </c:pt>
                <c:pt idx="498">
                  <c:v>89.70008</c:v>
                </c:pt>
                <c:pt idx="499">
                  <c:v>89.68489000000001</c:v>
                </c:pt>
                <c:pt idx="500">
                  <c:v>89.667650000000009</c:v>
                </c:pt>
                <c:pt idx="501">
                  <c:v>89.642750000000007</c:v>
                </c:pt>
                <c:pt idx="502">
                  <c:v>89.642800000000008</c:v>
                </c:pt>
                <c:pt idx="503">
                  <c:v>89.615870000000001</c:v>
                </c:pt>
                <c:pt idx="504">
                  <c:v>89.613960000000006</c:v>
                </c:pt>
                <c:pt idx="505">
                  <c:v>89.58717</c:v>
                </c:pt>
                <c:pt idx="506">
                  <c:v>89.558400000000006</c:v>
                </c:pt>
                <c:pt idx="507">
                  <c:v>89.542990000000003</c:v>
                </c:pt>
                <c:pt idx="508">
                  <c:v>89.539169999999999</c:v>
                </c:pt>
                <c:pt idx="509">
                  <c:v>89.523769999999999</c:v>
                </c:pt>
                <c:pt idx="510">
                  <c:v>89.491210000000009</c:v>
                </c:pt>
                <c:pt idx="511">
                  <c:v>89.479820000000004</c:v>
                </c:pt>
                <c:pt idx="512">
                  <c:v>89.479800000000012</c:v>
                </c:pt>
                <c:pt idx="513">
                  <c:v>89.450970000000012</c:v>
                </c:pt>
                <c:pt idx="514">
                  <c:v>89.439620000000005</c:v>
                </c:pt>
                <c:pt idx="515">
                  <c:v>89.420320000000004</c:v>
                </c:pt>
                <c:pt idx="516">
                  <c:v>89.420439999999999</c:v>
                </c:pt>
                <c:pt idx="517">
                  <c:v>89.403010000000009</c:v>
                </c:pt>
                <c:pt idx="518">
                  <c:v>89.389600000000002</c:v>
                </c:pt>
                <c:pt idx="519">
                  <c:v>89.380120000000005</c:v>
                </c:pt>
                <c:pt idx="520">
                  <c:v>89.359070000000003</c:v>
                </c:pt>
                <c:pt idx="521">
                  <c:v>89.341760000000008</c:v>
                </c:pt>
                <c:pt idx="522">
                  <c:v>89.316760000000002</c:v>
                </c:pt>
                <c:pt idx="523">
                  <c:v>89.303300000000007</c:v>
                </c:pt>
                <c:pt idx="524">
                  <c:v>89.310839999999999</c:v>
                </c:pt>
                <c:pt idx="525">
                  <c:v>89.293890000000005</c:v>
                </c:pt>
                <c:pt idx="526">
                  <c:v>89.266850000000005</c:v>
                </c:pt>
                <c:pt idx="527">
                  <c:v>89.240120000000005</c:v>
                </c:pt>
                <c:pt idx="528">
                  <c:v>89.24391</c:v>
                </c:pt>
                <c:pt idx="529">
                  <c:v>89.22099</c:v>
                </c:pt>
                <c:pt idx="530">
                  <c:v>89.207440000000005</c:v>
                </c:pt>
                <c:pt idx="531">
                  <c:v>89.197850000000003</c:v>
                </c:pt>
                <c:pt idx="532">
                  <c:v>89.182680000000005</c:v>
                </c:pt>
                <c:pt idx="533">
                  <c:v>89.178620000000009</c:v>
                </c:pt>
                <c:pt idx="534">
                  <c:v>89.159520000000001</c:v>
                </c:pt>
                <c:pt idx="535">
                  <c:v>89.130810000000011</c:v>
                </c:pt>
                <c:pt idx="536">
                  <c:v>89.140360000000001</c:v>
                </c:pt>
                <c:pt idx="537">
                  <c:v>89.113489999999999</c:v>
                </c:pt>
                <c:pt idx="538">
                  <c:v>89.096220000000002</c:v>
                </c:pt>
                <c:pt idx="539">
                  <c:v>89.07332000000001</c:v>
                </c:pt>
                <c:pt idx="540">
                  <c:v>89.06362</c:v>
                </c:pt>
                <c:pt idx="541">
                  <c:v>89.044600000000003</c:v>
                </c:pt>
                <c:pt idx="542">
                  <c:v>89.017650000000003</c:v>
                </c:pt>
                <c:pt idx="543">
                  <c:v>89.013760000000005</c:v>
                </c:pt>
                <c:pt idx="544">
                  <c:v>88.998470000000012</c:v>
                </c:pt>
                <c:pt idx="545">
                  <c:v>88.988880000000009</c:v>
                </c:pt>
                <c:pt idx="546">
                  <c:v>88.969639999999998</c:v>
                </c:pt>
                <c:pt idx="547">
                  <c:v>88.962209999999999</c:v>
                </c:pt>
                <c:pt idx="548">
                  <c:v>88.942980000000006</c:v>
                </c:pt>
                <c:pt idx="549">
                  <c:v>88.931420000000003</c:v>
                </c:pt>
                <c:pt idx="550">
                  <c:v>88.889210000000006</c:v>
                </c:pt>
                <c:pt idx="551">
                  <c:v>88.887280000000004</c:v>
                </c:pt>
                <c:pt idx="552">
                  <c:v>88.875900000000001</c:v>
                </c:pt>
                <c:pt idx="553">
                  <c:v>88.87015000000001</c:v>
                </c:pt>
                <c:pt idx="554">
                  <c:v>88.85445</c:v>
                </c:pt>
                <c:pt idx="555">
                  <c:v>88.827820000000003</c:v>
                </c:pt>
                <c:pt idx="556">
                  <c:v>88.829630000000009</c:v>
                </c:pt>
                <c:pt idx="557">
                  <c:v>88.804900000000004</c:v>
                </c:pt>
                <c:pt idx="558">
                  <c:v>88.783870000000007</c:v>
                </c:pt>
                <c:pt idx="559">
                  <c:v>88.764540000000011</c:v>
                </c:pt>
                <c:pt idx="560">
                  <c:v>88.754950000000008</c:v>
                </c:pt>
                <c:pt idx="561">
                  <c:v>88.741530000000012</c:v>
                </c:pt>
                <c:pt idx="562">
                  <c:v>88.72420000000001</c:v>
                </c:pt>
                <c:pt idx="563">
                  <c:v>88.710890000000006</c:v>
                </c:pt>
                <c:pt idx="564">
                  <c:v>88.687850000000012</c:v>
                </c:pt>
                <c:pt idx="565">
                  <c:v>88.67249000000001</c:v>
                </c:pt>
                <c:pt idx="566">
                  <c:v>88.661000000000001</c:v>
                </c:pt>
                <c:pt idx="567">
                  <c:v>88.630250000000004</c:v>
                </c:pt>
                <c:pt idx="568">
                  <c:v>88.593900000000005</c:v>
                </c:pt>
                <c:pt idx="569">
                  <c:v>88.595880000000008</c:v>
                </c:pt>
                <c:pt idx="570">
                  <c:v>88.59208000000001</c:v>
                </c:pt>
                <c:pt idx="571">
                  <c:v>88.580550000000002</c:v>
                </c:pt>
                <c:pt idx="572">
                  <c:v>88.574700000000007</c:v>
                </c:pt>
                <c:pt idx="573">
                  <c:v>88.553450000000012</c:v>
                </c:pt>
                <c:pt idx="574">
                  <c:v>88.528770000000009</c:v>
                </c:pt>
                <c:pt idx="575">
                  <c:v>88.517110000000002</c:v>
                </c:pt>
                <c:pt idx="576">
                  <c:v>88.50367</c:v>
                </c:pt>
                <c:pt idx="577">
                  <c:v>88.49436</c:v>
                </c:pt>
                <c:pt idx="578">
                  <c:v>88.47120000000001</c:v>
                </c:pt>
                <c:pt idx="579">
                  <c:v>88.461660000000009</c:v>
                </c:pt>
                <c:pt idx="580">
                  <c:v>88.436640000000011</c:v>
                </c:pt>
                <c:pt idx="581">
                  <c:v>88.423349999999999</c:v>
                </c:pt>
                <c:pt idx="582">
                  <c:v>88.409750000000003</c:v>
                </c:pt>
                <c:pt idx="583">
                  <c:v>88.409810000000007</c:v>
                </c:pt>
                <c:pt idx="584">
                  <c:v>88.369520000000009</c:v>
                </c:pt>
                <c:pt idx="585">
                  <c:v>88.363770000000002</c:v>
                </c:pt>
                <c:pt idx="586">
                  <c:v>88.336880000000008</c:v>
                </c:pt>
                <c:pt idx="587">
                  <c:v>88.325389999999999</c:v>
                </c:pt>
                <c:pt idx="588">
                  <c:v>88.298630000000003</c:v>
                </c:pt>
                <c:pt idx="589">
                  <c:v>88.298600000000008</c:v>
                </c:pt>
                <c:pt idx="590">
                  <c:v>88.26979</c:v>
                </c:pt>
                <c:pt idx="591">
                  <c:v>88.248710000000003</c:v>
                </c:pt>
                <c:pt idx="592">
                  <c:v>88.245020000000011</c:v>
                </c:pt>
                <c:pt idx="593">
                  <c:v>88.22766</c:v>
                </c:pt>
                <c:pt idx="594">
                  <c:v>88.210450000000009</c:v>
                </c:pt>
                <c:pt idx="595">
                  <c:v>88.187600000000003</c:v>
                </c:pt>
                <c:pt idx="596">
                  <c:v>88.170140000000004</c:v>
                </c:pt>
                <c:pt idx="597">
                  <c:v>88.156860000000009</c:v>
                </c:pt>
                <c:pt idx="598">
                  <c:v>88.124040000000008</c:v>
                </c:pt>
                <c:pt idx="599">
                  <c:v>88.120270000000005</c:v>
                </c:pt>
                <c:pt idx="600">
                  <c:v>88.116219999999998</c:v>
                </c:pt>
                <c:pt idx="601">
                  <c:v>88.08559000000001</c:v>
                </c:pt>
                <c:pt idx="602">
                  <c:v>88.06656000000001</c:v>
                </c:pt>
                <c:pt idx="603">
                  <c:v>88.062960000000004</c:v>
                </c:pt>
                <c:pt idx="604">
                  <c:v>88.047440000000009</c:v>
                </c:pt>
                <c:pt idx="605">
                  <c:v>88.037710000000004</c:v>
                </c:pt>
                <c:pt idx="606">
                  <c:v>88.028080000000003</c:v>
                </c:pt>
                <c:pt idx="607">
                  <c:v>88.010890000000003</c:v>
                </c:pt>
                <c:pt idx="608">
                  <c:v>87.985960000000006</c:v>
                </c:pt>
                <c:pt idx="609">
                  <c:v>87.976530000000011</c:v>
                </c:pt>
                <c:pt idx="610">
                  <c:v>87.949570000000008</c:v>
                </c:pt>
                <c:pt idx="611">
                  <c:v>87.932340000000011</c:v>
                </c:pt>
                <c:pt idx="612">
                  <c:v>87.934360000000012</c:v>
                </c:pt>
                <c:pt idx="613">
                  <c:v>87.917100000000005</c:v>
                </c:pt>
                <c:pt idx="614">
                  <c:v>87.903739999999999</c:v>
                </c:pt>
                <c:pt idx="615">
                  <c:v>87.888260000000002</c:v>
                </c:pt>
                <c:pt idx="616">
                  <c:v>87.863399999999999</c:v>
                </c:pt>
                <c:pt idx="617">
                  <c:v>87.855730000000008</c:v>
                </c:pt>
                <c:pt idx="618">
                  <c:v>87.846100000000007</c:v>
                </c:pt>
                <c:pt idx="619">
                  <c:v>87.817350000000005</c:v>
                </c:pt>
                <c:pt idx="620">
                  <c:v>87.820990000000009</c:v>
                </c:pt>
                <c:pt idx="621">
                  <c:v>87.782750000000007</c:v>
                </c:pt>
                <c:pt idx="622">
                  <c:v>87.767470000000003</c:v>
                </c:pt>
                <c:pt idx="623">
                  <c:v>87.748339999999999</c:v>
                </c:pt>
                <c:pt idx="624">
                  <c:v>87.742630000000005</c:v>
                </c:pt>
                <c:pt idx="625">
                  <c:v>87.731070000000003</c:v>
                </c:pt>
                <c:pt idx="626">
                  <c:v>87.704270000000008</c:v>
                </c:pt>
                <c:pt idx="627">
                  <c:v>87.69671000000001</c:v>
                </c:pt>
                <c:pt idx="628">
                  <c:v>87.681139999999999</c:v>
                </c:pt>
                <c:pt idx="629">
                  <c:v>87.665880000000001</c:v>
                </c:pt>
                <c:pt idx="630">
                  <c:v>87.648800000000008</c:v>
                </c:pt>
                <c:pt idx="631">
                  <c:v>87.65052</c:v>
                </c:pt>
                <c:pt idx="632">
                  <c:v>87.615960000000001</c:v>
                </c:pt>
                <c:pt idx="633">
                  <c:v>87.61224</c:v>
                </c:pt>
                <c:pt idx="634">
                  <c:v>87.596720000000005</c:v>
                </c:pt>
                <c:pt idx="635">
                  <c:v>87.579570000000004</c:v>
                </c:pt>
                <c:pt idx="636">
                  <c:v>87.573730000000012</c:v>
                </c:pt>
                <c:pt idx="637">
                  <c:v>87.554780000000008</c:v>
                </c:pt>
                <c:pt idx="638">
                  <c:v>87.539349999999999</c:v>
                </c:pt>
                <c:pt idx="639">
                  <c:v>87.516210000000001</c:v>
                </c:pt>
                <c:pt idx="640">
                  <c:v>87.50676</c:v>
                </c:pt>
                <c:pt idx="641">
                  <c:v>87.476040000000012</c:v>
                </c:pt>
                <c:pt idx="642">
                  <c:v>87.472120000000004</c:v>
                </c:pt>
                <c:pt idx="643">
                  <c:v>87.456850000000003</c:v>
                </c:pt>
                <c:pt idx="644">
                  <c:v>87.454790000000003</c:v>
                </c:pt>
                <c:pt idx="645">
                  <c:v>87.420330000000007</c:v>
                </c:pt>
                <c:pt idx="646">
                  <c:v>87.408860000000004</c:v>
                </c:pt>
                <c:pt idx="647">
                  <c:v>87.403150000000011</c:v>
                </c:pt>
                <c:pt idx="648">
                  <c:v>87.37633000000001</c:v>
                </c:pt>
                <c:pt idx="649">
                  <c:v>87.370360000000005</c:v>
                </c:pt>
                <c:pt idx="650">
                  <c:v>87.359160000000003</c:v>
                </c:pt>
                <c:pt idx="651">
                  <c:v>87.358950000000007</c:v>
                </c:pt>
                <c:pt idx="652">
                  <c:v>87.33402000000001</c:v>
                </c:pt>
                <c:pt idx="653">
                  <c:v>87.32059000000001</c:v>
                </c:pt>
                <c:pt idx="654">
                  <c:v>87.30341</c:v>
                </c:pt>
                <c:pt idx="655">
                  <c:v>87.297710000000009</c:v>
                </c:pt>
                <c:pt idx="656">
                  <c:v>87.278410000000008</c:v>
                </c:pt>
                <c:pt idx="657">
                  <c:v>87.259350000000012</c:v>
                </c:pt>
                <c:pt idx="658">
                  <c:v>87.251650000000012</c:v>
                </c:pt>
                <c:pt idx="659">
                  <c:v>87.230580000000003</c:v>
                </c:pt>
                <c:pt idx="660">
                  <c:v>87.215100000000007</c:v>
                </c:pt>
                <c:pt idx="661">
                  <c:v>87.195890000000006</c:v>
                </c:pt>
                <c:pt idx="662">
                  <c:v>87.186660000000003</c:v>
                </c:pt>
                <c:pt idx="663">
                  <c:v>87.163390000000007</c:v>
                </c:pt>
                <c:pt idx="664">
                  <c:v>87.140360000000001</c:v>
                </c:pt>
                <c:pt idx="665">
                  <c:v>87.138540000000006</c:v>
                </c:pt>
                <c:pt idx="666">
                  <c:v>87.126990000000006</c:v>
                </c:pt>
                <c:pt idx="667">
                  <c:v>87.111660000000001</c:v>
                </c:pt>
                <c:pt idx="668">
                  <c:v>87.102090000000004</c:v>
                </c:pt>
                <c:pt idx="669">
                  <c:v>87.08099</c:v>
                </c:pt>
                <c:pt idx="670">
                  <c:v>87.061730000000011</c:v>
                </c:pt>
                <c:pt idx="671">
                  <c:v>87.050270000000012</c:v>
                </c:pt>
                <c:pt idx="672">
                  <c:v>87.023430000000005</c:v>
                </c:pt>
                <c:pt idx="673">
                  <c:v>87.01397</c:v>
                </c:pt>
                <c:pt idx="674">
                  <c:v>86.998670000000004</c:v>
                </c:pt>
                <c:pt idx="675">
                  <c:v>86.973600000000005</c:v>
                </c:pt>
                <c:pt idx="676">
                  <c:v>86.965920000000011</c:v>
                </c:pt>
                <c:pt idx="677">
                  <c:v>86.952550000000002</c:v>
                </c:pt>
                <c:pt idx="678">
                  <c:v>86.933350000000004</c:v>
                </c:pt>
                <c:pt idx="679">
                  <c:v>86.929520000000011</c:v>
                </c:pt>
                <c:pt idx="680">
                  <c:v>86.906580000000005</c:v>
                </c:pt>
                <c:pt idx="681">
                  <c:v>86.889410000000012</c:v>
                </c:pt>
                <c:pt idx="682">
                  <c:v>86.875950000000003</c:v>
                </c:pt>
                <c:pt idx="683">
                  <c:v>86.860340000000008</c:v>
                </c:pt>
                <c:pt idx="684">
                  <c:v>86.841340000000002</c:v>
                </c:pt>
                <c:pt idx="685">
                  <c:v>86.831700000000012</c:v>
                </c:pt>
                <c:pt idx="686">
                  <c:v>86.820239999999998</c:v>
                </c:pt>
                <c:pt idx="687">
                  <c:v>86.812650000000005</c:v>
                </c:pt>
                <c:pt idx="688">
                  <c:v>86.80107000000001</c:v>
                </c:pt>
                <c:pt idx="689">
                  <c:v>86.797260000000009</c:v>
                </c:pt>
                <c:pt idx="690">
                  <c:v>86.778010000000009</c:v>
                </c:pt>
                <c:pt idx="691">
                  <c:v>86.760750000000002</c:v>
                </c:pt>
                <c:pt idx="692">
                  <c:v>86.747440000000012</c:v>
                </c:pt>
                <c:pt idx="693">
                  <c:v>86.743500000000012</c:v>
                </c:pt>
                <c:pt idx="694">
                  <c:v>86.71463</c:v>
                </c:pt>
                <c:pt idx="695">
                  <c:v>86.712920000000011</c:v>
                </c:pt>
                <c:pt idx="696">
                  <c:v>86.685900000000004</c:v>
                </c:pt>
                <c:pt idx="697">
                  <c:v>86.668720000000008</c:v>
                </c:pt>
                <c:pt idx="698">
                  <c:v>86.662940000000006</c:v>
                </c:pt>
                <c:pt idx="699">
                  <c:v>86.638090000000005</c:v>
                </c:pt>
                <c:pt idx="700">
                  <c:v>86.620830000000012</c:v>
                </c:pt>
                <c:pt idx="701">
                  <c:v>86.609210000000004</c:v>
                </c:pt>
                <c:pt idx="702">
                  <c:v>86.597970000000004</c:v>
                </c:pt>
                <c:pt idx="703">
                  <c:v>86.578680000000006</c:v>
                </c:pt>
                <c:pt idx="704">
                  <c:v>86.563310000000001</c:v>
                </c:pt>
                <c:pt idx="705">
                  <c:v>86.56917</c:v>
                </c:pt>
                <c:pt idx="706">
                  <c:v>86.561370000000011</c:v>
                </c:pt>
                <c:pt idx="707">
                  <c:v>86.542180000000002</c:v>
                </c:pt>
                <c:pt idx="708">
                  <c:v>86.511800000000008</c:v>
                </c:pt>
                <c:pt idx="709">
                  <c:v>86.505750000000006</c:v>
                </c:pt>
                <c:pt idx="710">
                  <c:v>86.475030000000004</c:v>
                </c:pt>
                <c:pt idx="711">
                  <c:v>86.461770000000001</c:v>
                </c:pt>
                <c:pt idx="712">
                  <c:v>86.455670000000012</c:v>
                </c:pt>
                <c:pt idx="713">
                  <c:v>86.430970000000002</c:v>
                </c:pt>
                <c:pt idx="714">
                  <c:v>86.425210000000007</c:v>
                </c:pt>
                <c:pt idx="715">
                  <c:v>86.415760000000006</c:v>
                </c:pt>
                <c:pt idx="716">
                  <c:v>86.408020000000008</c:v>
                </c:pt>
                <c:pt idx="717">
                  <c:v>86.375200000000007</c:v>
                </c:pt>
                <c:pt idx="718">
                  <c:v>86.373460000000009</c:v>
                </c:pt>
                <c:pt idx="719">
                  <c:v>86.352350000000001</c:v>
                </c:pt>
                <c:pt idx="720">
                  <c:v>86.336920000000006</c:v>
                </c:pt>
                <c:pt idx="721">
                  <c:v>86.302600000000012</c:v>
                </c:pt>
                <c:pt idx="722">
                  <c:v>86.302540000000008</c:v>
                </c:pt>
                <c:pt idx="723">
                  <c:v>86.283600000000007</c:v>
                </c:pt>
                <c:pt idx="724">
                  <c:v>86.241080000000011</c:v>
                </c:pt>
                <c:pt idx="725">
                  <c:v>86.256360000000001</c:v>
                </c:pt>
                <c:pt idx="726">
                  <c:v>86.244990000000001</c:v>
                </c:pt>
                <c:pt idx="727">
                  <c:v>86.220140000000001</c:v>
                </c:pt>
                <c:pt idx="728">
                  <c:v>86.206620000000001</c:v>
                </c:pt>
                <c:pt idx="729">
                  <c:v>86.199030000000008</c:v>
                </c:pt>
                <c:pt idx="730">
                  <c:v>86.185600000000008</c:v>
                </c:pt>
                <c:pt idx="731">
                  <c:v>86.168310000000005</c:v>
                </c:pt>
                <c:pt idx="732">
                  <c:v>86.149180000000001</c:v>
                </c:pt>
                <c:pt idx="733">
                  <c:v>86.141490000000005</c:v>
                </c:pt>
                <c:pt idx="734">
                  <c:v>86.126130000000003</c:v>
                </c:pt>
                <c:pt idx="735">
                  <c:v>86.110780000000005</c:v>
                </c:pt>
                <c:pt idx="736">
                  <c:v>86.101260000000011</c:v>
                </c:pt>
                <c:pt idx="737">
                  <c:v>86.085820000000012</c:v>
                </c:pt>
                <c:pt idx="738">
                  <c:v>86.08766</c:v>
                </c:pt>
                <c:pt idx="739">
                  <c:v>86.061050000000009</c:v>
                </c:pt>
                <c:pt idx="740">
                  <c:v>86.045580000000001</c:v>
                </c:pt>
                <c:pt idx="741">
                  <c:v>86.037880000000001</c:v>
                </c:pt>
                <c:pt idx="742">
                  <c:v>86.022750000000002</c:v>
                </c:pt>
                <c:pt idx="743">
                  <c:v>86.014890000000008</c:v>
                </c:pt>
                <c:pt idx="744">
                  <c:v>86.001410000000007</c:v>
                </c:pt>
                <c:pt idx="745">
                  <c:v>85.991890000000012</c:v>
                </c:pt>
                <c:pt idx="746">
                  <c:v>85.97075000000001</c:v>
                </c:pt>
                <c:pt idx="747">
                  <c:v>85.953620000000001</c:v>
                </c:pt>
                <c:pt idx="748">
                  <c:v>85.93432</c:v>
                </c:pt>
                <c:pt idx="749">
                  <c:v>85.926749999999998</c:v>
                </c:pt>
                <c:pt idx="750">
                  <c:v>85.907640000000001</c:v>
                </c:pt>
                <c:pt idx="751">
                  <c:v>85.874980000000008</c:v>
                </c:pt>
                <c:pt idx="752">
                  <c:v>85.871090000000009</c:v>
                </c:pt>
                <c:pt idx="753">
                  <c:v>85.87118000000001</c:v>
                </c:pt>
                <c:pt idx="754">
                  <c:v>85.846240000000009</c:v>
                </c:pt>
                <c:pt idx="755">
                  <c:v>85.836690000000004</c:v>
                </c:pt>
                <c:pt idx="756">
                  <c:v>85.840620000000001</c:v>
                </c:pt>
                <c:pt idx="757">
                  <c:v>85.821269999999998</c:v>
                </c:pt>
                <c:pt idx="758">
                  <c:v>85.786860000000004</c:v>
                </c:pt>
                <c:pt idx="759">
                  <c:v>85.773450000000011</c:v>
                </c:pt>
                <c:pt idx="760">
                  <c:v>85.75021000000001</c:v>
                </c:pt>
                <c:pt idx="761">
                  <c:v>85.729210000000009</c:v>
                </c:pt>
                <c:pt idx="762">
                  <c:v>85.723310000000012</c:v>
                </c:pt>
                <c:pt idx="763">
                  <c:v>85.711860000000001</c:v>
                </c:pt>
                <c:pt idx="764">
                  <c:v>85.700280000000006</c:v>
                </c:pt>
                <c:pt idx="765">
                  <c:v>85.68486</c:v>
                </c:pt>
                <c:pt idx="766">
                  <c:v>85.67953</c:v>
                </c:pt>
                <c:pt idx="767">
                  <c:v>85.658180000000002</c:v>
                </c:pt>
                <c:pt idx="768">
                  <c:v>85.644770000000008</c:v>
                </c:pt>
                <c:pt idx="769">
                  <c:v>85.62951000000001</c:v>
                </c:pt>
                <c:pt idx="770">
                  <c:v>85.614150000000009</c:v>
                </c:pt>
                <c:pt idx="771">
                  <c:v>85.602640000000008</c:v>
                </c:pt>
                <c:pt idx="772">
                  <c:v>85.59114000000001</c:v>
                </c:pt>
                <c:pt idx="773">
                  <c:v>85.575839999999999</c:v>
                </c:pt>
                <c:pt idx="774">
                  <c:v>85.572070000000011</c:v>
                </c:pt>
                <c:pt idx="775">
                  <c:v>85.558630000000008</c:v>
                </c:pt>
                <c:pt idx="776">
                  <c:v>85.54140000000001</c:v>
                </c:pt>
                <c:pt idx="777">
                  <c:v>85.535700000000006</c:v>
                </c:pt>
                <c:pt idx="778">
                  <c:v>85.523980000000009</c:v>
                </c:pt>
                <c:pt idx="779">
                  <c:v>85.499040000000008</c:v>
                </c:pt>
                <c:pt idx="780">
                  <c:v>85.483879999999999</c:v>
                </c:pt>
                <c:pt idx="781">
                  <c:v>85.462710000000001</c:v>
                </c:pt>
                <c:pt idx="782">
                  <c:v>85.453250000000011</c:v>
                </c:pt>
                <c:pt idx="783">
                  <c:v>85.433900000000008</c:v>
                </c:pt>
                <c:pt idx="784">
                  <c:v>85.441730000000007</c:v>
                </c:pt>
                <c:pt idx="785">
                  <c:v>85.426259999999999</c:v>
                </c:pt>
                <c:pt idx="786">
                  <c:v>85.420540000000003</c:v>
                </c:pt>
                <c:pt idx="787">
                  <c:v>85.401270000000011</c:v>
                </c:pt>
                <c:pt idx="788">
                  <c:v>85.39576000000001</c:v>
                </c:pt>
                <c:pt idx="789">
                  <c:v>85.372500000000002</c:v>
                </c:pt>
                <c:pt idx="790">
                  <c:v>85.360860000000002</c:v>
                </c:pt>
                <c:pt idx="791">
                  <c:v>85.334130000000002</c:v>
                </c:pt>
                <c:pt idx="792">
                  <c:v>85.315160000000006</c:v>
                </c:pt>
                <c:pt idx="793">
                  <c:v>85.307420000000008</c:v>
                </c:pt>
                <c:pt idx="794">
                  <c:v>85.305490000000006</c:v>
                </c:pt>
                <c:pt idx="795">
                  <c:v>85.286200000000008</c:v>
                </c:pt>
                <c:pt idx="796">
                  <c:v>85.290150000000011</c:v>
                </c:pt>
                <c:pt idx="797">
                  <c:v>85.263290000000012</c:v>
                </c:pt>
                <c:pt idx="798">
                  <c:v>85.259370000000004</c:v>
                </c:pt>
                <c:pt idx="799">
                  <c:v>85.236490000000003</c:v>
                </c:pt>
                <c:pt idx="800">
                  <c:v>85.223050000000001</c:v>
                </c:pt>
                <c:pt idx="801">
                  <c:v>85.217240000000004</c:v>
                </c:pt>
                <c:pt idx="802">
                  <c:v>85.203749999999999</c:v>
                </c:pt>
                <c:pt idx="803">
                  <c:v>85.188659999999999</c:v>
                </c:pt>
                <c:pt idx="804">
                  <c:v>85.167450000000002</c:v>
                </c:pt>
                <c:pt idx="805">
                  <c:v>85.144270000000006</c:v>
                </c:pt>
                <c:pt idx="806">
                  <c:v>85.144300000000001</c:v>
                </c:pt>
                <c:pt idx="807">
                  <c:v>85.127130000000008</c:v>
                </c:pt>
                <c:pt idx="808">
                  <c:v>85.121459999999999</c:v>
                </c:pt>
                <c:pt idx="809">
                  <c:v>85.115620000000007</c:v>
                </c:pt>
                <c:pt idx="810">
                  <c:v>85.105930000000001</c:v>
                </c:pt>
                <c:pt idx="811">
                  <c:v>85.111840000000001</c:v>
                </c:pt>
                <c:pt idx="812">
                  <c:v>85.0792</c:v>
                </c:pt>
                <c:pt idx="813">
                  <c:v>85.073520000000002</c:v>
                </c:pt>
                <c:pt idx="814">
                  <c:v>85.046530000000004</c:v>
                </c:pt>
                <c:pt idx="815">
                  <c:v>85.063780000000008</c:v>
                </c:pt>
                <c:pt idx="816">
                  <c:v>85.037199999999999</c:v>
                </c:pt>
                <c:pt idx="817">
                  <c:v>85.017840000000007</c:v>
                </c:pt>
                <c:pt idx="818">
                  <c:v>85.008310000000009</c:v>
                </c:pt>
                <c:pt idx="819">
                  <c:v>85.014030000000005</c:v>
                </c:pt>
                <c:pt idx="820">
                  <c:v>84.990920000000003</c:v>
                </c:pt>
                <c:pt idx="821">
                  <c:v>84.979480000000009</c:v>
                </c:pt>
                <c:pt idx="822">
                  <c:v>84.968140000000005</c:v>
                </c:pt>
                <c:pt idx="823">
                  <c:v>84.977460000000008</c:v>
                </c:pt>
                <c:pt idx="824">
                  <c:v>84.941220000000001</c:v>
                </c:pt>
                <c:pt idx="825">
                  <c:v>84.924000000000007</c:v>
                </c:pt>
                <c:pt idx="826">
                  <c:v>84.941340000000011</c:v>
                </c:pt>
                <c:pt idx="827">
                  <c:v>84.904750000000007</c:v>
                </c:pt>
                <c:pt idx="828">
                  <c:v>84.897110000000012</c:v>
                </c:pt>
                <c:pt idx="829">
                  <c:v>84.876020000000011</c:v>
                </c:pt>
                <c:pt idx="830">
                  <c:v>84.874020000000002</c:v>
                </c:pt>
                <c:pt idx="831">
                  <c:v>84.85860000000001</c:v>
                </c:pt>
                <c:pt idx="832">
                  <c:v>84.826050000000009</c:v>
                </c:pt>
                <c:pt idx="833">
                  <c:v>84.824200000000005</c:v>
                </c:pt>
                <c:pt idx="834">
                  <c:v>84.81653</c:v>
                </c:pt>
                <c:pt idx="835">
                  <c:v>84.789720000000003</c:v>
                </c:pt>
                <c:pt idx="836">
                  <c:v>84.793330000000012</c:v>
                </c:pt>
                <c:pt idx="837">
                  <c:v>84.779940000000011</c:v>
                </c:pt>
                <c:pt idx="838">
                  <c:v>84.768510000000006</c:v>
                </c:pt>
                <c:pt idx="839">
                  <c:v>84.760730000000009</c:v>
                </c:pt>
                <c:pt idx="840">
                  <c:v>84.756900000000002</c:v>
                </c:pt>
                <c:pt idx="841">
                  <c:v>84.732040000000012</c:v>
                </c:pt>
                <c:pt idx="842">
                  <c:v>84.707260000000005</c:v>
                </c:pt>
                <c:pt idx="843">
                  <c:v>84.70714000000001</c:v>
                </c:pt>
                <c:pt idx="844">
                  <c:v>84.686050000000009</c:v>
                </c:pt>
                <c:pt idx="845">
                  <c:v>84.676610000000011</c:v>
                </c:pt>
                <c:pt idx="846">
                  <c:v>84.663049999999998</c:v>
                </c:pt>
                <c:pt idx="847">
                  <c:v>84.663160000000005</c:v>
                </c:pt>
                <c:pt idx="848">
                  <c:v>84.651679999999999</c:v>
                </c:pt>
                <c:pt idx="849">
                  <c:v>84.651560000000003</c:v>
                </c:pt>
                <c:pt idx="850">
                  <c:v>84.618950000000012</c:v>
                </c:pt>
                <c:pt idx="851">
                  <c:v>84.63261</c:v>
                </c:pt>
                <c:pt idx="852">
                  <c:v>84.617110000000011</c:v>
                </c:pt>
                <c:pt idx="853">
                  <c:v>84.590260000000001</c:v>
                </c:pt>
                <c:pt idx="854">
                  <c:v>84.594130000000007</c:v>
                </c:pt>
                <c:pt idx="855">
                  <c:v>84.572990000000004</c:v>
                </c:pt>
                <c:pt idx="856">
                  <c:v>84.574820000000003</c:v>
                </c:pt>
                <c:pt idx="857">
                  <c:v>84.551850000000002</c:v>
                </c:pt>
                <c:pt idx="858">
                  <c:v>84.544340000000005</c:v>
                </c:pt>
                <c:pt idx="859">
                  <c:v>84.525000000000006</c:v>
                </c:pt>
                <c:pt idx="860">
                  <c:v>84.538390000000007</c:v>
                </c:pt>
                <c:pt idx="861">
                  <c:v>84.509870000000006</c:v>
                </c:pt>
                <c:pt idx="862">
                  <c:v>84.50003000000001</c:v>
                </c:pt>
                <c:pt idx="863">
                  <c:v>84.484650000000002</c:v>
                </c:pt>
                <c:pt idx="864">
                  <c:v>84.488530000000011</c:v>
                </c:pt>
                <c:pt idx="865">
                  <c:v>84.459810000000004</c:v>
                </c:pt>
                <c:pt idx="866">
                  <c:v>84.454210000000003</c:v>
                </c:pt>
                <c:pt idx="867">
                  <c:v>84.45205</c:v>
                </c:pt>
                <c:pt idx="868">
                  <c:v>84.427210000000002</c:v>
                </c:pt>
                <c:pt idx="869">
                  <c:v>84.402390000000011</c:v>
                </c:pt>
                <c:pt idx="870">
                  <c:v>84.404260000000008</c:v>
                </c:pt>
                <c:pt idx="871">
                  <c:v>84.388919999999999</c:v>
                </c:pt>
                <c:pt idx="872">
                  <c:v>84.37154000000001</c:v>
                </c:pt>
                <c:pt idx="873">
                  <c:v>84.369680000000002</c:v>
                </c:pt>
                <c:pt idx="874">
                  <c:v>84.360130000000012</c:v>
                </c:pt>
                <c:pt idx="875">
                  <c:v>84.371690000000001</c:v>
                </c:pt>
                <c:pt idx="876">
                  <c:v>84.350700000000003</c:v>
                </c:pt>
                <c:pt idx="877">
                  <c:v>84.344850000000008</c:v>
                </c:pt>
                <c:pt idx="878">
                  <c:v>84.321719999999999</c:v>
                </c:pt>
                <c:pt idx="879">
                  <c:v>84.317970000000003</c:v>
                </c:pt>
                <c:pt idx="880">
                  <c:v>84.298839999999998</c:v>
                </c:pt>
                <c:pt idx="881">
                  <c:v>84.302820000000011</c:v>
                </c:pt>
                <c:pt idx="882">
                  <c:v>84.289190000000005</c:v>
                </c:pt>
                <c:pt idx="883">
                  <c:v>84.271979999999999</c:v>
                </c:pt>
                <c:pt idx="884">
                  <c:v>84.25282</c:v>
                </c:pt>
                <c:pt idx="885">
                  <c:v>84.243310000000008</c:v>
                </c:pt>
                <c:pt idx="886">
                  <c:v>84.227640000000008</c:v>
                </c:pt>
                <c:pt idx="887">
                  <c:v>84.199250000000006</c:v>
                </c:pt>
                <c:pt idx="888">
                  <c:v>84.185770000000005</c:v>
                </c:pt>
                <c:pt idx="889">
                  <c:v>84.185760000000002</c:v>
                </c:pt>
                <c:pt idx="890">
                  <c:v>84.18368000000001</c:v>
                </c:pt>
                <c:pt idx="891">
                  <c:v>84.18171000000001</c:v>
                </c:pt>
                <c:pt idx="892">
                  <c:v>84.170420000000007</c:v>
                </c:pt>
                <c:pt idx="893">
                  <c:v>84.145470000000003</c:v>
                </c:pt>
                <c:pt idx="894">
                  <c:v>84.139540000000011</c:v>
                </c:pt>
                <c:pt idx="895">
                  <c:v>84.132140000000007</c:v>
                </c:pt>
                <c:pt idx="896">
                  <c:v>84.128100000000003</c:v>
                </c:pt>
                <c:pt idx="897">
                  <c:v>84.110800000000012</c:v>
                </c:pt>
                <c:pt idx="898">
                  <c:v>84.093500000000006</c:v>
                </c:pt>
                <c:pt idx="899">
                  <c:v>84.09375</c:v>
                </c:pt>
                <c:pt idx="900">
                  <c:v>84.064670000000007</c:v>
                </c:pt>
                <c:pt idx="901">
                  <c:v>84.070570000000004</c:v>
                </c:pt>
                <c:pt idx="902">
                  <c:v>84.045580000000001</c:v>
                </c:pt>
                <c:pt idx="903">
                  <c:v>84.030250000000009</c:v>
                </c:pt>
                <c:pt idx="904">
                  <c:v>84.030370000000005</c:v>
                </c:pt>
                <c:pt idx="905">
                  <c:v>84.028260000000003</c:v>
                </c:pt>
                <c:pt idx="906">
                  <c:v>84.01682000000001</c:v>
                </c:pt>
                <c:pt idx="907">
                  <c:v>83.999720000000011</c:v>
                </c:pt>
                <c:pt idx="908">
                  <c:v>83.98818</c:v>
                </c:pt>
                <c:pt idx="909">
                  <c:v>83.988150000000005</c:v>
                </c:pt>
                <c:pt idx="910">
                  <c:v>83.971100000000007</c:v>
                </c:pt>
                <c:pt idx="911">
                  <c:v>83.947770000000006</c:v>
                </c:pt>
                <c:pt idx="912">
                  <c:v>83.955650000000006</c:v>
                </c:pt>
                <c:pt idx="913">
                  <c:v>83.934340000000006</c:v>
                </c:pt>
                <c:pt idx="914">
                  <c:v>83.942070000000001</c:v>
                </c:pt>
                <c:pt idx="915">
                  <c:v>83.930610000000001</c:v>
                </c:pt>
                <c:pt idx="916">
                  <c:v>83.911450000000002</c:v>
                </c:pt>
                <c:pt idx="917">
                  <c:v>83.894420000000011</c:v>
                </c:pt>
                <c:pt idx="918">
                  <c:v>83.901810000000012</c:v>
                </c:pt>
                <c:pt idx="919">
                  <c:v>83.87118000000001</c:v>
                </c:pt>
                <c:pt idx="920">
                  <c:v>83.872930000000011</c:v>
                </c:pt>
                <c:pt idx="921">
                  <c:v>83.846360000000004</c:v>
                </c:pt>
                <c:pt idx="922">
                  <c:v>83.844390000000004</c:v>
                </c:pt>
                <c:pt idx="923">
                  <c:v>83.830950000000001</c:v>
                </c:pt>
                <c:pt idx="924">
                  <c:v>83.836600000000004</c:v>
                </c:pt>
                <c:pt idx="925">
                  <c:v>83.83108</c:v>
                </c:pt>
                <c:pt idx="926">
                  <c:v>83.819320000000005</c:v>
                </c:pt>
                <c:pt idx="927">
                  <c:v>83.806060000000002</c:v>
                </c:pt>
                <c:pt idx="928">
                  <c:v>83.798230000000004</c:v>
                </c:pt>
                <c:pt idx="929">
                  <c:v>83.792529999999999</c:v>
                </c:pt>
                <c:pt idx="930">
                  <c:v>83.778930000000003</c:v>
                </c:pt>
                <c:pt idx="931">
                  <c:v>83.763640000000009</c:v>
                </c:pt>
                <c:pt idx="932">
                  <c:v>83.750330000000005</c:v>
                </c:pt>
                <c:pt idx="933">
                  <c:v>83.738950000000003</c:v>
                </c:pt>
                <c:pt idx="934">
                  <c:v>83.723610000000008</c:v>
                </c:pt>
                <c:pt idx="935">
                  <c:v>83.702330000000003</c:v>
                </c:pt>
                <c:pt idx="936">
                  <c:v>83.71032000000001</c:v>
                </c:pt>
                <c:pt idx="937">
                  <c:v>83.688950000000006</c:v>
                </c:pt>
                <c:pt idx="938">
                  <c:v>83.694990000000004</c:v>
                </c:pt>
                <c:pt idx="939">
                  <c:v>83.669730000000001</c:v>
                </c:pt>
                <c:pt idx="940">
                  <c:v>83.665930000000003</c:v>
                </c:pt>
                <c:pt idx="941">
                  <c:v>83.637140000000002</c:v>
                </c:pt>
                <c:pt idx="942">
                  <c:v>83.616060000000004</c:v>
                </c:pt>
                <c:pt idx="943">
                  <c:v>83.635290000000012</c:v>
                </c:pt>
                <c:pt idx="944">
                  <c:v>83.646619999999999</c:v>
                </c:pt>
                <c:pt idx="945">
                  <c:v>83.610430000000008</c:v>
                </c:pt>
                <c:pt idx="946">
                  <c:v>83.59508000000001</c:v>
                </c:pt>
                <c:pt idx="947">
                  <c:v>83.600800000000007</c:v>
                </c:pt>
                <c:pt idx="948">
                  <c:v>83.600800000000007</c:v>
                </c:pt>
                <c:pt idx="949">
                  <c:v>83.598849999999999</c:v>
                </c:pt>
                <c:pt idx="950">
                  <c:v>83.566190000000006</c:v>
                </c:pt>
                <c:pt idx="951">
                  <c:v>83.579720000000009</c:v>
                </c:pt>
                <c:pt idx="952">
                  <c:v>83.581740000000011</c:v>
                </c:pt>
                <c:pt idx="953">
                  <c:v>83.531810000000007</c:v>
                </c:pt>
                <c:pt idx="954">
                  <c:v>83.518430000000009</c:v>
                </c:pt>
                <c:pt idx="955">
                  <c:v>83.543320000000008</c:v>
                </c:pt>
                <c:pt idx="956">
                  <c:v>83.514540000000011</c:v>
                </c:pt>
                <c:pt idx="957">
                  <c:v>83.506990000000002</c:v>
                </c:pt>
                <c:pt idx="958">
                  <c:v>83.48763000000001</c:v>
                </c:pt>
                <c:pt idx="959">
                  <c:v>83.485720000000001</c:v>
                </c:pt>
                <c:pt idx="960">
                  <c:v>83.480100000000007</c:v>
                </c:pt>
                <c:pt idx="961">
                  <c:v>83.459130000000002</c:v>
                </c:pt>
                <c:pt idx="962">
                  <c:v>83.447420000000008</c:v>
                </c:pt>
                <c:pt idx="963">
                  <c:v>83.454920000000001</c:v>
                </c:pt>
                <c:pt idx="964">
                  <c:v>83.441600000000008</c:v>
                </c:pt>
                <c:pt idx="965">
                  <c:v>83.424450000000007</c:v>
                </c:pt>
                <c:pt idx="966">
                  <c:v>83.416910000000001</c:v>
                </c:pt>
                <c:pt idx="967">
                  <c:v>83.409030000000001</c:v>
                </c:pt>
                <c:pt idx="968">
                  <c:v>83.39</c:v>
                </c:pt>
                <c:pt idx="969">
                  <c:v>83.361080000000001</c:v>
                </c:pt>
                <c:pt idx="970">
                  <c:v>83.366900000000001</c:v>
                </c:pt>
                <c:pt idx="971">
                  <c:v>83.341890000000006</c:v>
                </c:pt>
                <c:pt idx="972">
                  <c:v>83.34378000000001</c:v>
                </c:pt>
                <c:pt idx="973">
                  <c:v>83.345890000000011</c:v>
                </c:pt>
                <c:pt idx="974">
                  <c:v>83.330520000000007</c:v>
                </c:pt>
                <c:pt idx="975">
                  <c:v>83.31692000000001</c:v>
                </c:pt>
                <c:pt idx="976">
                  <c:v>83.320910000000012</c:v>
                </c:pt>
                <c:pt idx="977">
                  <c:v>83.293900000000008</c:v>
                </c:pt>
                <c:pt idx="978">
                  <c:v>83.282589999999999</c:v>
                </c:pt>
                <c:pt idx="979">
                  <c:v>83.28052000000001</c:v>
                </c:pt>
                <c:pt idx="980">
                  <c:v>83.276700000000005</c:v>
                </c:pt>
                <c:pt idx="981">
                  <c:v>83.25188</c:v>
                </c:pt>
                <c:pt idx="982">
                  <c:v>83.251830000000012</c:v>
                </c:pt>
                <c:pt idx="983">
                  <c:v>83.240400000000008</c:v>
                </c:pt>
                <c:pt idx="984">
                  <c:v>83.228890000000007</c:v>
                </c:pt>
                <c:pt idx="985">
                  <c:v>83.221220000000002</c:v>
                </c:pt>
                <c:pt idx="986">
                  <c:v>83.20956000000001</c:v>
                </c:pt>
                <c:pt idx="987">
                  <c:v>83.182749999999999</c:v>
                </c:pt>
                <c:pt idx="988">
                  <c:v>83.188590000000005</c:v>
                </c:pt>
                <c:pt idx="989">
                  <c:v>83.176990000000004</c:v>
                </c:pt>
                <c:pt idx="990">
                  <c:v>83.171270000000007</c:v>
                </c:pt>
                <c:pt idx="991">
                  <c:v>83.159900000000007</c:v>
                </c:pt>
                <c:pt idx="992">
                  <c:v>83.163850000000011</c:v>
                </c:pt>
                <c:pt idx="993">
                  <c:v>83.148250000000004</c:v>
                </c:pt>
                <c:pt idx="994">
                  <c:v>83.148320000000012</c:v>
                </c:pt>
                <c:pt idx="995">
                  <c:v>83.127189999999999</c:v>
                </c:pt>
                <c:pt idx="996">
                  <c:v>83.13676000000001</c:v>
                </c:pt>
                <c:pt idx="997">
                  <c:v>83.111800000000002</c:v>
                </c:pt>
                <c:pt idx="998">
                  <c:v>83.092550000000003</c:v>
                </c:pt>
                <c:pt idx="999">
                  <c:v>83.09451</c:v>
                </c:pt>
                <c:pt idx="1000">
                  <c:v>83.075280000000006</c:v>
                </c:pt>
                <c:pt idx="1001">
                  <c:v>83.071400000000011</c:v>
                </c:pt>
                <c:pt idx="1002">
                  <c:v>83.067959999999999</c:v>
                </c:pt>
                <c:pt idx="1003">
                  <c:v>83.063880000000012</c:v>
                </c:pt>
                <c:pt idx="1004">
                  <c:v>83.052550000000011</c:v>
                </c:pt>
                <c:pt idx="1005">
                  <c:v>83.03707</c:v>
                </c:pt>
                <c:pt idx="1006">
                  <c:v>83.040700000000001</c:v>
                </c:pt>
                <c:pt idx="1007">
                  <c:v>83.010170000000002</c:v>
                </c:pt>
                <c:pt idx="1008">
                  <c:v>83.008220000000009</c:v>
                </c:pt>
                <c:pt idx="1009">
                  <c:v>83.008340000000004</c:v>
                </c:pt>
                <c:pt idx="1010">
                  <c:v>82.998780000000011</c:v>
                </c:pt>
                <c:pt idx="1011">
                  <c:v>82.973920000000007</c:v>
                </c:pt>
                <c:pt idx="1012">
                  <c:v>82.96793000000001</c:v>
                </c:pt>
                <c:pt idx="1013">
                  <c:v>82.97017000000001</c:v>
                </c:pt>
                <c:pt idx="1014">
                  <c:v>82.960419999999999</c:v>
                </c:pt>
                <c:pt idx="1015">
                  <c:v>82.946970000000007</c:v>
                </c:pt>
                <c:pt idx="1016">
                  <c:v>82.94314</c:v>
                </c:pt>
                <c:pt idx="1017">
                  <c:v>82.92983000000001</c:v>
                </c:pt>
                <c:pt idx="1018">
                  <c:v>82.927810000000008</c:v>
                </c:pt>
                <c:pt idx="1019">
                  <c:v>82.918140000000008</c:v>
                </c:pt>
                <c:pt idx="1020">
                  <c:v>82.906620000000004</c:v>
                </c:pt>
                <c:pt idx="1021">
                  <c:v>82.89913</c:v>
                </c:pt>
                <c:pt idx="1022">
                  <c:v>82.893200000000007</c:v>
                </c:pt>
                <c:pt idx="1023">
                  <c:v>82.872010000000003</c:v>
                </c:pt>
                <c:pt idx="1024">
                  <c:v>82.870310000000003</c:v>
                </c:pt>
                <c:pt idx="1025">
                  <c:v>82.85878000000001</c:v>
                </c:pt>
                <c:pt idx="1026">
                  <c:v>82.860730000000004</c:v>
                </c:pt>
                <c:pt idx="1027">
                  <c:v>82.847210000000004</c:v>
                </c:pt>
                <c:pt idx="1028">
                  <c:v>82.84911000000001</c:v>
                </c:pt>
                <c:pt idx="1029">
                  <c:v>82.835850000000008</c:v>
                </c:pt>
                <c:pt idx="1030">
                  <c:v>82.812989999999999</c:v>
                </c:pt>
                <c:pt idx="1031">
                  <c:v>82.820340000000002</c:v>
                </c:pt>
                <c:pt idx="1032">
                  <c:v>82.810839999999999</c:v>
                </c:pt>
                <c:pt idx="1033">
                  <c:v>82.803049999999999</c:v>
                </c:pt>
                <c:pt idx="1034">
                  <c:v>82.791730000000001</c:v>
                </c:pt>
                <c:pt idx="1035">
                  <c:v>82.778240000000011</c:v>
                </c:pt>
                <c:pt idx="1036">
                  <c:v>82.778230000000008</c:v>
                </c:pt>
                <c:pt idx="1037">
                  <c:v>82.757020000000011</c:v>
                </c:pt>
                <c:pt idx="1038">
                  <c:v>82.747600000000006</c:v>
                </c:pt>
                <c:pt idx="1039">
                  <c:v>82.745710000000003</c:v>
                </c:pt>
                <c:pt idx="1040">
                  <c:v>82.724680000000006</c:v>
                </c:pt>
                <c:pt idx="1041">
                  <c:v>82.722550000000012</c:v>
                </c:pt>
                <c:pt idx="1042">
                  <c:v>82.720790000000008</c:v>
                </c:pt>
                <c:pt idx="1043">
                  <c:v>82.705510000000004</c:v>
                </c:pt>
                <c:pt idx="1044">
                  <c:v>82.716860000000011</c:v>
                </c:pt>
                <c:pt idx="1045">
                  <c:v>82.684440000000009</c:v>
                </c:pt>
                <c:pt idx="1046">
                  <c:v>82.699550000000002</c:v>
                </c:pt>
                <c:pt idx="1047">
                  <c:v>82.67653</c:v>
                </c:pt>
                <c:pt idx="1048">
                  <c:v>82.663270000000011</c:v>
                </c:pt>
                <c:pt idx="1049">
                  <c:v>82.664930000000012</c:v>
                </c:pt>
                <c:pt idx="1050">
                  <c:v>82.642040000000009</c:v>
                </c:pt>
                <c:pt idx="1051">
                  <c:v>82.651880000000006</c:v>
                </c:pt>
                <c:pt idx="1052">
                  <c:v>82.645859999999999</c:v>
                </c:pt>
                <c:pt idx="1053">
                  <c:v>82.628770000000003</c:v>
                </c:pt>
                <c:pt idx="1054">
                  <c:v>82.599789999999999</c:v>
                </c:pt>
                <c:pt idx="1055">
                  <c:v>82.628550000000004</c:v>
                </c:pt>
                <c:pt idx="1056">
                  <c:v>82.590370000000007</c:v>
                </c:pt>
                <c:pt idx="1057">
                  <c:v>82.58259000000001</c:v>
                </c:pt>
                <c:pt idx="1058">
                  <c:v>82.578820000000007</c:v>
                </c:pt>
                <c:pt idx="1059">
                  <c:v>82.567340000000002</c:v>
                </c:pt>
                <c:pt idx="1060">
                  <c:v>82.555810000000008</c:v>
                </c:pt>
                <c:pt idx="1061">
                  <c:v>82.53661000000001</c:v>
                </c:pt>
                <c:pt idx="1062">
                  <c:v>82.532970000000006</c:v>
                </c:pt>
                <c:pt idx="1063">
                  <c:v>82.515410000000003</c:v>
                </c:pt>
                <c:pt idx="1064">
                  <c:v>82.515560000000008</c:v>
                </c:pt>
                <c:pt idx="1065">
                  <c:v>82.505949999999999</c:v>
                </c:pt>
                <c:pt idx="1066">
                  <c:v>82.511510000000001</c:v>
                </c:pt>
                <c:pt idx="1067">
                  <c:v>82.49288</c:v>
                </c:pt>
                <c:pt idx="1068">
                  <c:v>82.503930000000011</c:v>
                </c:pt>
                <c:pt idx="1069">
                  <c:v>82.477310000000003</c:v>
                </c:pt>
                <c:pt idx="1070">
                  <c:v>82.467370000000003</c:v>
                </c:pt>
                <c:pt idx="1071">
                  <c:v>82.461890000000011</c:v>
                </c:pt>
                <c:pt idx="1072">
                  <c:v>82.450299999999999</c:v>
                </c:pt>
                <c:pt idx="1073">
                  <c:v>82.43310000000001</c:v>
                </c:pt>
                <c:pt idx="1074">
                  <c:v>82.438780000000008</c:v>
                </c:pt>
                <c:pt idx="1075">
                  <c:v>82.429460000000006</c:v>
                </c:pt>
                <c:pt idx="1076">
                  <c:v>82.425490000000011</c:v>
                </c:pt>
                <c:pt idx="1077">
                  <c:v>82.40831</c:v>
                </c:pt>
                <c:pt idx="1078">
                  <c:v>82.388990000000007</c:v>
                </c:pt>
                <c:pt idx="1079">
                  <c:v>82.396560000000008</c:v>
                </c:pt>
                <c:pt idx="1080">
                  <c:v>82.379200000000012</c:v>
                </c:pt>
                <c:pt idx="1081">
                  <c:v>82.36591</c:v>
                </c:pt>
                <c:pt idx="1082">
                  <c:v>82.371880000000004</c:v>
                </c:pt>
                <c:pt idx="1083">
                  <c:v>82.371700000000004</c:v>
                </c:pt>
                <c:pt idx="1084">
                  <c:v>82.369710000000012</c:v>
                </c:pt>
                <c:pt idx="1085">
                  <c:v>82.371570000000006</c:v>
                </c:pt>
                <c:pt idx="1086">
                  <c:v>82.34499000000001</c:v>
                </c:pt>
                <c:pt idx="1087">
                  <c:v>82.333420000000004</c:v>
                </c:pt>
                <c:pt idx="1088">
                  <c:v>82.331410000000005</c:v>
                </c:pt>
                <c:pt idx="1089">
                  <c:v>82.32771000000001</c:v>
                </c:pt>
                <c:pt idx="1090">
                  <c:v>82.310410000000005</c:v>
                </c:pt>
                <c:pt idx="1091">
                  <c:v>82.31429</c:v>
                </c:pt>
                <c:pt idx="1092">
                  <c:v>82.310410000000005</c:v>
                </c:pt>
                <c:pt idx="1093">
                  <c:v>82.294880000000006</c:v>
                </c:pt>
                <c:pt idx="1094">
                  <c:v>82.275770000000009</c:v>
                </c:pt>
                <c:pt idx="1095">
                  <c:v>82.285430000000005</c:v>
                </c:pt>
                <c:pt idx="1096">
                  <c:v>82.266300000000001</c:v>
                </c:pt>
                <c:pt idx="1097">
                  <c:v>82.252960000000002</c:v>
                </c:pt>
                <c:pt idx="1098">
                  <c:v>82.254870000000011</c:v>
                </c:pt>
                <c:pt idx="1099">
                  <c:v>82.254800000000003</c:v>
                </c:pt>
                <c:pt idx="1100">
                  <c:v>82.227980000000002</c:v>
                </c:pt>
                <c:pt idx="1101">
                  <c:v>82.229800000000012</c:v>
                </c:pt>
                <c:pt idx="1102">
                  <c:v>82.216380000000001</c:v>
                </c:pt>
                <c:pt idx="1103">
                  <c:v>82.224060000000009</c:v>
                </c:pt>
                <c:pt idx="1104">
                  <c:v>82.210560000000001</c:v>
                </c:pt>
                <c:pt idx="1105">
                  <c:v>82.214430000000007</c:v>
                </c:pt>
                <c:pt idx="1106">
                  <c:v>82.193260000000009</c:v>
                </c:pt>
                <c:pt idx="1107">
                  <c:v>82.174270000000007</c:v>
                </c:pt>
                <c:pt idx="1108">
                  <c:v>82.17992000000001</c:v>
                </c:pt>
                <c:pt idx="1109">
                  <c:v>82.172080000000008</c:v>
                </c:pt>
                <c:pt idx="1110">
                  <c:v>82.166460000000001</c:v>
                </c:pt>
                <c:pt idx="1111">
                  <c:v>82.145430000000005</c:v>
                </c:pt>
                <c:pt idx="1112">
                  <c:v>82.15692</c:v>
                </c:pt>
                <c:pt idx="1113">
                  <c:v>82.135940000000005</c:v>
                </c:pt>
                <c:pt idx="1114">
                  <c:v>82.126280000000008</c:v>
                </c:pt>
                <c:pt idx="1115">
                  <c:v>82.135810000000006</c:v>
                </c:pt>
                <c:pt idx="1116">
                  <c:v>82.137840000000011</c:v>
                </c:pt>
                <c:pt idx="1117">
                  <c:v>82.116489999999999</c:v>
                </c:pt>
                <c:pt idx="1118">
                  <c:v>82.107089999999999</c:v>
                </c:pt>
                <c:pt idx="1119">
                  <c:v>82.124340000000004</c:v>
                </c:pt>
                <c:pt idx="1120">
                  <c:v>82.116600000000005</c:v>
                </c:pt>
                <c:pt idx="1121">
                  <c:v>82.120450000000005</c:v>
                </c:pt>
                <c:pt idx="1122">
                  <c:v>82.095650000000006</c:v>
                </c:pt>
                <c:pt idx="1123">
                  <c:v>82.072770000000006</c:v>
                </c:pt>
                <c:pt idx="1124">
                  <c:v>82.066940000000002</c:v>
                </c:pt>
                <c:pt idx="1125">
                  <c:v>82.084060000000008</c:v>
                </c:pt>
                <c:pt idx="1126">
                  <c:v>82.05744</c:v>
                </c:pt>
                <c:pt idx="1127">
                  <c:v>82.063020000000009</c:v>
                </c:pt>
                <c:pt idx="1128">
                  <c:v>82.068780000000004</c:v>
                </c:pt>
                <c:pt idx="1129">
                  <c:v>82.051510000000007</c:v>
                </c:pt>
                <c:pt idx="1130">
                  <c:v>82.051439999999999</c:v>
                </c:pt>
                <c:pt idx="1131">
                  <c:v>82.043680000000009</c:v>
                </c:pt>
                <c:pt idx="1132">
                  <c:v>82.034000000000006</c:v>
                </c:pt>
                <c:pt idx="1133">
                  <c:v>82.026700000000005</c:v>
                </c:pt>
                <c:pt idx="1134">
                  <c:v>82.011320000000012</c:v>
                </c:pt>
                <c:pt idx="1135">
                  <c:v>81.999570000000006</c:v>
                </c:pt>
                <c:pt idx="1136">
                  <c:v>81.994129999999998</c:v>
                </c:pt>
                <c:pt idx="1137">
                  <c:v>82.007230000000007</c:v>
                </c:pt>
                <c:pt idx="1138">
                  <c:v>81.976740000000007</c:v>
                </c:pt>
                <c:pt idx="1139">
                  <c:v>81.978590000000011</c:v>
                </c:pt>
                <c:pt idx="1140">
                  <c:v>81.986330000000009</c:v>
                </c:pt>
                <c:pt idx="1141">
                  <c:v>81.972850000000008</c:v>
                </c:pt>
                <c:pt idx="1142">
                  <c:v>81.959670000000003</c:v>
                </c:pt>
                <c:pt idx="1143">
                  <c:v>81.95938000000001</c:v>
                </c:pt>
                <c:pt idx="1144">
                  <c:v>81.947860000000006</c:v>
                </c:pt>
                <c:pt idx="1145">
                  <c:v>81.949860000000001</c:v>
                </c:pt>
                <c:pt idx="1146">
                  <c:v>81.940430000000006</c:v>
                </c:pt>
                <c:pt idx="1147">
                  <c:v>81.926880000000011</c:v>
                </c:pt>
                <c:pt idx="1148">
                  <c:v>81.930840000000003</c:v>
                </c:pt>
                <c:pt idx="1149">
                  <c:v>81.899979999999999</c:v>
                </c:pt>
                <c:pt idx="1150">
                  <c:v>81.928740000000005</c:v>
                </c:pt>
                <c:pt idx="1151">
                  <c:v>81.886580000000009</c:v>
                </c:pt>
                <c:pt idx="1152">
                  <c:v>81.890470000000008</c:v>
                </c:pt>
                <c:pt idx="1153">
                  <c:v>81.888750000000002</c:v>
                </c:pt>
                <c:pt idx="1154">
                  <c:v>81.857849999999999</c:v>
                </c:pt>
                <c:pt idx="1155">
                  <c:v>81.863399999999999</c:v>
                </c:pt>
                <c:pt idx="1156">
                  <c:v>81.871350000000007</c:v>
                </c:pt>
                <c:pt idx="1157">
                  <c:v>81.848280000000003</c:v>
                </c:pt>
                <c:pt idx="1158">
                  <c:v>81.871300000000005</c:v>
                </c:pt>
                <c:pt idx="1159">
                  <c:v>81.867429999999999</c:v>
                </c:pt>
                <c:pt idx="1160">
                  <c:v>81.850190000000012</c:v>
                </c:pt>
                <c:pt idx="1161">
                  <c:v>81.840440000000001</c:v>
                </c:pt>
                <c:pt idx="1162">
                  <c:v>81.852200000000011</c:v>
                </c:pt>
                <c:pt idx="1163">
                  <c:v>81.823390000000003</c:v>
                </c:pt>
                <c:pt idx="1164">
                  <c:v>81.825280000000006</c:v>
                </c:pt>
                <c:pt idx="1165">
                  <c:v>81.81759000000001</c:v>
                </c:pt>
                <c:pt idx="1166">
                  <c:v>81.806150000000002</c:v>
                </c:pt>
                <c:pt idx="1167">
                  <c:v>81.802180000000007</c:v>
                </c:pt>
                <c:pt idx="1168">
                  <c:v>81.800250000000005</c:v>
                </c:pt>
                <c:pt idx="1169">
                  <c:v>81.771510000000006</c:v>
                </c:pt>
                <c:pt idx="1170">
                  <c:v>81.792730000000006</c:v>
                </c:pt>
                <c:pt idx="1171">
                  <c:v>81.767589999999998</c:v>
                </c:pt>
                <c:pt idx="1172">
                  <c:v>81.763860000000008</c:v>
                </c:pt>
                <c:pt idx="1173">
                  <c:v>81.767650000000003</c:v>
                </c:pt>
                <c:pt idx="1174">
                  <c:v>81.760069999999999</c:v>
                </c:pt>
                <c:pt idx="1175">
                  <c:v>81.760050000000007</c:v>
                </c:pt>
                <c:pt idx="1176">
                  <c:v>81.744700000000009</c:v>
                </c:pt>
                <c:pt idx="1177">
                  <c:v>81.744800000000012</c:v>
                </c:pt>
                <c:pt idx="1178">
                  <c:v>81.727560000000011</c:v>
                </c:pt>
                <c:pt idx="1179">
                  <c:v>81.748460000000009</c:v>
                </c:pt>
                <c:pt idx="1180">
                  <c:v>81.72563000000001</c:v>
                </c:pt>
                <c:pt idx="1181">
                  <c:v>81.71584</c:v>
                </c:pt>
                <c:pt idx="1182">
                  <c:v>81.727400000000003</c:v>
                </c:pt>
                <c:pt idx="1183">
                  <c:v>81.713890000000006</c:v>
                </c:pt>
                <c:pt idx="1184">
                  <c:v>81.702340000000007</c:v>
                </c:pt>
                <c:pt idx="1185">
                  <c:v>81.691090000000003</c:v>
                </c:pt>
                <c:pt idx="1186">
                  <c:v>81.662559999999999</c:v>
                </c:pt>
                <c:pt idx="1187">
                  <c:v>81.689160000000001</c:v>
                </c:pt>
                <c:pt idx="1188">
                  <c:v>81.66031000000001</c:v>
                </c:pt>
                <c:pt idx="1189">
                  <c:v>81.662310000000005</c:v>
                </c:pt>
                <c:pt idx="1190">
                  <c:v>81.641230000000007</c:v>
                </c:pt>
                <c:pt idx="1191">
                  <c:v>81.643090000000001</c:v>
                </c:pt>
                <c:pt idx="1192">
                  <c:v>81.631489999999999</c:v>
                </c:pt>
                <c:pt idx="1193">
                  <c:v>81.635339999999999</c:v>
                </c:pt>
                <c:pt idx="1194">
                  <c:v>81.612560000000002</c:v>
                </c:pt>
                <c:pt idx="1195">
                  <c:v>81.618130000000008</c:v>
                </c:pt>
                <c:pt idx="1196">
                  <c:v>81.593389999999999</c:v>
                </c:pt>
                <c:pt idx="1197">
                  <c:v>81.600909999999999</c:v>
                </c:pt>
                <c:pt idx="1198">
                  <c:v>81.59329000000001</c:v>
                </c:pt>
                <c:pt idx="1199">
                  <c:v>81.585450000000009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FD-0548-903D-BCA593E38B27}"/>
            </c:ext>
          </c:extLst>
        </c:ser>
        <c:ser>
          <c:idx val="1"/>
          <c:order val="1"/>
          <c:tx>
            <c:v>Odin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Data'!$AE$4:$AE$1203</c:f>
              <c:numCache>
                <c:formatCode>General</c:formatCode>
                <c:ptCount val="12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</c:numCache>
            </c:numRef>
          </c:xVal>
          <c:yVal>
            <c:numRef>
              <c:f>'All Data'!$AG$4:$AG$1203</c:f>
              <c:numCache>
                <c:formatCode>0.00000</c:formatCode>
                <c:ptCount val="1200"/>
                <c:pt idx="0">
                  <c:v>100</c:v>
                </c:pt>
                <c:pt idx="1">
                  <c:v>100.16745999999999</c:v>
                </c:pt>
                <c:pt idx="2">
                  <c:v>100.38521999999999</c:v>
                </c:pt>
                <c:pt idx="3">
                  <c:v>100.45992</c:v>
                </c:pt>
                <c:pt idx="4">
                  <c:v>100.41613</c:v>
                </c:pt>
                <c:pt idx="5">
                  <c:v>100.52878</c:v>
                </c:pt>
                <c:pt idx="6">
                  <c:v>100.37039999999999</c:v>
                </c:pt>
                <c:pt idx="7">
                  <c:v>100.40330999999999</c:v>
                </c:pt>
                <c:pt idx="8">
                  <c:v>100.51648</c:v>
                </c:pt>
                <c:pt idx="9">
                  <c:v>100.39946999999999</c:v>
                </c:pt>
                <c:pt idx="10">
                  <c:v>100.43297</c:v>
                </c:pt>
                <c:pt idx="11">
                  <c:v>100.41251</c:v>
                </c:pt>
                <c:pt idx="12">
                  <c:v>100.34058999999999</c:v>
                </c:pt>
                <c:pt idx="13">
                  <c:v>100.47059</c:v>
                </c:pt>
                <c:pt idx="14">
                  <c:v>100.33069999999999</c:v>
                </c:pt>
                <c:pt idx="15">
                  <c:v>100.37652</c:v>
                </c:pt>
                <c:pt idx="16">
                  <c:v>100.37814</c:v>
                </c:pt>
                <c:pt idx="17">
                  <c:v>100.29899999999999</c:v>
                </c:pt>
                <c:pt idx="18">
                  <c:v>100.38423999999999</c:v>
                </c:pt>
                <c:pt idx="19">
                  <c:v>100.34398</c:v>
                </c:pt>
                <c:pt idx="20">
                  <c:v>100.25300999999999</c:v>
                </c:pt>
                <c:pt idx="21">
                  <c:v>100.31518</c:v>
                </c:pt>
                <c:pt idx="22">
                  <c:v>100.28075</c:v>
                </c:pt>
                <c:pt idx="23">
                  <c:v>100.31251999999999</c:v>
                </c:pt>
                <c:pt idx="24">
                  <c:v>100.14219</c:v>
                </c:pt>
                <c:pt idx="25">
                  <c:v>100.22987999999999</c:v>
                </c:pt>
                <c:pt idx="26">
                  <c:v>100.18235</c:v>
                </c:pt>
                <c:pt idx="27">
                  <c:v>100.18432</c:v>
                </c:pt>
                <c:pt idx="28">
                  <c:v>100.22439999999999</c:v>
                </c:pt>
                <c:pt idx="29">
                  <c:v>100.15835</c:v>
                </c:pt>
                <c:pt idx="30">
                  <c:v>100.21445</c:v>
                </c:pt>
                <c:pt idx="31">
                  <c:v>100.13041</c:v>
                </c:pt>
                <c:pt idx="32">
                  <c:v>100.13019</c:v>
                </c:pt>
                <c:pt idx="33">
                  <c:v>100.14869</c:v>
                </c:pt>
                <c:pt idx="34">
                  <c:v>100.08756</c:v>
                </c:pt>
                <c:pt idx="35">
                  <c:v>100.09724</c:v>
                </c:pt>
                <c:pt idx="36">
                  <c:v>100.15094999999999</c:v>
                </c:pt>
                <c:pt idx="37">
                  <c:v>100.05494999999999</c:v>
                </c:pt>
                <c:pt idx="38">
                  <c:v>100.07965999999999</c:v>
                </c:pt>
                <c:pt idx="39">
                  <c:v>100.00578999999999</c:v>
                </c:pt>
                <c:pt idx="40">
                  <c:v>100.05875999999999</c:v>
                </c:pt>
                <c:pt idx="41">
                  <c:v>99.904929999999993</c:v>
                </c:pt>
                <c:pt idx="42">
                  <c:v>100.00327</c:v>
                </c:pt>
                <c:pt idx="43">
                  <c:v>99.852969999999999</c:v>
                </c:pt>
                <c:pt idx="44">
                  <c:v>99.951679999999996</c:v>
                </c:pt>
                <c:pt idx="45">
                  <c:v>99.929829999999995</c:v>
                </c:pt>
                <c:pt idx="46">
                  <c:v>99.93513999999999</c:v>
                </c:pt>
                <c:pt idx="47">
                  <c:v>99.915599999999998</c:v>
                </c:pt>
                <c:pt idx="48">
                  <c:v>99.890039999999999</c:v>
                </c:pt>
                <c:pt idx="49">
                  <c:v>99.796909999999997</c:v>
                </c:pt>
                <c:pt idx="50">
                  <c:v>99.754390000000001</c:v>
                </c:pt>
                <c:pt idx="51">
                  <c:v>99.765229999999988</c:v>
                </c:pt>
                <c:pt idx="52">
                  <c:v>99.738609999999994</c:v>
                </c:pt>
                <c:pt idx="53">
                  <c:v>99.806439999999995</c:v>
                </c:pt>
                <c:pt idx="54">
                  <c:v>99.745559999999998</c:v>
                </c:pt>
                <c:pt idx="55">
                  <c:v>99.677430000000001</c:v>
                </c:pt>
                <c:pt idx="56">
                  <c:v>99.727679999999992</c:v>
                </c:pt>
                <c:pt idx="57">
                  <c:v>99.729459999999989</c:v>
                </c:pt>
                <c:pt idx="58">
                  <c:v>99.673289999999994</c:v>
                </c:pt>
                <c:pt idx="59">
                  <c:v>99.601209999999995</c:v>
                </c:pt>
                <c:pt idx="60">
                  <c:v>99.599489999999989</c:v>
                </c:pt>
                <c:pt idx="61">
                  <c:v>99.632959999999997</c:v>
                </c:pt>
                <c:pt idx="62">
                  <c:v>99.604949999999988</c:v>
                </c:pt>
                <c:pt idx="63">
                  <c:v>99.620599999999996</c:v>
                </c:pt>
                <c:pt idx="64">
                  <c:v>99.587399999999988</c:v>
                </c:pt>
                <c:pt idx="65">
                  <c:v>99.590059999999994</c:v>
                </c:pt>
                <c:pt idx="66">
                  <c:v>99.60857</c:v>
                </c:pt>
                <c:pt idx="67">
                  <c:v>99.565439999999995</c:v>
                </c:pt>
                <c:pt idx="68">
                  <c:v>99.519799999999989</c:v>
                </c:pt>
                <c:pt idx="69">
                  <c:v>99.513959999999997</c:v>
                </c:pt>
                <c:pt idx="70">
                  <c:v>99.587639999999993</c:v>
                </c:pt>
                <c:pt idx="71">
                  <c:v>99.534999999999997</c:v>
                </c:pt>
                <c:pt idx="72">
                  <c:v>99.473609999999994</c:v>
                </c:pt>
                <c:pt idx="73">
                  <c:v>99.516829999999999</c:v>
                </c:pt>
                <c:pt idx="74">
                  <c:v>99.473119999999994</c:v>
                </c:pt>
                <c:pt idx="75">
                  <c:v>99.51867</c:v>
                </c:pt>
                <c:pt idx="76">
                  <c:v>99.271979999999999</c:v>
                </c:pt>
                <c:pt idx="77">
                  <c:v>99.306489999999997</c:v>
                </c:pt>
                <c:pt idx="78">
                  <c:v>99.389799999999994</c:v>
                </c:pt>
                <c:pt idx="79">
                  <c:v>99.30552999999999</c:v>
                </c:pt>
                <c:pt idx="80">
                  <c:v>99.252319999999997</c:v>
                </c:pt>
                <c:pt idx="81">
                  <c:v>99.378969999999995</c:v>
                </c:pt>
                <c:pt idx="82">
                  <c:v>99.295349999999999</c:v>
                </c:pt>
                <c:pt idx="83">
                  <c:v>99.307459999999992</c:v>
                </c:pt>
                <c:pt idx="84">
                  <c:v>99.194849999999988</c:v>
                </c:pt>
                <c:pt idx="85">
                  <c:v>99.214649999999992</c:v>
                </c:pt>
                <c:pt idx="86">
                  <c:v>99.257459999999995</c:v>
                </c:pt>
                <c:pt idx="87">
                  <c:v>99.200419999999994</c:v>
                </c:pt>
                <c:pt idx="88">
                  <c:v>99.23411999999999</c:v>
                </c:pt>
                <c:pt idx="89">
                  <c:v>99.128189999999989</c:v>
                </c:pt>
                <c:pt idx="90">
                  <c:v>99.1738</c:v>
                </c:pt>
                <c:pt idx="91">
                  <c:v>99.163889999999995</c:v>
                </c:pt>
                <c:pt idx="92">
                  <c:v>99.19395999999999</c:v>
                </c:pt>
                <c:pt idx="93">
                  <c:v>99.123459999999994</c:v>
                </c:pt>
                <c:pt idx="94">
                  <c:v>99.203579999999988</c:v>
                </c:pt>
                <c:pt idx="95">
                  <c:v>99.110489999999999</c:v>
                </c:pt>
                <c:pt idx="96">
                  <c:v>99.069629999999989</c:v>
                </c:pt>
                <c:pt idx="97">
                  <c:v>99.125589999999988</c:v>
                </c:pt>
                <c:pt idx="98">
                  <c:v>99.014379999999989</c:v>
                </c:pt>
                <c:pt idx="99">
                  <c:v>98.996919999999989</c:v>
                </c:pt>
                <c:pt idx="100">
                  <c:v>98.979479999999995</c:v>
                </c:pt>
                <c:pt idx="101">
                  <c:v>99.028309999999991</c:v>
                </c:pt>
                <c:pt idx="102">
                  <c:v>98.941029999999998</c:v>
                </c:pt>
                <c:pt idx="103">
                  <c:v>99.015499999999989</c:v>
                </c:pt>
                <c:pt idx="104">
                  <c:v>99.048779999999994</c:v>
                </c:pt>
                <c:pt idx="105">
                  <c:v>99.016329999999996</c:v>
                </c:pt>
                <c:pt idx="106">
                  <c:v>98.906559999999999</c:v>
                </c:pt>
                <c:pt idx="107">
                  <c:v>98.930689999999998</c:v>
                </c:pt>
                <c:pt idx="108">
                  <c:v>98.893389999999997</c:v>
                </c:pt>
                <c:pt idx="109">
                  <c:v>98.871729999999999</c:v>
                </c:pt>
                <c:pt idx="110">
                  <c:v>98.887929999999997</c:v>
                </c:pt>
                <c:pt idx="111">
                  <c:v>98.891959999999997</c:v>
                </c:pt>
                <c:pt idx="112">
                  <c:v>98.746159999999989</c:v>
                </c:pt>
                <c:pt idx="113">
                  <c:v>98.836649999999992</c:v>
                </c:pt>
                <c:pt idx="114">
                  <c:v>98.783499999999989</c:v>
                </c:pt>
                <c:pt idx="115">
                  <c:v>98.758369999999999</c:v>
                </c:pt>
                <c:pt idx="116">
                  <c:v>98.741679999999988</c:v>
                </c:pt>
                <c:pt idx="117">
                  <c:v>98.758510000000001</c:v>
                </c:pt>
                <c:pt idx="118">
                  <c:v>98.812999999999988</c:v>
                </c:pt>
                <c:pt idx="119">
                  <c:v>98.698430000000002</c:v>
                </c:pt>
                <c:pt idx="120">
                  <c:v>98.79392</c:v>
                </c:pt>
                <c:pt idx="121">
                  <c:v>98.792389999999997</c:v>
                </c:pt>
                <c:pt idx="122">
                  <c:v>98.611729999999994</c:v>
                </c:pt>
                <c:pt idx="123">
                  <c:v>98.658209999999997</c:v>
                </c:pt>
                <c:pt idx="124">
                  <c:v>98.674899999999994</c:v>
                </c:pt>
                <c:pt idx="125">
                  <c:v>98.590219999999988</c:v>
                </c:pt>
                <c:pt idx="126">
                  <c:v>98.628919999999994</c:v>
                </c:pt>
                <c:pt idx="127">
                  <c:v>98.638589999999994</c:v>
                </c:pt>
                <c:pt idx="128">
                  <c:v>98.660619999999994</c:v>
                </c:pt>
                <c:pt idx="129">
                  <c:v>98.594110000000001</c:v>
                </c:pt>
                <c:pt idx="130">
                  <c:v>98.58435999999999</c:v>
                </c:pt>
                <c:pt idx="131">
                  <c:v>98.533249999999995</c:v>
                </c:pt>
                <c:pt idx="132">
                  <c:v>98.563859999999991</c:v>
                </c:pt>
                <c:pt idx="133">
                  <c:v>98.575400000000002</c:v>
                </c:pt>
                <c:pt idx="134">
                  <c:v>98.48536</c:v>
                </c:pt>
                <c:pt idx="135">
                  <c:v>98.460209999999989</c:v>
                </c:pt>
                <c:pt idx="136">
                  <c:v>98.468509999999995</c:v>
                </c:pt>
                <c:pt idx="137">
                  <c:v>98.431029999999993</c:v>
                </c:pt>
                <c:pt idx="138">
                  <c:v>98.475259999999992</c:v>
                </c:pt>
                <c:pt idx="139">
                  <c:v>98.454899999999995</c:v>
                </c:pt>
                <c:pt idx="140">
                  <c:v>98.45675</c:v>
                </c:pt>
                <c:pt idx="141">
                  <c:v>98.482019999999991</c:v>
                </c:pt>
                <c:pt idx="142">
                  <c:v>98.362629999999996</c:v>
                </c:pt>
                <c:pt idx="143">
                  <c:v>98.397289999999998</c:v>
                </c:pt>
                <c:pt idx="144">
                  <c:v>98.385930000000002</c:v>
                </c:pt>
                <c:pt idx="145">
                  <c:v>98.368159999999989</c:v>
                </c:pt>
                <c:pt idx="146">
                  <c:v>98.37827999999999</c:v>
                </c:pt>
                <c:pt idx="147">
                  <c:v>98.245519999999999</c:v>
                </c:pt>
                <c:pt idx="148">
                  <c:v>98.258289999999988</c:v>
                </c:pt>
                <c:pt idx="149">
                  <c:v>98.35029999999999</c:v>
                </c:pt>
                <c:pt idx="150">
                  <c:v>98.331109999999995</c:v>
                </c:pt>
                <c:pt idx="151">
                  <c:v>98.277109999999993</c:v>
                </c:pt>
                <c:pt idx="152">
                  <c:v>98.22824</c:v>
                </c:pt>
                <c:pt idx="153">
                  <c:v>98.231279999999998</c:v>
                </c:pt>
                <c:pt idx="154">
                  <c:v>98.219849999999994</c:v>
                </c:pt>
                <c:pt idx="155">
                  <c:v>98.166359999999997</c:v>
                </c:pt>
                <c:pt idx="156">
                  <c:v>98.238829999999993</c:v>
                </c:pt>
                <c:pt idx="157">
                  <c:v>98.151929999999993</c:v>
                </c:pt>
                <c:pt idx="158">
                  <c:v>98.157139999999998</c:v>
                </c:pt>
                <c:pt idx="159">
                  <c:v>98.127399999999994</c:v>
                </c:pt>
                <c:pt idx="160">
                  <c:v>98.118719999999996</c:v>
                </c:pt>
                <c:pt idx="161">
                  <c:v>98.067639999999997</c:v>
                </c:pt>
                <c:pt idx="162">
                  <c:v>98.144970000000001</c:v>
                </c:pt>
                <c:pt idx="163">
                  <c:v>97.965170000000001</c:v>
                </c:pt>
                <c:pt idx="164">
                  <c:v>98.10848</c:v>
                </c:pt>
                <c:pt idx="165">
                  <c:v>98.170249999999996</c:v>
                </c:pt>
                <c:pt idx="166">
                  <c:v>98.016509999999997</c:v>
                </c:pt>
                <c:pt idx="167">
                  <c:v>98.060379999999995</c:v>
                </c:pt>
                <c:pt idx="168">
                  <c:v>98.016499999999994</c:v>
                </c:pt>
                <c:pt idx="169">
                  <c:v>97.963119999999989</c:v>
                </c:pt>
                <c:pt idx="170">
                  <c:v>97.993889999999993</c:v>
                </c:pt>
                <c:pt idx="171">
                  <c:v>98.024709999999999</c:v>
                </c:pt>
                <c:pt idx="172">
                  <c:v>97.982219999999998</c:v>
                </c:pt>
                <c:pt idx="173">
                  <c:v>97.977649999999997</c:v>
                </c:pt>
                <c:pt idx="174">
                  <c:v>97.970050000000001</c:v>
                </c:pt>
                <c:pt idx="175">
                  <c:v>97.932699999999997</c:v>
                </c:pt>
                <c:pt idx="176">
                  <c:v>97.871889999999993</c:v>
                </c:pt>
                <c:pt idx="177">
                  <c:v>97.912319999999994</c:v>
                </c:pt>
                <c:pt idx="178">
                  <c:v>97.842119999999994</c:v>
                </c:pt>
                <c:pt idx="179">
                  <c:v>97.88646</c:v>
                </c:pt>
                <c:pt idx="180">
                  <c:v>97.92962</c:v>
                </c:pt>
                <c:pt idx="181">
                  <c:v>97.786459999999991</c:v>
                </c:pt>
                <c:pt idx="182">
                  <c:v>97.802869999999999</c:v>
                </c:pt>
                <c:pt idx="183">
                  <c:v>97.780760000000001</c:v>
                </c:pt>
                <c:pt idx="184">
                  <c:v>97.856039999999993</c:v>
                </c:pt>
                <c:pt idx="185">
                  <c:v>97.805889999999991</c:v>
                </c:pt>
                <c:pt idx="186">
                  <c:v>97.724469999999997</c:v>
                </c:pt>
                <c:pt idx="187">
                  <c:v>97.718989999999991</c:v>
                </c:pt>
                <c:pt idx="188">
                  <c:v>97.716650000000001</c:v>
                </c:pt>
                <c:pt idx="189">
                  <c:v>97.74602999999999</c:v>
                </c:pt>
                <c:pt idx="190">
                  <c:v>97.69135</c:v>
                </c:pt>
                <c:pt idx="191">
                  <c:v>97.680070000000001</c:v>
                </c:pt>
                <c:pt idx="192">
                  <c:v>97.544599999999988</c:v>
                </c:pt>
                <c:pt idx="193">
                  <c:v>97.627529999999993</c:v>
                </c:pt>
                <c:pt idx="194">
                  <c:v>97.701629999999994</c:v>
                </c:pt>
                <c:pt idx="195">
                  <c:v>97.56765</c:v>
                </c:pt>
                <c:pt idx="196">
                  <c:v>97.531169999999989</c:v>
                </c:pt>
                <c:pt idx="197">
                  <c:v>97.659749999999988</c:v>
                </c:pt>
                <c:pt idx="198">
                  <c:v>97.580339999999993</c:v>
                </c:pt>
                <c:pt idx="199">
                  <c:v>97.571280000000002</c:v>
                </c:pt>
                <c:pt idx="200">
                  <c:v>97.341359999999995</c:v>
                </c:pt>
                <c:pt idx="201">
                  <c:v>97.58050999999999</c:v>
                </c:pt>
                <c:pt idx="202">
                  <c:v>97.54343999999999</c:v>
                </c:pt>
                <c:pt idx="203">
                  <c:v>97.532910000000001</c:v>
                </c:pt>
                <c:pt idx="204">
                  <c:v>97.49996999999999</c:v>
                </c:pt>
                <c:pt idx="205">
                  <c:v>97.5364</c:v>
                </c:pt>
                <c:pt idx="206">
                  <c:v>97.388229999999993</c:v>
                </c:pt>
                <c:pt idx="207">
                  <c:v>97.420819999999992</c:v>
                </c:pt>
                <c:pt idx="208">
                  <c:v>97.42192</c:v>
                </c:pt>
                <c:pt idx="209">
                  <c:v>97.407399999999996</c:v>
                </c:pt>
                <c:pt idx="210">
                  <c:v>97.473549999999989</c:v>
                </c:pt>
                <c:pt idx="211">
                  <c:v>97.395600000000002</c:v>
                </c:pt>
                <c:pt idx="212">
                  <c:v>97.416069999999991</c:v>
                </c:pt>
                <c:pt idx="213">
                  <c:v>97.349019999999996</c:v>
                </c:pt>
                <c:pt idx="214">
                  <c:v>97.416029999999992</c:v>
                </c:pt>
                <c:pt idx="215">
                  <c:v>97.299229999999994</c:v>
                </c:pt>
                <c:pt idx="216">
                  <c:v>97.246829999999989</c:v>
                </c:pt>
                <c:pt idx="217">
                  <c:v>97.38136999999999</c:v>
                </c:pt>
                <c:pt idx="218">
                  <c:v>97.270219999999995</c:v>
                </c:pt>
                <c:pt idx="219">
                  <c:v>97.242149999999995</c:v>
                </c:pt>
                <c:pt idx="220">
                  <c:v>97.269449999999992</c:v>
                </c:pt>
                <c:pt idx="221">
                  <c:v>97.198299999999989</c:v>
                </c:pt>
                <c:pt idx="222">
                  <c:v>97.204219999999992</c:v>
                </c:pt>
                <c:pt idx="223">
                  <c:v>97.327159999999992</c:v>
                </c:pt>
                <c:pt idx="224">
                  <c:v>97.225009999999997</c:v>
                </c:pt>
                <c:pt idx="225">
                  <c:v>97.196709999999996</c:v>
                </c:pt>
                <c:pt idx="226">
                  <c:v>97.272769999999994</c:v>
                </c:pt>
                <c:pt idx="227">
                  <c:v>97.13946</c:v>
                </c:pt>
                <c:pt idx="228">
                  <c:v>97.038419999999988</c:v>
                </c:pt>
                <c:pt idx="229">
                  <c:v>97.213679999999997</c:v>
                </c:pt>
                <c:pt idx="230">
                  <c:v>97.147289999999998</c:v>
                </c:pt>
                <c:pt idx="231">
                  <c:v>97.134529999999998</c:v>
                </c:pt>
                <c:pt idx="232">
                  <c:v>97.131540000000001</c:v>
                </c:pt>
                <c:pt idx="233">
                  <c:v>97.066400000000002</c:v>
                </c:pt>
                <c:pt idx="234">
                  <c:v>97.069980000000001</c:v>
                </c:pt>
                <c:pt idx="235">
                  <c:v>97.09662999999999</c:v>
                </c:pt>
                <c:pt idx="236">
                  <c:v>97.078969999999998</c:v>
                </c:pt>
                <c:pt idx="237">
                  <c:v>97.017089999999996</c:v>
                </c:pt>
                <c:pt idx="238">
                  <c:v>97.07047</c:v>
                </c:pt>
                <c:pt idx="239">
                  <c:v>97.00197</c:v>
                </c:pt>
                <c:pt idx="240">
                  <c:v>97.017569999999992</c:v>
                </c:pt>
                <c:pt idx="241">
                  <c:v>96.997119999999995</c:v>
                </c:pt>
                <c:pt idx="242">
                  <c:v>96.940669999999997</c:v>
                </c:pt>
                <c:pt idx="243">
                  <c:v>96.951499999999996</c:v>
                </c:pt>
                <c:pt idx="244">
                  <c:v>96.93889999999999</c:v>
                </c:pt>
                <c:pt idx="245">
                  <c:v>96.86954999999999</c:v>
                </c:pt>
                <c:pt idx="246">
                  <c:v>97.015339999999995</c:v>
                </c:pt>
                <c:pt idx="247">
                  <c:v>96.898619999999994</c:v>
                </c:pt>
                <c:pt idx="248">
                  <c:v>96.86999999999999</c:v>
                </c:pt>
                <c:pt idx="249">
                  <c:v>96.863669999999999</c:v>
                </c:pt>
                <c:pt idx="250">
                  <c:v>96.909300000000002</c:v>
                </c:pt>
                <c:pt idx="251">
                  <c:v>96.827719999999999</c:v>
                </c:pt>
                <c:pt idx="252">
                  <c:v>96.83829999999999</c:v>
                </c:pt>
                <c:pt idx="253">
                  <c:v>96.914829999999995</c:v>
                </c:pt>
                <c:pt idx="254">
                  <c:v>96.78586</c:v>
                </c:pt>
                <c:pt idx="255">
                  <c:v>96.74951999999999</c:v>
                </c:pt>
                <c:pt idx="256">
                  <c:v>96.725579999999994</c:v>
                </c:pt>
                <c:pt idx="257">
                  <c:v>96.754619999999989</c:v>
                </c:pt>
                <c:pt idx="258">
                  <c:v>96.694849999999988</c:v>
                </c:pt>
                <c:pt idx="259">
                  <c:v>96.779049999999998</c:v>
                </c:pt>
                <c:pt idx="260">
                  <c:v>96.711789999999993</c:v>
                </c:pt>
                <c:pt idx="261">
                  <c:v>96.700839999999999</c:v>
                </c:pt>
                <c:pt idx="262">
                  <c:v>96.70841999999999</c:v>
                </c:pt>
                <c:pt idx="263">
                  <c:v>96.635019999999997</c:v>
                </c:pt>
                <c:pt idx="264">
                  <c:v>96.623419999999996</c:v>
                </c:pt>
                <c:pt idx="265">
                  <c:v>96.580879999999993</c:v>
                </c:pt>
                <c:pt idx="266">
                  <c:v>96.620279999999994</c:v>
                </c:pt>
                <c:pt idx="267">
                  <c:v>96.637469999999993</c:v>
                </c:pt>
                <c:pt idx="268">
                  <c:v>96.604569999999995</c:v>
                </c:pt>
                <c:pt idx="269">
                  <c:v>96.529889999999995</c:v>
                </c:pt>
                <c:pt idx="270">
                  <c:v>96.59662999999999</c:v>
                </c:pt>
                <c:pt idx="271">
                  <c:v>96.619489999999999</c:v>
                </c:pt>
                <c:pt idx="272">
                  <c:v>96.632059999999996</c:v>
                </c:pt>
                <c:pt idx="273">
                  <c:v>96.54867999999999</c:v>
                </c:pt>
                <c:pt idx="274">
                  <c:v>96.543169999999989</c:v>
                </c:pt>
                <c:pt idx="275">
                  <c:v>96.548369999999991</c:v>
                </c:pt>
                <c:pt idx="276">
                  <c:v>96.496569999999991</c:v>
                </c:pt>
                <c:pt idx="277">
                  <c:v>96.419519999999991</c:v>
                </c:pt>
                <c:pt idx="278">
                  <c:v>96.46150999999999</c:v>
                </c:pt>
                <c:pt idx="279">
                  <c:v>96.53403999999999</c:v>
                </c:pt>
                <c:pt idx="280">
                  <c:v>96.409509999999997</c:v>
                </c:pt>
                <c:pt idx="281">
                  <c:v>96.505420000000001</c:v>
                </c:pt>
                <c:pt idx="282">
                  <c:v>96.424939999999992</c:v>
                </c:pt>
                <c:pt idx="283">
                  <c:v>96.431069999999991</c:v>
                </c:pt>
                <c:pt idx="284">
                  <c:v>96.433139999999995</c:v>
                </c:pt>
                <c:pt idx="285">
                  <c:v>96.413449999999997</c:v>
                </c:pt>
                <c:pt idx="286">
                  <c:v>96.32535</c:v>
                </c:pt>
                <c:pt idx="287">
                  <c:v>96.419150000000002</c:v>
                </c:pt>
                <c:pt idx="288">
                  <c:v>96.343789999999998</c:v>
                </c:pt>
                <c:pt idx="289">
                  <c:v>96.348709999999997</c:v>
                </c:pt>
                <c:pt idx="290">
                  <c:v>96.301259999999999</c:v>
                </c:pt>
                <c:pt idx="291">
                  <c:v>96.283169999999998</c:v>
                </c:pt>
                <c:pt idx="292">
                  <c:v>96.338129999999992</c:v>
                </c:pt>
                <c:pt idx="293">
                  <c:v>96.316459999999992</c:v>
                </c:pt>
                <c:pt idx="294">
                  <c:v>96.350819999999999</c:v>
                </c:pt>
                <c:pt idx="295">
                  <c:v>96.270979999999994</c:v>
                </c:pt>
                <c:pt idx="296">
                  <c:v>96.247050000000002</c:v>
                </c:pt>
                <c:pt idx="297">
                  <c:v>96.348159999999993</c:v>
                </c:pt>
                <c:pt idx="298">
                  <c:v>96.224609999999998</c:v>
                </c:pt>
                <c:pt idx="299">
                  <c:v>96.23872999999999</c:v>
                </c:pt>
                <c:pt idx="300">
                  <c:v>96.174269999999993</c:v>
                </c:pt>
                <c:pt idx="301">
                  <c:v>96.073489999999993</c:v>
                </c:pt>
                <c:pt idx="302">
                  <c:v>96.145119999999991</c:v>
                </c:pt>
                <c:pt idx="303">
                  <c:v>96.063279999999992</c:v>
                </c:pt>
                <c:pt idx="304">
                  <c:v>96.165520000000001</c:v>
                </c:pt>
                <c:pt idx="305">
                  <c:v>96.107320000000001</c:v>
                </c:pt>
                <c:pt idx="306">
                  <c:v>96.137319999999988</c:v>
                </c:pt>
                <c:pt idx="307">
                  <c:v>96.058299999999988</c:v>
                </c:pt>
                <c:pt idx="308">
                  <c:v>96.010639999999995</c:v>
                </c:pt>
                <c:pt idx="309">
                  <c:v>96.034399999999991</c:v>
                </c:pt>
                <c:pt idx="310">
                  <c:v>96.110529999999997</c:v>
                </c:pt>
                <c:pt idx="311">
                  <c:v>96.04097999999999</c:v>
                </c:pt>
                <c:pt idx="312">
                  <c:v>96.024760000000001</c:v>
                </c:pt>
                <c:pt idx="313">
                  <c:v>96.001469999999998</c:v>
                </c:pt>
                <c:pt idx="314">
                  <c:v>96.076309999999992</c:v>
                </c:pt>
                <c:pt idx="315">
                  <c:v>96.003189999999989</c:v>
                </c:pt>
                <c:pt idx="316">
                  <c:v>95.933129999999991</c:v>
                </c:pt>
                <c:pt idx="317">
                  <c:v>96.001589999999993</c:v>
                </c:pt>
                <c:pt idx="318">
                  <c:v>95.932220000000001</c:v>
                </c:pt>
                <c:pt idx="319">
                  <c:v>95.841290000000001</c:v>
                </c:pt>
                <c:pt idx="320">
                  <c:v>95.927589999999995</c:v>
                </c:pt>
                <c:pt idx="321">
                  <c:v>95.951009999999997</c:v>
                </c:pt>
                <c:pt idx="322">
                  <c:v>95.93477</c:v>
                </c:pt>
                <c:pt idx="323">
                  <c:v>95.887999999999991</c:v>
                </c:pt>
                <c:pt idx="324">
                  <c:v>95.90849</c:v>
                </c:pt>
                <c:pt idx="325">
                  <c:v>95.806049999999999</c:v>
                </c:pt>
                <c:pt idx="326">
                  <c:v>95.922199999999989</c:v>
                </c:pt>
                <c:pt idx="327">
                  <c:v>95.799309999999991</c:v>
                </c:pt>
                <c:pt idx="328">
                  <c:v>95.849059999999994</c:v>
                </c:pt>
                <c:pt idx="329">
                  <c:v>95.76142999999999</c:v>
                </c:pt>
                <c:pt idx="330">
                  <c:v>95.785269999999997</c:v>
                </c:pt>
                <c:pt idx="331">
                  <c:v>95.756929999999997</c:v>
                </c:pt>
                <c:pt idx="332">
                  <c:v>95.892189999999999</c:v>
                </c:pt>
                <c:pt idx="333">
                  <c:v>95.806079999999994</c:v>
                </c:pt>
                <c:pt idx="334">
                  <c:v>95.7684</c:v>
                </c:pt>
                <c:pt idx="335">
                  <c:v>95.706149999999994</c:v>
                </c:pt>
                <c:pt idx="336">
                  <c:v>95.637169999999998</c:v>
                </c:pt>
                <c:pt idx="337">
                  <c:v>95.655019999999993</c:v>
                </c:pt>
                <c:pt idx="338">
                  <c:v>95.733739999999997</c:v>
                </c:pt>
                <c:pt idx="339">
                  <c:v>95.708089999999999</c:v>
                </c:pt>
                <c:pt idx="340">
                  <c:v>95.739629999999991</c:v>
                </c:pt>
                <c:pt idx="341">
                  <c:v>95.684559999999991</c:v>
                </c:pt>
                <c:pt idx="342">
                  <c:v>95.631649999999993</c:v>
                </c:pt>
                <c:pt idx="343">
                  <c:v>95.703869999999995</c:v>
                </c:pt>
                <c:pt idx="344">
                  <c:v>95.601839999999996</c:v>
                </c:pt>
                <c:pt idx="345">
                  <c:v>95.667529999999999</c:v>
                </c:pt>
                <c:pt idx="346">
                  <c:v>95.60705999999999</c:v>
                </c:pt>
                <c:pt idx="347">
                  <c:v>95.580399999999997</c:v>
                </c:pt>
                <c:pt idx="348">
                  <c:v>95.490529999999993</c:v>
                </c:pt>
                <c:pt idx="349">
                  <c:v>95.528359999999992</c:v>
                </c:pt>
                <c:pt idx="350">
                  <c:v>95.553319999999999</c:v>
                </c:pt>
                <c:pt idx="351">
                  <c:v>95.496069999999989</c:v>
                </c:pt>
                <c:pt idx="352">
                  <c:v>95.624479999999991</c:v>
                </c:pt>
                <c:pt idx="353">
                  <c:v>95.481629999999996</c:v>
                </c:pt>
                <c:pt idx="354">
                  <c:v>95.511479999999992</c:v>
                </c:pt>
                <c:pt idx="355">
                  <c:v>95.596329999999995</c:v>
                </c:pt>
                <c:pt idx="356">
                  <c:v>95.458539999999999</c:v>
                </c:pt>
                <c:pt idx="357">
                  <c:v>95.427799999999991</c:v>
                </c:pt>
                <c:pt idx="358">
                  <c:v>95.444449999999989</c:v>
                </c:pt>
                <c:pt idx="359">
                  <c:v>95.409199999999998</c:v>
                </c:pt>
                <c:pt idx="360">
                  <c:v>95.391719999999992</c:v>
                </c:pt>
                <c:pt idx="361">
                  <c:v>95.439229999999995</c:v>
                </c:pt>
                <c:pt idx="362">
                  <c:v>95.44001999999999</c:v>
                </c:pt>
                <c:pt idx="363">
                  <c:v>95.261979999999994</c:v>
                </c:pt>
                <c:pt idx="364">
                  <c:v>95.278390000000002</c:v>
                </c:pt>
                <c:pt idx="365">
                  <c:v>95.285289999999989</c:v>
                </c:pt>
                <c:pt idx="366">
                  <c:v>95.32795999999999</c:v>
                </c:pt>
                <c:pt idx="367">
                  <c:v>95.21047999999999</c:v>
                </c:pt>
                <c:pt idx="368">
                  <c:v>95.337479999999999</c:v>
                </c:pt>
                <c:pt idx="369">
                  <c:v>95.436149999999998</c:v>
                </c:pt>
                <c:pt idx="370">
                  <c:v>95.343279999999993</c:v>
                </c:pt>
                <c:pt idx="371">
                  <c:v>95.378599999999992</c:v>
                </c:pt>
                <c:pt idx="372">
                  <c:v>95.197569999999999</c:v>
                </c:pt>
                <c:pt idx="373">
                  <c:v>95.258799999999994</c:v>
                </c:pt>
                <c:pt idx="374">
                  <c:v>95.278009999999995</c:v>
                </c:pt>
                <c:pt idx="375">
                  <c:v>95.204650000000001</c:v>
                </c:pt>
                <c:pt idx="376">
                  <c:v>95.12124</c:v>
                </c:pt>
                <c:pt idx="377">
                  <c:v>95.242249999999999</c:v>
                </c:pt>
                <c:pt idx="378">
                  <c:v>95.127169999999992</c:v>
                </c:pt>
                <c:pt idx="379">
                  <c:v>95.139129999999994</c:v>
                </c:pt>
                <c:pt idx="380">
                  <c:v>95.17577</c:v>
                </c:pt>
                <c:pt idx="381">
                  <c:v>95.146090000000001</c:v>
                </c:pt>
                <c:pt idx="382">
                  <c:v>95.11627</c:v>
                </c:pt>
                <c:pt idx="383">
                  <c:v>95.126989999999992</c:v>
                </c:pt>
                <c:pt idx="384">
                  <c:v>95.031849999999991</c:v>
                </c:pt>
                <c:pt idx="385">
                  <c:v>95.096289999999996</c:v>
                </c:pt>
                <c:pt idx="386">
                  <c:v>95.06143999999999</c:v>
                </c:pt>
                <c:pt idx="387">
                  <c:v>95.040109999999999</c:v>
                </c:pt>
                <c:pt idx="388">
                  <c:v>95.146829999999994</c:v>
                </c:pt>
                <c:pt idx="389">
                  <c:v>95.000309999999999</c:v>
                </c:pt>
                <c:pt idx="390">
                  <c:v>95.072669999999988</c:v>
                </c:pt>
                <c:pt idx="391">
                  <c:v>95.092489999999998</c:v>
                </c:pt>
                <c:pt idx="392">
                  <c:v>94.983319999999992</c:v>
                </c:pt>
                <c:pt idx="393">
                  <c:v>95.01733999999999</c:v>
                </c:pt>
                <c:pt idx="394">
                  <c:v>94.879779999999997</c:v>
                </c:pt>
                <c:pt idx="395">
                  <c:v>94.999319999999997</c:v>
                </c:pt>
                <c:pt idx="396">
                  <c:v>94.91167999999999</c:v>
                </c:pt>
                <c:pt idx="397">
                  <c:v>94.918169999999989</c:v>
                </c:pt>
                <c:pt idx="398">
                  <c:v>95.05064999999999</c:v>
                </c:pt>
                <c:pt idx="399">
                  <c:v>94.95989999999999</c:v>
                </c:pt>
                <c:pt idx="400">
                  <c:v>94.988219999999998</c:v>
                </c:pt>
                <c:pt idx="401">
                  <c:v>94.954369999999997</c:v>
                </c:pt>
                <c:pt idx="402">
                  <c:v>94.957539999999995</c:v>
                </c:pt>
                <c:pt idx="403">
                  <c:v>94.923400000000001</c:v>
                </c:pt>
                <c:pt idx="404">
                  <c:v>94.776319999999998</c:v>
                </c:pt>
                <c:pt idx="405">
                  <c:v>94.874439999999993</c:v>
                </c:pt>
                <c:pt idx="406">
                  <c:v>95.00179</c:v>
                </c:pt>
                <c:pt idx="407">
                  <c:v>94.709309999999988</c:v>
                </c:pt>
                <c:pt idx="408">
                  <c:v>94.859819999999999</c:v>
                </c:pt>
                <c:pt idx="409">
                  <c:v>94.792619999999999</c:v>
                </c:pt>
                <c:pt idx="410">
                  <c:v>94.874449999999996</c:v>
                </c:pt>
                <c:pt idx="411">
                  <c:v>94.770349999999993</c:v>
                </c:pt>
                <c:pt idx="412">
                  <c:v>94.91391999999999</c:v>
                </c:pt>
                <c:pt idx="413">
                  <c:v>94.621290000000002</c:v>
                </c:pt>
                <c:pt idx="414">
                  <c:v>94.780249999999995</c:v>
                </c:pt>
                <c:pt idx="415">
                  <c:v>94.6952</c:v>
                </c:pt>
                <c:pt idx="416">
                  <c:v>94.80149999999999</c:v>
                </c:pt>
                <c:pt idx="417">
                  <c:v>94.643609999999995</c:v>
                </c:pt>
                <c:pt idx="418">
                  <c:v>94.758889999999994</c:v>
                </c:pt>
                <c:pt idx="419">
                  <c:v>94.540239999999997</c:v>
                </c:pt>
                <c:pt idx="420">
                  <c:v>94.696839999999995</c:v>
                </c:pt>
                <c:pt idx="421">
                  <c:v>94.68835</c:v>
                </c:pt>
                <c:pt idx="422">
                  <c:v>94.647289999999998</c:v>
                </c:pt>
                <c:pt idx="423">
                  <c:v>94.574370000000002</c:v>
                </c:pt>
                <c:pt idx="424">
                  <c:v>94.536909999999992</c:v>
                </c:pt>
                <c:pt idx="425">
                  <c:v>94.556449999999998</c:v>
                </c:pt>
                <c:pt idx="426">
                  <c:v>94.629729999999995</c:v>
                </c:pt>
                <c:pt idx="427">
                  <c:v>94.536409999999989</c:v>
                </c:pt>
                <c:pt idx="428">
                  <c:v>94.50269999999999</c:v>
                </c:pt>
                <c:pt idx="429">
                  <c:v>94.606960000000001</c:v>
                </c:pt>
                <c:pt idx="430">
                  <c:v>94.623260000000002</c:v>
                </c:pt>
                <c:pt idx="431">
                  <c:v>94.530929999999998</c:v>
                </c:pt>
                <c:pt idx="432">
                  <c:v>94.509839999999997</c:v>
                </c:pt>
                <c:pt idx="433">
                  <c:v>94.521339999999995</c:v>
                </c:pt>
                <c:pt idx="434">
                  <c:v>94.478269999999995</c:v>
                </c:pt>
                <c:pt idx="435">
                  <c:v>94.57486999999999</c:v>
                </c:pt>
                <c:pt idx="436">
                  <c:v>94.50112</c:v>
                </c:pt>
                <c:pt idx="437">
                  <c:v>94.43168</c:v>
                </c:pt>
                <c:pt idx="438">
                  <c:v>94.480629999999991</c:v>
                </c:pt>
                <c:pt idx="439">
                  <c:v>94.490979999999993</c:v>
                </c:pt>
                <c:pt idx="440">
                  <c:v>94.479109999999991</c:v>
                </c:pt>
                <c:pt idx="441">
                  <c:v>94.401179999999997</c:v>
                </c:pt>
                <c:pt idx="442">
                  <c:v>94.417349999999999</c:v>
                </c:pt>
                <c:pt idx="443">
                  <c:v>94.423869999999994</c:v>
                </c:pt>
                <c:pt idx="444">
                  <c:v>94.360320000000002</c:v>
                </c:pt>
                <c:pt idx="445">
                  <c:v>94.424039999999991</c:v>
                </c:pt>
                <c:pt idx="446">
                  <c:v>94.360759999999999</c:v>
                </c:pt>
                <c:pt idx="447">
                  <c:v>94.434069999999991</c:v>
                </c:pt>
                <c:pt idx="448">
                  <c:v>94.289670000000001</c:v>
                </c:pt>
                <c:pt idx="449">
                  <c:v>94.415229999999994</c:v>
                </c:pt>
                <c:pt idx="450">
                  <c:v>94.195539999999994</c:v>
                </c:pt>
                <c:pt idx="451">
                  <c:v>94.325579999999988</c:v>
                </c:pt>
                <c:pt idx="452">
                  <c:v>94.208979999999997</c:v>
                </c:pt>
                <c:pt idx="453">
                  <c:v>94.309309999999996</c:v>
                </c:pt>
                <c:pt idx="454">
                  <c:v>94.272409999999994</c:v>
                </c:pt>
                <c:pt idx="455">
                  <c:v>94.282789999999991</c:v>
                </c:pt>
                <c:pt idx="456">
                  <c:v>94.207579999999993</c:v>
                </c:pt>
                <c:pt idx="457">
                  <c:v>94.202100000000002</c:v>
                </c:pt>
                <c:pt idx="458">
                  <c:v>94.211639999999989</c:v>
                </c:pt>
                <c:pt idx="459">
                  <c:v>94.14497999999999</c:v>
                </c:pt>
                <c:pt idx="460">
                  <c:v>94.180119999999988</c:v>
                </c:pt>
                <c:pt idx="461">
                  <c:v>94.213009999999997</c:v>
                </c:pt>
                <c:pt idx="462">
                  <c:v>94.086369999999988</c:v>
                </c:pt>
                <c:pt idx="463">
                  <c:v>94.126309999999989</c:v>
                </c:pt>
                <c:pt idx="464">
                  <c:v>94.191040000000001</c:v>
                </c:pt>
                <c:pt idx="465">
                  <c:v>94.114359999999991</c:v>
                </c:pt>
                <c:pt idx="466">
                  <c:v>94.12115</c:v>
                </c:pt>
                <c:pt idx="467">
                  <c:v>94.019349999999989</c:v>
                </c:pt>
                <c:pt idx="468">
                  <c:v>94.132639999999995</c:v>
                </c:pt>
                <c:pt idx="469">
                  <c:v>94.137900000000002</c:v>
                </c:pt>
                <c:pt idx="470">
                  <c:v>94.173119999999997</c:v>
                </c:pt>
                <c:pt idx="471">
                  <c:v>94.01343</c:v>
                </c:pt>
                <c:pt idx="472">
                  <c:v>94.035979999999995</c:v>
                </c:pt>
                <c:pt idx="473">
                  <c:v>94.101639999999989</c:v>
                </c:pt>
                <c:pt idx="474">
                  <c:v>93.913379999999989</c:v>
                </c:pt>
                <c:pt idx="475">
                  <c:v>93.991859999999988</c:v>
                </c:pt>
                <c:pt idx="476">
                  <c:v>93.966279999999998</c:v>
                </c:pt>
                <c:pt idx="477">
                  <c:v>94.021329999999992</c:v>
                </c:pt>
                <c:pt idx="478">
                  <c:v>93.982889999999998</c:v>
                </c:pt>
                <c:pt idx="479">
                  <c:v>94.05077</c:v>
                </c:pt>
                <c:pt idx="480">
                  <c:v>93.975819999999999</c:v>
                </c:pt>
                <c:pt idx="481">
                  <c:v>93.960119999999989</c:v>
                </c:pt>
                <c:pt idx="482">
                  <c:v>93.941339999999997</c:v>
                </c:pt>
                <c:pt idx="483">
                  <c:v>93.956429999999997</c:v>
                </c:pt>
                <c:pt idx="484">
                  <c:v>93.997450000000001</c:v>
                </c:pt>
                <c:pt idx="485">
                  <c:v>93.884959999999992</c:v>
                </c:pt>
                <c:pt idx="486">
                  <c:v>93.988829999999993</c:v>
                </c:pt>
                <c:pt idx="487">
                  <c:v>93.820399999999992</c:v>
                </c:pt>
                <c:pt idx="488">
                  <c:v>93.839010000000002</c:v>
                </c:pt>
                <c:pt idx="489">
                  <c:v>93.809640000000002</c:v>
                </c:pt>
                <c:pt idx="490">
                  <c:v>93.815849999999998</c:v>
                </c:pt>
                <c:pt idx="491">
                  <c:v>93.874799999999993</c:v>
                </c:pt>
                <c:pt idx="492">
                  <c:v>93.789279999999991</c:v>
                </c:pt>
                <c:pt idx="493">
                  <c:v>93.833299999999994</c:v>
                </c:pt>
                <c:pt idx="494">
                  <c:v>93.82692999999999</c:v>
                </c:pt>
                <c:pt idx="495">
                  <c:v>93.867979999999989</c:v>
                </c:pt>
                <c:pt idx="496">
                  <c:v>93.829609999999988</c:v>
                </c:pt>
                <c:pt idx="497">
                  <c:v>93.885249999999999</c:v>
                </c:pt>
                <c:pt idx="498">
                  <c:v>93.829740000000001</c:v>
                </c:pt>
                <c:pt idx="499">
                  <c:v>93.675809999999998</c:v>
                </c:pt>
                <c:pt idx="500">
                  <c:v>93.73151</c:v>
                </c:pt>
                <c:pt idx="501">
                  <c:v>93.687730000000002</c:v>
                </c:pt>
                <c:pt idx="502">
                  <c:v>93.626559999999998</c:v>
                </c:pt>
                <c:pt idx="503">
                  <c:v>93.694019999999995</c:v>
                </c:pt>
                <c:pt idx="504">
                  <c:v>93.688629999999989</c:v>
                </c:pt>
                <c:pt idx="505">
                  <c:v>93.576629999999994</c:v>
                </c:pt>
                <c:pt idx="506">
                  <c:v>93.742829999999998</c:v>
                </c:pt>
                <c:pt idx="507">
                  <c:v>93.626179999999991</c:v>
                </c:pt>
                <c:pt idx="508">
                  <c:v>93.700509999999994</c:v>
                </c:pt>
                <c:pt idx="509">
                  <c:v>93.598799999999997</c:v>
                </c:pt>
                <c:pt idx="510">
                  <c:v>93.615169999999992</c:v>
                </c:pt>
                <c:pt idx="511">
                  <c:v>93.559359999999998</c:v>
                </c:pt>
                <c:pt idx="512">
                  <c:v>93.78385999999999</c:v>
                </c:pt>
                <c:pt idx="513">
                  <c:v>93.537210000000002</c:v>
                </c:pt>
                <c:pt idx="514">
                  <c:v>93.607459999999989</c:v>
                </c:pt>
                <c:pt idx="515">
                  <c:v>93.509609999999995</c:v>
                </c:pt>
                <c:pt idx="516">
                  <c:v>93.476339999999993</c:v>
                </c:pt>
                <c:pt idx="517">
                  <c:v>93.533549999999991</c:v>
                </c:pt>
                <c:pt idx="518">
                  <c:v>93.497889999999998</c:v>
                </c:pt>
                <c:pt idx="519">
                  <c:v>93.563009999999991</c:v>
                </c:pt>
                <c:pt idx="520">
                  <c:v>93.494859999999989</c:v>
                </c:pt>
                <c:pt idx="521">
                  <c:v>93.533389999999997</c:v>
                </c:pt>
                <c:pt idx="522">
                  <c:v>93.524469999999994</c:v>
                </c:pt>
                <c:pt idx="523">
                  <c:v>93.455749999999995</c:v>
                </c:pt>
                <c:pt idx="524">
                  <c:v>93.412649999999999</c:v>
                </c:pt>
                <c:pt idx="525">
                  <c:v>93.438109999999995</c:v>
                </c:pt>
                <c:pt idx="526">
                  <c:v>93.393599999999992</c:v>
                </c:pt>
                <c:pt idx="527">
                  <c:v>93.452709999999996</c:v>
                </c:pt>
                <c:pt idx="528">
                  <c:v>93.399079999999998</c:v>
                </c:pt>
                <c:pt idx="529">
                  <c:v>93.403949999999995</c:v>
                </c:pt>
                <c:pt idx="530">
                  <c:v>93.344699999999989</c:v>
                </c:pt>
                <c:pt idx="531">
                  <c:v>93.343649999999997</c:v>
                </c:pt>
                <c:pt idx="532">
                  <c:v>93.460219999999993</c:v>
                </c:pt>
                <c:pt idx="533">
                  <c:v>93.248039999999989</c:v>
                </c:pt>
                <c:pt idx="534">
                  <c:v>93.313490000000002</c:v>
                </c:pt>
                <c:pt idx="535">
                  <c:v>93.313429999999997</c:v>
                </c:pt>
                <c:pt idx="536">
                  <c:v>93.277239999999992</c:v>
                </c:pt>
                <c:pt idx="537">
                  <c:v>93.270929999999993</c:v>
                </c:pt>
                <c:pt idx="538">
                  <c:v>93.156469999999999</c:v>
                </c:pt>
                <c:pt idx="539">
                  <c:v>93.209119999999999</c:v>
                </c:pt>
                <c:pt idx="540">
                  <c:v>93.235969999999995</c:v>
                </c:pt>
                <c:pt idx="541">
                  <c:v>93.167369999999991</c:v>
                </c:pt>
                <c:pt idx="542">
                  <c:v>93.210789999999989</c:v>
                </c:pt>
                <c:pt idx="543">
                  <c:v>93.24857999999999</c:v>
                </c:pt>
                <c:pt idx="544">
                  <c:v>93.286549999999991</c:v>
                </c:pt>
                <c:pt idx="545">
                  <c:v>93.299109999999999</c:v>
                </c:pt>
                <c:pt idx="546">
                  <c:v>93.146969999999996</c:v>
                </c:pt>
                <c:pt idx="547">
                  <c:v>93.248979999999989</c:v>
                </c:pt>
                <c:pt idx="548">
                  <c:v>93.178399999999996</c:v>
                </c:pt>
                <c:pt idx="549">
                  <c:v>93.186879999999988</c:v>
                </c:pt>
                <c:pt idx="550">
                  <c:v>93.208159999999992</c:v>
                </c:pt>
                <c:pt idx="551">
                  <c:v>93.12818</c:v>
                </c:pt>
                <c:pt idx="552">
                  <c:v>93.36985</c:v>
                </c:pt>
                <c:pt idx="553">
                  <c:v>93.171099999999996</c:v>
                </c:pt>
                <c:pt idx="554">
                  <c:v>93.101979999999998</c:v>
                </c:pt>
                <c:pt idx="555">
                  <c:v>93.095079999999996</c:v>
                </c:pt>
                <c:pt idx="556">
                  <c:v>93.033919999999995</c:v>
                </c:pt>
                <c:pt idx="557">
                  <c:v>93.104089999999999</c:v>
                </c:pt>
                <c:pt idx="558">
                  <c:v>93.049379999999999</c:v>
                </c:pt>
                <c:pt idx="559">
                  <c:v>93.055389999999989</c:v>
                </c:pt>
                <c:pt idx="560">
                  <c:v>92.973410000000001</c:v>
                </c:pt>
                <c:pt idx="561">
                  <c:v>92.913959999999989</c:v>
                </c:pt>
                <c:pt idx="562">
                  <c:v>93.012429999999995</c:v>
                </c:pt>
                <c:pt idx="563">
                  <c:v>93.058700000000002</c:v>
                </c:pt>
                <c:pt idx="564">
                  <c:v>92.911389999999997</c:v>
                </c:pt>
                <c:pt idx="565">
                  <c:v>92.909179999999992</c:v>
                </c:pt>
                <c:pt idx="566">
                  <c:v>92.887049999999988</c:v>
                </c:pt>
                <c:pt idx="567">
                  <c:v>92.996960000000001</c:v>
                </c:pt>
                <c:pt idx="568">
                  <c:v>92.890949999999989</c:v>
                </c:pt>
                <c:pt idx="569">
                  <c:v>92.82213999999999</c:v>
                </c:pt>
                <c:pt idx="570">
                  <c:v>92.94404999999999</c:v>
                </c:pt>
                <c:pt idx="571">
                  <c:v>92.913730000000001</c:v>
                </c:pt>
                <c:pt idx="572">
                  <c:v>93.00085</c:v>
                </c:pt>
                <c:pt idx="573">
                  <c:v>92.869019999999992</c:v>
                </c:pt>
                <c:pt idx="574">
                  <c:v>92.862309999999994</c:v>
                </c:pt>
                <c:pt idx="575">
                  <c:v>92.960929999999991</c:v>
                </c:pt>
                <c:pt idx="576">
                  <c:v>92.880229999999997</c:v>
                </c:pt>
                <c:pt idx="577">
                  <c:v>92.820679999999996</c:v>
                </c:pt>
                <c:pt idx="578">
                  <c:v>92.87827999999999</c:v>
                </c:pt>
                <c:pt idx="579">
                  <c:v>92.820909999999998</c:v>
                </c:pt>
                <c:pt idx="580">
                  <c:v>92.870189999999994</c:v>
                </c:pt>
                <c:pt idx="581">
                  <c:v>92.766239999999996</c:v>
                </c:pt>
                <c:pt idx="582">
                  <c:v>92.889289999999988</c:v>
                </c:pt>
                <c:pt idx="583">
                  <c:v>92.771409999999989</c:v>
                </c:pt>
                <c:pt idx="584">
                  <c:v>92.843969999999999</c:v>
                </c:pt>
                <c:pt idx="585">
                  <c:v>92.899199999999993</c:v>
                </c:pt>
                <c:pt idx="586">
                  <c:v>92.64555</c:v>
                </c:pt>
                <c:pt idx="587">
                  <c:v>92.753409999999988</c:v>
                </c:pt>
                <c:pt idx="588">
                  <c:v>92.723929999999996</c:v>
                </c:pt>
                <c:pt idx="589">
                  <c:v>92.69435</c:v>
                </c:pt>
                <c:pt idx="590">
                  <c:v>92.72202999999999</c:v>
                </c:pt>
                <c:pt idx="591">
                  <c:v>92.682509999999994</c:v>
                </c:pt>
                <c:pt idx="592">
                  <c:v>92.71208</c:v>
                </c:pt>
                <c:pt idx="593">
                  <c:v>92.713429999999988</c:v>
                </c:pt>
                <c:pt idx="594">
                  <c:v>92.672789999999992</c:v>
                </c:pt>
                <c:pt idx="595">
                  <c:v>92.697429999999997</c:v>
                </c:pt>
                <c:pt idx="596">
                  <c:v>92.602149999999995</c:v>
                </c:pt>
                <c:pt idx="597">
                  <c:v>92.651089999999996</c:v>
                </c:pt>
                <c:pt idx="598">
                  <c:v>92.703489999999988</c:v>
                </c:pt>
                <c:pt idx="599">
                  <c:v>92.570449999999994</c:v>
                </c:pt>
                <c:pt idx="600">
                  <c:v>92.673509999999993</c:v>
                </c:pt>
                <c:pt idx="601">
                  <c:v>92.556999999999988</c:v>
                </c:pt>
                <c:pt idx="602">
                  <c:v>92.551310000000001</c:v>
                </c:pt>
                <c:pt idx="603">
                  <c:v>92.567229999999995</c:v>
                </c:pt>
                <c:pt idx="604">
                  <c:v>92.511669999999995</c:v>
                </c:pt>
                <c:pt idx="605">
                  <c:v>92.603269999999995</c:v>
                </c:pt>
                <c:pt idx="606">
                  <c:v>92.490349999999992</c:v>
                </c:pt>
                <c:pt idx="607">
                  <c:v>92.529839999999993</c:v>
                </c:pt>
                <c:pt idx="608">
                  <c:v>92.45850999999999</c:v>
                </c:pt>
                <c:pt idx="609">
                  <c:v>92.509379999999993</c:v>
                </c:pt>
                <c:pt idx="610">
                  <c:v>92.52597999999999</c:v>
                </c:pt>
                <c:pt idx="611">
                  <c:v>92.583579999999998</c:v>
                </c:pt>
                <c:pt idx="612">
                  <c:v>92.503069999999994</c:v>
                </c:pt>
                <c:pt idx="613">
                  <c:v>92.544370000000001</c:v>
                </c:pt>
                <c:pt idx="614">
                  <c:v>92.488679999999988</c:v>
                </c:pt>
                <c:pt idx="615">
                  <c:v>92.520179999999996</c:v>
                </c:pt>
                <c:pt idx="616">
                  <c:v>92.433719999999994</c:v>
                </c:pt>
                <c:pt idx="617">
                  <c:v>92.452280000000002</c:v>
                </c:pt>
                <c:pt idx="618">
                  <c:v>92.331440000000001</c:v>
                </c:pt>
                <c:pt idx="619">
                  <c:v>92.310019999999994</c:v>
                </c:pt>
                <c:pt idx="620">
                  <c:v>92.397379999999998</c:v>
                </c:pt>
                <c:pt idx="621">
                  <c:v>92.404619999999994</c:v>
                </c:pt>
                <c:pt idx="622">
                  <c:v>92.290899999999993</c:v>
                </c:pt>
                <c:pt idx="623">
                  <c:v>92.32508</c:v>
                </c:pt>
                <c:pt idx="624">
                  <c:v>92.343589999999992</c:v>
                </c:pt>
                <c:pt idx="625">
                  <c:v>92.294029999999992</c:v>
                </c:pt>
                <c:pt idx="626">
                  <c:v>92.322199999999995</c:v>
                </c:pt>
                <c:pt idx="627">
                  <c:v>92.198070000000001</c:v>
                </c:pt>
                <c:pt idx="628">
                  <c:v>92.350619999999992</c:v>
                </c:pt>
                <c:pt idx="629">
                  <c:v>92.376069999999999</c:v>
                </c:pt>
                <c:pt idx="630">
                  <c:v>92.314700000000002</c:v>
                </c:pt>
                <c:pt idx="631">
                  <c:v>92.237449999999995</c:v>
                </c:pt>
                <c:pt idx="632">
                  <c:v>92.23178999999999</c:v>
                </c:pt>
                <c:pt idx="633">
                  <c:v>92.215609999999998</c:v>
                </c:pt>
                <c:pt idx="634">
                  <c:v>92.269139999999993</c:v>
                </c:pt>
                <c:pt idx="635">
                  <c:v>92.228549999999998</c:v>
                </c:pt>
                <c:pt idx="636">
                  <c:v>92.301549999999992</c:v>
                </c:pt>
                <c:pt idx="637">
                  <c:v>92.149999999999991</c:v>
                </c:pt>
                <c:pt idx="638">
                  <c:v>92.25009</c:v>
                </c:pt>
                <c:pt idx="639">
                  <c:v>92.195479999999989</c:v>
                </c:pt>
                <c:pt idx="640">
                  <c:v>92.166150000000002</c:v>
                </c:pt>
                <c:pt idx="641">
                  <c:v>92.248129999999989</c:v>
                </c:pt>
                <c:pt idx="642">
                  <c:v>92.194829999999996</c:v>
                </c:pt>
                <c:pt idx="643">
                  <c:v>92.035669999999996</c:v>
                </c:pt>
                <c:pt idx="644">
                  <c:v>91.964410000000001</c:v>
                </c:pt>
                <c:pt idx="645">
                  <c:v>92.060419999999993</c:v>
                </c:pt>
                <c:pt idx="646">
                  <c:v>92.131889999999999</c:v>
                </c:pt>
                <c:pt idx="647">
                  <c:v>92.067819999999998</c:v>
                </c:pt>
                <c:pt idx="648">
                  <c:v>92.052610000000001</c:v>
                </c:pt>
                <c:pt idx="649">
                  <c:v>91.961439999999996</c:v>
                </c:pt>
                <c:pt idx="650">
                  <c:v>92.077259999999995</c:v>
                </c:pt>
                <c:pt idx="651">
                  <c:v>92.117049999999992</c:v>
                </c:pt>
                <c:pt idx="652">
                  <c:v>91.977229999999992</c:v>
                </c:pt>
                <c:pt idx="653">
                  <c:v>92.055199999999999</c:v>
                </c:pt>
                <c:pt idx="654">
                  <c:v>91.94583999999999</c:v>
                </c:pt>
                <c:pt idx="655">
                  <c:v>91.969169999999991</c:v>
                </c:pt>
                <c:pt idx="656">
                  <c:v>92.033349999999999</c:v>
                </c:pt>
                <c:pt idx="657">
                  <c:v>92.0214</c:v>
                </c:pt>
                <c:pt idx="658">
                  <c:v>91.954939999999993</c:v>
                </c:pt>
                <c:pt idx="659">
                  <c:v>92.001819999999995</c:v>
                </c:pt>
                <c:pt idx="660">
                  <c:v>92.019089999999991</c:v>
                </c:pt>
                <c:pt idx="661">
                  <c:v>91.812479999999994</c:v>
                </c:pt>
                <c:pt idx="662">
                  <c:v>91.828310000000002</c:v>
                </c:pt>
                <c:pt idx="663">
                  <c:v>91.969560000000001</c:v>
                </c:pt>
                <c:pt idx="664">
                  <c:v>91.805329999999998</c:v>
                </c:pt>
                <c:pt idx="665">
                  <c:v>91.919359999999998</c:v>
                </c:pt>
                <c:pt idx="666">
                  <c:v>91.777419999999992</c:v>
                </c:pt>
                <c:pt idx="667">
                  <c:v>91.764889999999994</c:v>
                </c:pt>
                <c:pt idx="668">
                  <c:v>91.810299999999998</c:v>
                </c:pt>
                <c:pt idx="669">
                  <c:v>91.742149999999995</c:v>
                </c:pt>
                <c:pt idx="670">
                  <c:v>91.79777</c:v>
                </c:pt>
                <c:pt idx="671">
                  <c:v>91.869499999999988</c:v>
                </c:pt>
                <c:pt idx="672">
                  <c:v>91.91494999999999</c:v>
                </c:pt>
                <c:pt idx="673">
                  <c:v>91.834649999999996</c:v>
                </c:pt>
                <c:pt idx="674">
                  <c:v>91.775089999999992</c:v>
                </c:pt>
                <c:pt idx="675">
                  <c:v>91.780809999999988</c:v>
                </c:pt>
                <c:pt idx="676">
                  <c:v>91.887829999999994</c:v>
                </c:pt>
                <c:pt idx="677">
                  <c:v>91.71087</c:v>
                </c:pt>
                <c:pt idx="678">
                  <c:v>91.750050000000002</c:v>
                </c:pt>
                <c:pt idx="679">
                  <c:v>91.56841</c:v>
                </c:pt>
                <c:pt idx="680">
                  <c:v>91.687659999999994</c:v>
                </c:pt>
                <c:pt idx="681">
                  <c:v>91.701369999999997</c:v>
                </c:pt>
                <c:pt idx="682">
                  <c:v>91.602639999999994</c:v>
                </c:pt>
                <c:pt idx="683">
                  <c:v>91.72954</c:v>
                </c:pt>
                <c:pt idx="684">
                  <c:v>91.676189999999991</c:v>
                </c:pt>
                <c:pt idx="685">
                  <c:v>91.686389999999989</c:v>
                </c:pt>
                <c:pt idx="686">
                  <c:v>91.668449999999993</c:v>
                </c:pt>
                <c:pt idx="687">
                  <c:v>91.612470000000002</c:v>
                </c:pt>
                <c:pt idx="688">
                  <c:v>91.567889999999991</c:v>
                </c:pt>
                <c:pt idx="689">
                  <c:v>91.555979999999991</c:v>
                </c:pt>
                <c:pt idx="690">
                  <c:v>91.567049999999995</c:v>
                </c:pt>
                <c:pt idx="691">
                  <c:v>91.665989999999994</c:v>
                </c:pt>
                <c:pt idx="692">
                  <c:v>91.704129999999992</c:v>
                </c:pt>
                <c:pt idx="693">
                  <c:v>91.688379999999995</c:v>
                </c:pt>
                <c:pt idx="694">
                  <c:v>91.524529999999999</c:v>
                </c:pt>
                <c:pt idx="695">
                  <c:v>91.634699999999995</c:v>
                </c:pt>
                <c:pt idx="696">
                  <c:v>91.495039999999989</c:v>
                </c:pt>
                <c:pt idx="697">
                  <c:v>91.61466999999999</c:v>
                </c:pt>
                <c:pt idx="698">
                  <c:v>91.57692999999999</c:v>
                </c:pt>
                <c:pt idx="699">
                  <c:v>91.610859999999988</c:v>
                </c:pt>
                <c:pt idx="700">
                  <c:v>91.5732</c:v>
                </c:pt>
                <c:pt idx="701">
                  <c:v>91.478829999999988</c:v>
                </c:pt>
                <c:pt idx="702">
                  <c:v>91.506739999999994</c:v>
                </c:pt>
                <c:pt idx="703">
                  <c:v>91.386089999999996</c:v>
                </c:pt>
                <c:pt idx="704">
                  <c:v>91.513279999999995</c:v>
                </c:pt>
                <c:pt idx="705">
                  <c:v>91.430769999999995</c:v>
                </c:pt>
                <c:pt idx="706">
                  <c:v>91.454599999999999</c:v>
                </c:pt>
                <c:pt idx="707">
                  <c:v>91.520659999999992</c:v>
                </c:pt>
                <c:pt idx="708">
                  <c:v>91.380989999999997</c:v>
                </c:pt>
                <c:pt idx="709">
                  <c:v>91.286000000000001</c:v>
                </c:pt>
                <c:pt idx="710">
                  <c:v>91.398399999999995</c:v>
                </c:pt>
                <c:pt idx="711">
                  <c:v>91.344560000000001</c:v>
                </c:pt>
                <c:pt idx="712">
                  <c:v>91.352099999999993</c:v>
                </c:pt>
                <c:pt idx="713">
                  <c:v>91.409669999999991</c:v>
                </c:pt>
                <c:pt idx="714">
                  <c:v>91.387619999999998</c:v>
                </c:pt>
                <c:pt idx="715">
                  <c:v>91.24866999999999</c:v>
                </c:pt>
                <c:pt idx="716">
                  <c:v>91.311389999999989</c:v>
                </c:pt>
                <c:pt idx="717">
                  <c:v>91.424889999999991</c:v>
                </c:pt>
                <c:pt idx="718">
                  <c:v>91.324239999999989</c:v>
                </c:pt>
                <c:pt idx="719">
                  <c:v>91.350639999999999</c:v>
                </c:pt>
                <c:pt idx="720">
                  <c:v>91.252589999999998</c:v>
                </c:pt>
                <c:pt idx="721">
                  <c:v>91.354729999999989</c:v>
                </c:pt>
                <c:pt idx="722">
                  <c:v>91.34420999999999</c:v>
                </c:pt>
                <c:pt idx="723">
                  <c:v>91.278359999999992</c:v>
                </c:pt>
                <c:pt idx="724">
                  <c:v>91.31716999999999</c:v>
                </c:pt>
                <c:pt idx="725">
                  <c:v>91.281099999999995</c:v>
                </c:pt>
                <c:pt idx="726">
                  <c:v>91.304469999999995</c:v>
                </c:pt>
                <c:pt idx="727">
                  <c:v>91.205619999999996</c:v>
                </c:pt>
                <c:pt idx="728">
                  <c:v>91.260639999999995</c:v>
                </c:pt>
                <c:pt idx="729">
                  <c:v>91.033809999999988</c:v>
                </c:pt>
                <c:pt idx="730">
                  <c:v>91.144449999999992</c:v>
                </c:pt>
                <c:pt idx="731">
                  <c:v>91.176509999999993</c:v>
                </c:pt>
                <c:pt idx="732">
                  <c:v>91.159689999999998</c:v>
                </c:pt>
                <c:pt idx="733">
                  <c:v>91.14403999999999</c:v>
                </c:pt>
                <c:pt idx="734">
                  <c:v>91.089349999999996</c:v>
                </c:pt>
                <c:pt idx="735">
                  <c:v>91.187059999999988</c:v>
                </c:pt>
                <c:pt idx="736">
                  <c:v>91.17277</c:v>
                </c:pt>
                <c:pt idx="737">
                  <c:v>91.185130000000001</c:v>
                </c:pt>
                <c:pt idx="738">
                  <c:v>91.143069999999994</c:v>
                </c:pt>
                <c:pt idx="739">
                  <c:v>91.067119999999989</c:v>
                </c:pt>
                <c:pt idx="740">
                  <c:v>91.152360000000002</c:v>
                </c:pt>
                <c:pt idx="741">
                  <c:v>91.071659999999994</c:v>
                </c:pt>
                <c:pt idx="742">
                  <c:v>91.134799999999998</c:v>
                </c:pt>
                <c:pt idx="743">
                  <c:v>91.01549</c:v>
                </c:pt>
                <c:pt idx="744">
                  <c:v>91.11793999999999</c:v>
                </c:pt>
                <c:pt idx="745">
                  <c:v>91.08883999999999</c:v>
                </c:pt>
                <c:pt idx="746">
                  <c:v>91.04365</c:v>
                </c:pt>
                <c:pt idx="747">
                  <c:v>90.96647999999999</c:v>
                </c:pt>
                <c:pt idx="748">
                  <c:v>90.911760000000001</c:v>
                </c:pt>
                <c:pt idx="749">
                  <c:v>91.02834</c:v>
                </c:pt>
                <c:pt idx="750">
                  <c:v>91.020879999999991</c:v>
                </c:pt>
                <c:pt idx="751">
                  <c:v>90.875029999999995</c:v>
                </c:pt>
                <c:pt idx="752">
                  <c:v>90.940329999999989</c:v>
                </c:pt>
                <c:pt idx="753">
                  <c:v>90.920729999999992</c:v>
                </c:pt>
                <c:pt idx="754">
                  <c:v>91.144259999999989</c:v>
                </c:pt>
                <c:pt idx="755">
                  <c:v>90.912049999999994</c:v>
                </c:pt>
                <c:pt idx="756">
                  <c:v>90.845879999999994</c:v>
                </c:pt>
                <c:pt idx="757">
                  <c:v>90.987349999999992</c:v>
                </c:pt>
                <c:pt idx="758">
                  <c:v>90.84554</c:v>
                </c:pt>
                <c:pt idx="759">
                  <c:v>90.959440000000001</c:v>
                </c:pt>
                <c:pt idx="760">
                  <c:v>90.980629999999991</c:v>
                </c:pt>
                <c:pt idx="761">
                  <c:v>90.798779999999994</c:v>
                </c:pt>
                <c:pt idx="762">
                  <c:v>90.873919999999998</c:v>
                </c:pt>
                <c:pt idx="763">
                  <c:v>90.892859999999999</c:v>
                </c:pt>
                <c:pt idx="764">
                  <c:v>90.764259999999993</c:v>
                </c:pt>
                <c:pt idx="765">
                  <c:v>90.837049999999991</c:v>
                </c:pt>
                <c:pt idx="766">
                  <c:v>90.823499999999996</c:v>
                </c:pt>
                <c:pt idx="767">
                  <c:v>90.80346999999999</c:v>
                </c:pt>
                <c:pt idx="768">
                  <c:v>90.655090000000001</c:v>
                </c:pt>
                <c:pt idx="769">
                  <c:v>90.769849999999991</c:v>
                </c:pt>
                <c:pt idx="770">
                  <c:v>90.689700000000002</c:v>
                </c:pt>
                <c:pt idx="771">
                  <c:v>90.785319999999999</c:v>
                </c:pt>
                <c:pt idx="772">
                  <c:v>90.78586</c:v>
                </c:pt>
                <c:pt idx="773">
                  <c:v>90.774169999999998</c:v>
                </c:pt>
                <c:pt idx="774">
                  <c:v>90.72444999999999</c:v>
                </c:pt>
                <c:pt idx="775">
                  <c:v>90.673429999999996</c:v>
                </c:pt>
                <c:pt idx="776">
                  <c:v>90.816009999999991</c:v>
                </c:pt>
                <c:pt idx="777">
                  <c:v>90.613050000000001</c:v>
                </c:pt>
                <c:pt idx="778">
                  <c:v>90.671599999999998</c:v>
                </c:pt>
                <c:pt idx="779">
                  <c:v>90.675460000000001</c:v>
                </c:pt>
                <c:pt idx="780">
                  <c:v>90.76249</c:v>
                </c:pt>
                <c:pt idx="781">
                  <c:v>90.565989999999999</c:v>
                </c:pt>
                <c:pt idx="782">
                  <c:v>90.66583</c:v>
                </c:pt>
                <c:pt idx="783">
                  <c:v>90.523359999999997</c:v>
                </c:pt>
                <c:pt idx="784">
                  <c:v>90.646909999999991</c:v>
                </c:pt>
                <c:pt idx="785">
                  <c:v>90.653019999999998</c:v>
                </c:pt>
                <c:pt idx="786">
                  <c:v>90.653819999999996</c:v>
                </c:pt>
                <c:pt idx="787">
                  <c:v>90.638559999999998</c:v>
                </c:pt>
                <c:pt idx="788">
                  <c:v>90.573709999999991</c:v>
                </c:pt>
                <c:pt idx="789">
                  <c:v>90.761619999999994</c:v>
                </c:pt>
                <c:pt idx="790">
                  <c:v>90.629179999999991</c:v>
                </c:pt>
                <c:pt idx="791">
                  <c:v>90.625019999999992</c:v>
                </c:pt>
                <c:pt idx="792">
                  <c:v>90.423269999999988</c:v>
                </c:pt>
                <c:pt idx="793">
                  <c:v>90.43258999999999</c:v>
                </c:pt>
                <c:pt idx="794">
                  <c:v>90.481290000000001</c:v>
                </c:pt>
                <c:pt idx="795">
                  <c:v>90.520519999999991</c:v>
                </c:pt>
                <c:pt idx="796">
                  <c:v>90.58489999999999</c:v>
                </c:pt>
                <c:pt idx="797">
                  <c:v>90.498660000000001</c:v>
                </c:pt>
                <c:pt idx="798">
                  <c:v>90.548259999999999</c:v>
                </c:pt>
                <c:pt idx="799">
                  <c:v>90.497779999999992</c:v>
                </c:pt>
                <c:pt idx="800">
                  <c:v>90.39555</c:v>
                </c:pt>
                <c:pt idx="801">
                  <c:v>90.538820000000001</c:v>
                </c:pt>
                <c:pt idx="802">
                  <c:v>90.427379999999999</c:v>
                </c:pt>
                <c:pt idx="803">
                  <c:v>90.488619999999997</c:v>
                </c:pt>
                <c:pt idx="804">
                  <c:v>90.467590000000001</c:v>
                </c:pt>
                <c:pt idx="805">
                  <c:v>90.402479999999997</c:v>
                </c:pt>
                <c:pt idx="806">
                  <c:v>90.319549999999992</c:v>
                </c:pt>
                <c:pt idx="807">
                  <c:v>90.467500000000001</c:v>
                </c:pt>
                <c:pt idx="808">
                  <c:v>90.27046</c:v>
                </c:pt>
                <c:pt idx="809">
                  <c:v>90.373379999999997</c:v>
                </c:pt>
                <c:pt idx="810">
                  <c:v>90.325149999999994</c:v>
                </c:pt>
                <c:pt idx="811">
                  <c:v>90.36614999999999</c:v>
                </c:pt>
                <c:pt idx="812">
                  <c:v>90.408169999999998</c:v>
                </c:pt>
                <c:pt idx="813">
                  <c:v>90.265079999999998</c:v>
                </c:pt>
                <c:pt idx="814">
                  <c:v>90.226799999999997</c:v>
                </c:pt>
                <c:pt idx="815">
                  <c:v>90.349789999999999</c:v>
                </c:pt>
                <c:pt idx="816">
                  <c:v>90.301869999999994</c:v>
                </c:pt>
                <c:pt idx="817">
                  <c:v>90.195899999999995</c:v>
                </c:pt>
                <c:pt idx="818">
                  <c:v>90.175269999999998</c:v>
                </c:pt>
                <c:pt idx="819">
                  <c:v>90.256979999999999</c:v>
                </c:pt>
                <c:pt idx="820">
                  <c:v>90.259239999999991</c:v>
                </c:pt>
                <c:pt idx="821">
                  <c:v>90.172579999999996</c:v>
                </c:pt>
                <c:pt idx="822">
                  <c:v>90.173259999999999</c:v>
                </c:pt>
                <c:pt idx="823">
                  <c:v>90.262649999999994</c:v>
                </c:pt>
                <c:pt idx="824">
                  <c:v>90.263210000000001</c:v>
                </c:pt>
                <c:pt idx="825">
                  <c:v>90.190079999999995</c:v>
                </c:pt>
                <c:pt idx="826">
                  <c:v>90.213149999999999</c:v>
                </c:pt>
                <c:pt idx="827">
                  <c:v>90.166370000000001</c:v>
                </c:pt>
                <c:pt idx="828">
                  <c:v>90.095749999999995</c:v>
                </c:pt>
                <c:pt idx="829">
                  <c:v>90.084350000000001</c:v>
                </c:pt>
                <c:pt idx="830">
                  <c:v>90.107339999999994</c:v>
                </c:pt>
                <c:pt idx="831">
                  <c:v>90.103960000000001</c:v>
                </c:pt>
                <c:pt idx="832">
                  <c:v>90.116419999999991</c:v>
                </c:pt>
                <c:pt idx="833">
                  <c:v>90.068849999999998</c:v>
                </c:pt>
                <c:pt idx="834">
                  <c:v>90.148409999999998</c:v>
                </c:pt>
                <c:pt idx="835">
                  <c:v>90.120419999999996</c:v>
                </c:pt>
                <c:pt idx="836">
                  <c:v>90.156099999999995</c:v>
                </c:pt>
                <c:pt idx="837">
                  <c:v>90.118690000000001</c:v>
                </c:pt>
                <c:pt idx="838">
                  <c:v>90.043989999999994</c:v>
                </c:pt>
                <c:pt idx="839">
                  <c:v>90.015819999999991</c:v>
                </c:pt>
                <c:pt idx="840">
                  <c:v>90.006059999999991</c:v>
                </c:pt>
                <c:pt idx="841">
                  <c:v>89.89394999999999</c:v>
                </c:pt>
                <c:pt idx="842">
                  <c:v>90.165779999999998</c:v>
                </c:pt>
                <c:pt idx="843">
                  <c:v>89.873099999999994</c:v>
                </c:pt>
                <c:pt idx="844">
                  <c:v>90.013949999999994</c:v>
                </c:pt>
                <c:pt idx="845">
                  <c:v>90.004709999999989</c:v>
                </c:pt>
                <c:pt idx="846">
                  <c:v>89.886420000000001</c:v>
                </c:pt>
                <c:pt idx="847">
                  <c:v>90.065699999999993</c:v>
                </c:pt>
                <c:pt idx="848">
                  <c:v>89.901749999999993</c:v>
                </c:pt>
                <c:pt idx="849">
                  <c:v>90.00551999999999</c:v>
                </c:pt>
                <c:pt idx="850">
                  <c:v>89.891139999999993</c:v>
                </c:pt>
                <c:pt idx="851">
                  <c:v>89.903790000000001</c:v>
                </c:pt>
                <c:pt idx="852">
                  <c:v>89.860079999999996</c:v>
                </c:pt>
                <c:pt idx="853">
                  <c:v>89.910659999999993</c:v>
                </c:pt>
                <c:pt idx="854">
                  <c:v>89.837980000000002</c:v>
                </c:pt>
                <c:pt idx="855">
                  <c:v>89.886679999999998</c:v>
                </c:pt>
                <c:pt idx="856">
                  <c:v>89.736379999999997</c:v>
                </c:pt>
                <c:pt idx="857">
                  <c:v>89.838359999999994</c:v>
                </c:pt>
                <c:pt idx="858">
                  <c:v>89.825800000000001</c:v>
                </c:pt>
                <c:pt idx="859">
                  <c:v>89.81210999999999</c:v>
                </c:pt>
                <c:pt idx="860">
                  <c:v>89.78085999999999</c:v>
                </c:pt>
                <c:pt idx="861">
                  <c:v>89.83395999999999</c:v>
                </c:pt>
                <c:pt idx="862">
                  <c:v>89.931449999999998</c:v>
                </c:pt>
                <c:pt idx="863">
                  <c:v>89.84648</c:v>
                </c:pt>
                <c:pt idx="864">
                  <c:v>89.834029999999998</c:v>
                </c:pt>
                <c:pt idx="865">
                  <c:v>89.840199999999996</c:v>
                </c:pt>
                <c:pt idx="866">
                  <c:v>89.799769999999995</c:v>
                </c:pt>
                <c:pt idx="867">
                  <c:v>89.799790000000002</c:v>
                </c:pt>
                <c:pt idx="868">
                  <c:v>89.765159999999995</c:v>
                </c:pt>
                <c:pt idx="869">
                  <c:v>89.72757</c:v>
                </c:pt>
                <c:pt idx="870">
                  <c:v>89.698529999999991</c:v>
                </c:pt>
                <c:pt idx="871">
                  <c:v>89.776399999999995</c:v>
                </c:pt>
                <c:pt idx="872">
                  <c:v>89.768879999999996</c:v>
                </c:pt>
                <c:pt idx="873">
                  <c:v>89.69144</c:v>
                </c:pt>
                <c:pt idx="874">
                  <c:v>89.79343999999999</c:v>
                </c:pt>
                <c:pt idx="875">
                  <c:v>89.630849999999995</c:v>
                </c:pt>
                <c:pt idx="876">
                  <c:v>89.74942999999999</c:v>
                </c:pt>
                <c:pt idx="877">
                  <c:v>89.584710000000001</c:v>
                </c:pt>
                <c:pt idx="878">
                  <c:v>89.634079999999997</c:v>
                </c:pt>
                <c:pt idx="879">
                  <c:v>89.562299999999993</c:v>
                </c:pt>
                <c:pt idx="880">
                  <c:v>89.653120000000001</c:v>
                </c:pt>
                <c:pt idx="881">
                  <c:v>89.571370000000002</c:v>
                </c:pt>
                <c:pt idx="882">
                  <c:v>89.544659999999993</c:v>
                </c:pt>
                <c:pt idx="883">
                  <c:v>89.51343</c:v>
                </c:pt>
                <c:pt idx="884">
                  <c:v>89.566629999999989</c:v>
                </c:pt>
                <c:pt idx="885">
                  <c:v>89.629369999999994</c:v>
                </c:pt>
                <c:pt idx="886">
                  <c:v>89.729099999999988</c:v>
                </c:pt>
                <c:pt idx="887">
                  <c:v>89.629369999999994</c:v>
                </c:pt>
                <c:pt idx="888">
                  <c:v>89.398309999999995</c:v>
                </c:pt>
                <c:pt idx="889">
                  <c:v>89.542739999999995</c:v>
                </c:pt>
                <c:pt idx="890">
                  <c:v>89.543129999999991</c:v>
                </c:pt>
                <c:pt idx="891">
                  <c:v>89.470019999999991</c:v>
                </c:pt>
                <c:pt idx="892">
                  <c:v>89.55816999999999</c:v>
                </c:pt>
                <c:pt idx="893">
                  <c:v>89.497839999999997</c:v>
                </c:pt>
                <c:pt idx="894">
                  <c:v>89.444859999999991</c:v>
                </c:pt>
                <c:pt idx="895">
                  <c:v>89.502510000000001</c:v>
                </c:pt>
                <c:pt idx="896">
                  <c:v>89.429209999999998</c:v>
                </c:pt>
                <c:pt idx="897">
                  <c:v>89.424329999999998</c:v>
                </c:pt>
                <c:pt idx="898">
                  <c:v>89.409759999999991</c:v>
                </c:pt>
                <c:pt idx="899">
                  <c:v>89.456229999999991</c:v>
                </c:pt>
                <c:pt idx="900">
                  <c:v>89.478560000000002</c:v>
                </c:pt>
                <c:pt idx="901">
                  <c:v>89.487560000000002</c:v>
                </c:pt>
                <c:pt idx="902">
                  <c:v>89.384139999999988</c:v>
                </c:pt>
                <c:pt idx="903">
                  <c:v>89.439759999999993</c:v>
                </c:pt>
                <c:pt idx="904">
                  <c:v>89.412819999999996</c:v>
                </c:pt>
                <c:pt idx="905">
                  <c:v>89.365989999999996</c:v>
                </c:pt>
                <c:pt idx="906">
                  <c:v>89.42689</c:v>
                </c:pt>
                <c:pt idx="907">
                  <c:v>89.327919999999992</c:v>
                </c:pt>
                <c:pt idx="908">
                  <c:v>89.314589999999995</c:v>
                </c:pt>
                <c:pt idx="909">
                  <c:v>89.300339999999991</c:v>
                </c:pt>
                <c:pt idx="910">
                  <c:v>89.357399999999998</c:v>
                </c:pt>
                <c:pt idx="911">
                  <c:v>89.369169999999997</c:v>
                </c:pt>
                <c:pt idx="912">
                  <c:v>89.283719999999988</c:v>
                </c:pt>
                <c:pt idx="913">
                  <c:v>89.360009999999988</c:v>
                </c:pt>
                <c:pt idx="914">
                  <c:v>89.295090000000002</c:v>
                </c:pt>
                <c:pt idx="915">
                  <c:v>89.336929999999995</c:v>
                </c:pt>
                <c:pt idx="916">
                  <c:v>89.187599999999989</c:v>
                </c:pt>
                <c:pt idx="917">
                  <c:v>89.300799999999995</c:v>
                </c:pt>
                <c:pt idx="918">
                  <c:v>89.177669999999992</c:v>
                </c:pt>
                <c:pt idx="919">
                  <c:v>89.273240000000001</c:v>
                </c:pt>
                <c:pt idx="920">
                  <c:v>89.35615</c:v>
                </c:pt>
                <c:pt idx="921">
                  <c:v>89.306039999999996</c:v>
                </c:pt>
                <c:pt idx="922">
                  <c:v>89.123959999999997</c:v>
                </c:pt>
                <c:pt idx="923">
                  <c:v>89.272660000000002</c:v>
                </c:pt>
                <c:pt idx="924">
                  <c:v>89.240489999999994</c:v>
                </c:pt>
                <c:pt idx="925">
                  <c:v>89.288089999999997</c:v>
                </c:pt>
                <c:pt idx="926">
                  <c:v>89.258569999999992</c:v>
                </c:pt>
                <c:pt idx="927">
                  <c:v>89.162189999999995</c:v>
                </c:pt>
                <c:pt idx="928">
                  <c:v>89.22117999999999</c:v>
                </c:pt>
                <c:pt idx="929">
                  <c:v>89.290089999999992</c:v>
                </c:pt>
                <c:pt idx="930">
                  <c:v>89.293449999999993</c:v>
                </c:pt>
                <c:pt idx="931">
                  <c:v>89.213769999999997</c:v>
                </c:pt>
                <c:pt idx="932">
                  <c:v>89.114679999999993</c:v>
                </c:pt>
                <c:pt idx="933">
                  <c:v>89.15952999999999</c:v>
                </c:pt>
                <c:pt idx="934">
                  <c:v>89.048899999999989</c:v>
                </c:pt>
                <c:pt idx="935">
                  <c:v>89.070689999999999</c:v>
                </c:pt>
                <c:pt idx="936">
                  <c:v>89.020150000000001</c:v>
                </c:pt>
                <c:pt idx="937">
                  <c:v>89.032889999999995</c:v>
                </c:pt>
                <c:pt idx="938">
                  <c:v>89.074219999999997</c:v>
                </c:pt>
                <c:pt idx="939">
                  <c:v>88.947620000000001</c:v>
                </c:pt>
                <c:pt idx="940">
                  <c:v>89.091200000000001</c:v>
                </c:pt>
                <c:pt idx="941">
                  <c:v>88.998699999999999</c:v>
                </c:pt>
                <c:pt idx="942">
                  <c:v>89.052509999999998</c:v>
                </c:pt>
                <c:pt idx="943">
                  <c:v>89.112089999999995</c:v>
                </c:pt>
                <c:pt idx="944">
                  <c:v>89.01961</c:v>
                </c:pt>
                <c:pt idx="945">
                  <c:v>88.915689999999998</c:v>
                </c:pt>
                <c:pt idx="946">
                  <c:v>89.061879999999988</c:v>
                </c:pt>
                <c:pt idx="947">
                  <c:v>88.940770000000001</c:v>
                </c:pt>
                <c:pt idx="948">
                  <c:v>88.898579999999995</c:v>
                </c:pt>
                <c:pt idx="949">
                  <c:v>88.877279999999999</c:v>
                </c:pt>
                <c:pt idx="950">
                  <c:v>89.054179999999988</c:v>
                </c:pt>
                <c:pt idx="951">
                  <c:v>88.922599999999989</c:v>
                </c:pt>
                <c:pt idx="952">
                  <c:v>88.944369999999992</c:v>
                </c:pt>
                <c:pt idx="953">
                  <c:v>88.902699999999996</c:v>
                </c:pt>
                <c:pt idx="954">
                  <c:v>88.898769999999999</c:v>
                </c:pt>
                <c:pt idx="955">
                  <c:v>88.837179999999989</c:v>
                </c:pt>
                <c:pt idx="956">
                  <c:v>88.848410000000001</c:v>
                </c:pt>
                <c:pt idx="957">
                  <c:v>88.776769999999999</c:v>
                </c:pt>
                <c:pt idx="958">
                  <c:v>88.832809999999995</c:v>
                </c:pt>
                <c:pt idx="959">
                  <c:v>88.941509999999994</c:v>
                </c:pt>
                <c:pt idx="960">
                  <c:v>88.912719999999993</c:v>
                </c:pt>
                <c:pt idx="961">
                  <c:v>88.835349999999991</c:v>
                </c:pt>
                <c:pt idx="962">
                  <c:v>88.83238999999999</c:v>
                </c:pt>
                <c:pt idx="963">
                  <c:v>88.900529999999989</c:v>
                </c:pt>
                <c:pt idx="964">
                  <c:v>88.843379999999996</c:v>
                </c:pt>
                <c:pt idx="965">
                  <c:v>88.843279999999993</c:v>
                </c:pt>
                <c:pt idx="966">
                  <c:v>88.700569999999999</c:v>
                </c:pt>
                <c:pt idx="967">
                  <c:v>88.838329999999999</c:v>
                </c:pt>
                <c:pt idx="968">
                  <c:v>88.761749999999992</c:v>
                </c:pt>
                <c:pt idx="969">
                  <c:v>88.790649999999999</c:v>
                </c:pt>
                <c:pt idx="970">
                  <c:v>88.77</c:v>
                </c:pt>
                <c:pt idx="971">
                  <c:v>88.74378999999999</c:v>
                </c:pt>
                <c:pt idx="972">
                  <c:v>88.74481999999999</c:v>
                </c:pt>
                <c:pt idx="973">
                  <c:v>88.674019999999999</c:v>
                </c:pt>
                <c:pt idx="974">
                  <c:v>88.782499999999999</c:v>
                </c:pt>
                <c:pt idx="975">
                  <c:v>88.614039999999989</c:v>
                </c:pt>
                <c:pt idx="976">
                  <c:v>88.746749999999992</c:v>
                </c:pt>
                <c:pt idx="977">
                  <c:v>88.682809999999989</c:v>
                </c:pt>
                <c:pt idx="978">
                  <c:v>88.644759999999991</c:v>
                </c:pt>
                <c:pt idx="979">
                  <c:v>88.581220000000002</c:v>
                </c:pt>
                <c:pt idx="980">
                  <c:v>88.605739999999997</c:v>
                </c:pt>
                <c:pt idx="981">
                  <c:v>88.805869999999999</c:v>
                </c:pt>
                <c:pt idx="982">
                  <c:v>88.563449999999989</c:v>
                </c:pt>
                <c:pt idx="983">
                  <c:v>88.653049999999993</c:v>
                </c:pt>
                <c:pt idx="984">
                  <c:v>88.565939999999998</c:v>
                </c:pt>
                <c:pt idx="985">
                  <c:v>88.58453999999999</c:v>
                </c:pt>
                <c:pt idx="986">
                  <c:v>88.638419999999996</c:v>
                </c:pt>
                <c:pt idx="987">
                  <c:v>88.686669999999992</c:v>
                </c:pt>
                <c:pt idx="988">
                  <c:v>88.626269999999991</c:v>
                </c:pt>
                <c:pt idx="989">
                  <c:v>88.567509999999999</c:v>
                </c:pt>
                <c:pt idx="990">
                  <c:v>88.588859999999997</c:v>
                </c:pt>
                <c:pt idx="991">
                  <c:v>88.622159999999994</c:v>
                </c:pt>
                <c:pt idx="992">
                  <c:v>88.598299999999995</c:v>
                </c:pt>
                <c:pt idx="993">
                  <c:v>88.57495999999999</c:v>
                </c:pt>
                <c:pt idx="994">
                  <c:v>88.508459999999999</c:v>
                </c:pt>
                <c:pt idx="995">
                  <c:v>88.49691</c:v>
                </c:pt>
                <c:pt idx="996">
                  <c:v>88.53161999999999</c:v>
                </c:pt>
                <c:pt idx="997">
                  <c:v>88.488659999999996</c:v>
                </c:pt>
                <c:pt idx="998">
                  <c:v>88.45411</c:v>
                </c:pt>
                <c:pt idx="999">
                  <c:v>88.562749999999994</c:v>
                </c:pt>
                <c:pt idx="1000">
                  <c:v>88.540059999999997</c:v>
                </c:pt>
                <c:pt idx="1001">
                  <c:v>88.401569999999992</c:v>
                </c:pt>
                <c:pt idx="1002">
                  <c:v>88.500569999999996</c:v>
                </c:pt>
                <c:pt idx="1003">
                  <c:v>88.360579999999999</c:v>
                </c:pt>
                <c:pt idx="1004">
                  <c:v>88.530450000000002</c:v>
                </c:pt>
                <c:pt idx="1005">
                  <c:v>88.45089999999999</c:v>
                </c:pt>
                <c:pt idx="1006">
                  <c:v>88.395949999999999</c:v>
                </c:pt>
                <c:pt idx="1007">
                  <c:v>88.38082</c:v>
                </c:pt>
                <c:pt idx="1008">
                  <c:v>88.400869999999998</c:v>
                </c:pt>
                <c:pt idx="1009">
                  <c:v>88.374459999999999</c:v>
                </c:pt>
                <c:pt idx="1010">
                  <c:v>88.289819999999992</c:v>
                </c:pt>
                <c:pt idx="1011">
                  <c:v>88.318539999999999</c:v>
                </c:pt>
                <c:pt idx="1012">
                  <c:v>88.264579999999995</c:v>
                </c:pt>
                <c:pt idx="1013">
                  <c:v>88.387789999999995</c:v>
                </c:pt>
                <c:pt idx="1014">
                  <c:v>88.359539999999996</c:v>
                </c:pt>
                <c:pt idx="1015">
                  <c:v>88.372959999999992</c:v>
                </c:pt>
                <c:pt idx="1016">
                  <c:v>88.250349999999997</c:v>
                </c:pt>
                <c:pt idx="1017">
                  <c:v>88.369450000000001</c:v>
                </c:pt>
                <c:pt idx="1018">
                  <c:v>88.149450000000002</c:v>
                </c:pt>
                <c:pt idx="1019">
                  <c:v>88.239930000000001</c:v>
                </c:pt>
                <c:pt idx="1020">
                  <c:v>88.296509999999998</c:v>
                </c:pt>
                <c:pt idx="1021">
                  <c:v>88.139769999999999</c:v>
                </c:pt>
                <c:pt idx="1022">
                  <c:v>88.321349999999995</c:v>
                </c:pt>
                <c:pt idx="1023">
                  <c:v>88.302019999999999</c:v>
                </c:pt>
                <c:pt idx="1024">
                  <c:v>88.308329999999998</c:v>
                </c:pt>
                <c:pt idx="1025">
                  <c:v>88.250799999999998</c:v>
                </c:pt>
                <c:pt idx="1026">
                  <c:v>88.285910000000001</c:v>
                </c:pt>
                <c:pt idx="1027">
                  <c:v>88.15200999999999</c:v>
                </c:pt>
                <c:pt idx="1028">
                  <c:v>88.211919999999992</c:v>
                </c:pt>
                <c:pt idx="1029">
                  <c:v>88.288179999999997</c:v>
                </c:pt>
                <c:pt idx="1030">
                  <c:v>88.212899999999991</c:v>
                </c:pt>
                <c:pt idx="1031">
                  <c:v>88.15795</c:v>
                </c:pt>
                <c:pt idx="1032">
                  <c:v>88.15021999999999</c:v>
                </c:pt>
                <c:pt idx="1033">
                  <c:v>88.26303999999999</c:v>
                </c:pt>
                <c:pt idx="1034">
                  <c:v>88.093429999999998</c:v>
                </c:pt>
                <c:pt idx="1035">
                  <c:v>88.132080000000002</c:v>
                </c:pt>
                <c:pt idx="1036">
                  <c:v>88.104939999999999</c:v>
                </c:pt>
                <c:pt idx="1037">
                  <c:v>88.03797999999999</c:v>
                </c:pt>
                <c:pt idx="1038">
                  <c:v>88.177599999999998</c:v>
                </c:pt>
                <c:pt idx="1039">
                  <c:v>88.016390000000001</c:v>
                </c:pt>
                <c:pt idx="1040">
                  <c:v>87.991879999999995</c:v>
                </c:pt>
                <c:pt idx="1041">
                  <c:v>87.947369999999992</c:v>
                </c:pt>
                <c:pt idx="1042">
                  <c:v>88.102589999999992</c:v>
                </c:pt>
                <c:pt idx="1043">
                  <c:v>88.097699999999989</c:v>
                </c:pt>
                <c:pt idx="1044">
                  <c:v>87.89255</c:v>
                </c:pt>
                <c:pt idx="1045">
                  <c:v>88.096419999999995</c:v>
                </c:pt>
                <c:pt idx="1046">
                  <c:v>88.023769999999999</c:v>
                </c:pt>
                <c:pt idx="1047">
                  <c:v>88.052669999999992</c:v>
                </c:pt>
                <c:pt idx="1048">
                  <c:v>87.915769999999995</c:v>
                </c:pt>
                <c:pt idx="1049">
                  <c:v>88.03331</c:v>
                </c:pt>
                <c:pt idx="1050">
                  <c:v>88.075119999999998</c:v>
                </c:pt>
                <c:pt idx="1051">
                  <c:v>87.905659999999997</c:v>
                </c:pt>
                <c:pt idx="1052">
                  <c:v>87.890589999999989</c:v>
                </c:pt>
                <c:pt idx="1053">
                  <c:v>87.879689999999997</c:v>
                </c:pt>
                <c:pt idx="1054">
                  <c:v>87.924409999999995</c:v>
                </c:pt>
                <c:pt idx="1055">
                  <c:v>87.940709999999996</c:v>
                </c:pt>
                <c:pt idx="1056">
                  <c:v>87.850949999999997</c:v>
                </c:pt>
                <c:pt idx="1057">
                  <c:v>87.929119999999998</c:v>
                </c:pt>
                <c:pt idx="1058">
                  <c:v>87.962489999999988</c:v>
                </c:pt>
                <c:pt idx="1059">
                  <c:v>87.863209999999995</c:v>
                </c:pt>
                <c:pt idx="1060">
                  <c:v>87.920029999999997</c:v>
                </c:pt>
                <c:pt idx="1061">
                  <c:v>87.947089999999989</c:v>
                </c:pt>
                <c:pt idx="1062">
                  <c:v>87.926310000000001</c:v>
                </c:pt>
                <c:pt idx="1063">
                  <c:v>87.872519999999994</c:v>
                </c:pt>
                <c:pt idx="1064">
                  <c:v>87.697849999999988</c:v>
                </c:pt>
                <c:pt idx="1065">
                  <c:v>87.884709999999998</c:v>
                </c:pt>
                <c:pt idx="1066">
                  <c:v>87.830889999999997</c:v>
                </c:pt>
                <c:pt idx="1067">
                  <c:v>87.733379999999997</c:v>
                </c:pt>
                <c:pt idx="1068">
                  <c:v>87.802229999999994</c:v>
                </c:pt>
                <c:pt idx="1069">
                  <c:v>87.870049999999992</c:v>
                </c:pt>
                <c:pt idx="1070">
                  <c:v>87.743429999999989</c:v>
                </c:pt>
                <c:pt idx="1071">
                  <c:v>87.725219999999993</c:v>
                </c:pt>
                <c:pt idx="1072">
                  <c:v>87.74593999999999</c:v>
                </c:pt>
                <c:pt idx="1073">
                  <c:v>87.71132999999999</c:v>
                </c:pt>
                <c:pt idx="1074">
                  <c:v>87.743529999999993</c:v>
                </c:pt>
                <c:pt idx="1075">
                  <c:v>87.788669999999996</c:v>
                </c:pt>
                <c:pt idx="1076">
                  <c:v>87.8185</c:v>
                </c:pt>
                <c:pt idx="1077">
                  <c:v>87.826070000000001</c:v>
                </c:pt>
                <c:pt idx="1078">
                  <c:v>87.701619999999991</c:v>
                </c:pt>
                <c:pt idx="1079">
                  <c:v>87.624439999999993</c:v>
                </c:pt>
                <c:pt idx="1080">
                  <c:v>87.725369999999998</c:v>
                </c:pt>
                <c:pt idx="1081">
                  <c:v>87.711500000000001</c:v>
                </c:pt>
                <c:pt idx="1082">
                  <c:v>87.678359999999998</c:v>
                </c:pt>
                <c:pt idx="1083">
                  <c:v>87.558479999999989</c:v>
                </c:pt>
                <c:pt idx="1084">
                  <c:v>87.681759999999997</c:v>
                </c:pt>
                <c:pt idx="1085">
                  <c:v>87.734960000000001</c:v>
                </c:pt>
                <c:pt idx="1086">
                  <c:v>87.52982999999999</c:v>
                </c:pt>
                <c:pt idx="1087">
                  <c:v>87.777259999999998</c:v>
                </c:pt>
                <c:pt idx="1088">
                  <c:v>87.672389999999993</c:v>
                </c:pt>
                <c:pt idx="1089">
                  <c:v>87.637349999999998</c:v>
                </c:pt>
                <c:pt idx="1090">
                  <c:v>87.673179999999988</c:v>
                </c:pt>
                <c:pt idx="1091">
                  <c:v>87.639849999999996</c:v>
                </c:pt>
                <c:pt idx="1092">
                  <c:v>87.65034</c:v>
                </c:pt>
                <c:pt idx="1093">
                  <c:v>87.682609999999997</c:v>
                </c:pt>
                <c:pt idx="1094">
                  <c:v>87.570639999999997</c:v>
                </c:pt>
                <c:pt idx="1095">
                  <c:v>87.499069999999989</c:v>
                </c:pt>
                <c:pt idx="1096">
                  <c:v>87.655419999999992</c:v>
                </c:pt>
                <c:pt idx="1097">
                  <c:v>87.620959999999997</c:v>
                </c:pt>
                <c:pt idx="1098">
                  <c:v>87.56138</c:v>
                </c:pt>
                <c:pt idx="1099">
                  <c:v>87.555509999999998</c:v>
                </c:pt>
                <c:pt idx="1100">
                  <c:v>87.555139999999994</c:v>
                </c:pt>
                <c:pt idx="1101">
                  <c:v>87.422849999999997</c:v>
                </c:pt>
                <c:pt idx="1102">
                  <c:v>87.451149999999998</c:v>
                </c:pt>
                <c:pt idx="1103">
                  <c:v>87.53201</c:v>
                </c:pt>
                <c:pt idx="1104">
                  <c:v>87.357639999999989</c:v>
                </c:pt>
                <c:pt idx="1105">
                  <c:v>87.495779999999996</c:v>
                </c:pt>
                <c:pt idx="1106">
                  <c:v>87.434460000000001</c:v>
                </c:pt>
                <c:pt idx="1107">
                  <c:v>87.56626</c:v>
                </c:pt>
                <c:pt idx="1108">
                  <c:v>87.491959999999992</c:v>
                </c:pt>
                <c:pt idx="1109">
                  <c:v>87.481319999999997</c:v>
                </c:pt>
                <c:pt idx="1110">
                  <c:v>87.399439999999998</c:v>
                </c:pt>
                <c:pt idx="1111">
                  <c:v>87.410959999999989</c:v>
                </c:pt>
                <c:pt idx="1112">
                  <c:v>87.419609999999992</c:v>
                </c:pt>
                <c:pt idx="1113">
                  <c:v>87.421359999999993</c:v>
                </c:pt>
                <c:pt idx="1114">
                  <c:v>87.400089999999992</c:v>
                </c:pt>
                <c:pt idx="1115">
                  <c:v>87.414659999999998</c:v>
                </c:pt>
                <c:pt idx="1116">
                  <c:v>87.4529</c:v>
                </c:pt>
                <c:pt idx="1117">
                  <c:v>87.321519999999992</c:v>
                </c:pt>
                <c:pt idx="1118">
                  <c:v>87.314939999999993</c:v>
                </c:pt>
                <c:pt idx="1119">
                  <c:v>87.326909999999998</c:v>
                </c:pt>
                <c:pt idx="1120">
                  <c:v>87.305819999999997</c:v>
                </c:pt>
                <c:pt idx="1121">
                  <c:v>87.340530000000001</c:v>
                </c:pt>
                <c:pt idx="1122">
                  <c:v>87.317689999999999</c:v>
                </c:pt>
                <c:pt idx="1123">
                  <c:v>87.271270000000001</c:v>
                </c:pt>
                <c:pt idx="1124">
                  <c:v>87.278970000000001</c:v>
                </c:pt>
                <c:pt idx="1125">
                  <c:v>87.411229999999989</c:v>
                </c:pt>
                <c:pt idx="1126">
                  <c:v>87.277529999999999</c:v>
                </c:pt>
                <c:pt idx="1127">
                  <c:v>87.340199999999996</c:v>
                </c:pt>
                <c:pt idx="1128">
                  <c:v>87.193579999999997</c:v>
                </c:pt>
                <c:pt idx="1129">
                  <c:v>87.2714</c:v>
                </c:pt>
                <c:pt idx="1130">
                  <c:v>87.299970000000002</c:v>
                </c:pt>
                <c:pt idx="1131">
                  <c:v>87.17170999999999</c:v>
                </c:pt>
                <c:pt idx="1132">
                  <c:v>87.26921999999999</c:v>
                </c:pt>
                <c:pt idx="1133">
                  <c:v>87.305689999999998</c:v>
                </c:pt>
                <c:pt idx="1134">
                  <c:v>87.19229</c:v>
                </c:pt>
                <c:pt idx="1135">
                  <c:v>87.194549999999992</c:v>
                </c:pt>
                <c:pt idx="1136">
                  <c:v>87.173069999999996</c:v>
                </c:pt>
                <c:pt idx="1137">
                  <c:v>87.306209999999993</c:v>
                </c:pt>
                <c:pt idx="1138">
                  <c:v>87.112939999999995</c:v>
                </c:pt>
                <c:pt idx="1139">
                  <c:v>87.303190000000001</c:v>
                </c:pt>
                <c:pt idx="1140">
                  <c:v>87.167699999999996</c:v>
                </c:pt>
                <c:pt idx="1141">
                  <c:v>87.065079999999995</c:v>
                </c:pt>
                <c:pt idx="1142">
                  <c:v>87.139690000000002</c:v>
                </c:pt>
                <c:pt idx="1143">
                  <c:v>87.162259999999989</c:v>
                </c:pt>
                <c:pt idx="1144">
                  <c:v>87.073029999999989</c:v>
                </c:pt>
                <c:pt idx="1145">
                  <c:v>87.067969999999988</c:v>
                </c:pt>
                <c:pt idx="1146">
                  <c:v>87.053899999999999</c:v>
                </c:pt>
                <c:pt idx="1147">
                  <c:v>87.01021999999999</c:v>
                </c:pt>
                <c:pt idx="1148">
                  <c:v>87.06286999999999</c:v>
                </c:pt>
                <c:pt idx="1149">
                  <c:v>87.085899999999995</c:v>
                </c:pt>
                <c:pt idx="1150">
                  <c:v>86.972650000000002</c:v>
                </c:pt>
                <c:pt idx="1151">
                  <c:v>86.956710000000001</c:v>
                </c:pt>
                <c:pt idx="1152">
                  <c:v>86.99391</c:v>
                </c:pt>
                <c:pt idx="1153">
                  <c:v>87.082099999999997</c:v>
                </c:pt>
                <c:pt idx="1154">
                  <c:v>87.043189999999996</c:v>
                </c:pt>
                <c:pt idx="1155">
                  <c:v>87.004239999999996</c:v>
                </c:pt>
                <c:pt idx="1156">
                  <c:v>87.061089999999993</c:v>
                </c:pt>
                <c:pt idx="1157">
                  <c:v>86.944339999999997</c:v>
                </c:pt>
                <c:pt idx="1158">
                  <c:v>87.126149999999996</c:v>
                </c:pt>
                <c:pt idx="1159">
                  <c:v>86.961579999999998</c:v>
                </c:pt>
                <c:pt idx="1160">
                  <c:v>86.88561</c:v>
                </c:pt>
                <c:pt idx="1161">
                  <c:v>86.906559999999999</c:v>
                </c:pt>
                <c:pt idx="1162">
                  <c:v>86.927119999999988</c:v>
                </c:pt>
                <c:pt idx="1163">
                  <c:v>86.851649999999992</c:v>
                </c:pt>
                <c:pt idx="1164">
                  <c:v>86.896999999999991</c:v>
                </c:pt>
                <c:pt idx="1165">
                  <c:v>86.916509999999988</c:v>
                </c:pt>
                <c:pt idx="1166">
                  <c:v>86.965409999999991</c:v>
                </c:pt>
                <c:pt idx="1167">
                  <c:v>86.859529999999992</c:v>
                </c:pt>
                <c:pt idx="1168">
                  <c:v>86.957999999999998</c:v>
                </c:pt>
                <c:pt idx="1169">
                  <c:v>86.860439999999997</c:v>
                </c:pt>
                <c:pt idx="1170">
                  <c:v>86.947409999999991</c:v>
                </c:pt>
                <c:pt idx="1171">
                  <c:v>86.939369999999997</c:v>
                </c:pt>
                <c:pt idx="1172">
                  <c:v>86.903809999999993</c:v>
                </c:pt>
                <c:pt idx="1173">
                  <c:v>86.850819999999999</c:v>
                </c:pt>
                <c:pt idx="1174">
                  <c:v>86.749039999999994</c:v>
                </c:pt>
                <c:pt idx="1175">
                  <c:v>86.793389999999988</c:v>
                </c:pt>
                <c:pt idx="1176">
                  <c:v>86.669979999999995</c:v>
                </c:pt>
                <c:pt idx="1177">
                  <c:v>86.798090000000002</c:v>
                </c:pt>
                <c:pt idx="1178">
                  <c:v>86.694479999999999</c:v>
                </c:pt>
                <c:pt idx="1179">
                  <c:v>86.783229999999989</c:v>
                </c:pt>
                <c:pt idx="1180">
                  <c:v>86.829699999999988</c:v>
                </c:pt>
                <c:pt idx="1181">
                  <c:v>86.833359999999999</c:v>
                </c:pt>
                <c:pt idx="1182">
                  <c:v>86.806259999999995</c:v>
                </c:pt>
                <c:pt idx="1183">
                  <c:v>86.787880000000001</c:v>
                </c:pt>
                <c:pt idx="1184">
                  <c:v>86.70796</c:v>
                </c:pt>
                <c:pt idx="1185">
                  <c:v>86.667659999999998</c:v>
                </c:pt>
                <c:pt idx="1186">
                  <c:v>86.763899999999992</c:v>
                </c:pt>
                <c:pt idx="1187">
                  <c:v>86.64085</c:v>
                </c:pt>
                <c:pt idx="1188">
                  <c:v>86.67855999999999</c:v>
                </c:pt>
                <c:pt idx="1189">
                  <c:v>86.697310000000002</c:v>
                </c:pt>
                <c:pt idx="1190">
                  <c:v>86.590339999999998</c:v>
                </c:pt>
                <c:pt idx="1191">
                  <c:v>86.670259999999999</c:v>
                </c:pt>
                <c:pt idx="1192">
                  <c:v>86.637409999999988</c:v>
                </c:pt>
                <c:pt idx="1193">
                  <c:v>86.638919999999999</c:v>
                </c:pt>
                <c:pt idx="1194">
                  <c:v>86.629089999999991</c:v>
                </c:pt>
                <c:pt idx="1195">
                  <c:v>86.592169999999996</c:v>
                </c:pt>
                <c:pt idx="1196">
                  <c:v>86.624369999999999</c:v>
                </c:pt>
                <c:pt idx="1197">
                  <c:v>86.575559999999996</c:v>
                </c:pt>
                <c:pt idx="1198">
                  <c:v>86.574629999999999</c:v>
                </c:pt>
                <c:pt idx="1199">
                  <c:v>86.62379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FD-0548-903D-BCA593E38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2360943"/>
        <c:axId val="1475807103"/>
      </c:scatterChart>
      <c:valAx>
        <c:axId val="2032360943"/>
        <c:scaling>
          <c:orientation val="minMax"/>
          <c:max val="6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475807103"/>
        <c:crosses val="autoZero"/>
        <c:crossBetween val="midCat"/>
      </c:valAx>
      <c:valAx>
        <c:axId val="1475807103"/>
        <c:scaling>
          <c:orientation val="minMax"/>
          <c:min val="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032360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250C Sif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Data'!$X$4:$X$1203</c:f>
              <c:numCache>
                <c:formatCode>General</c:formatCode>
                <c:ptCount val="12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</c:numCache>
            </c:numRef>
          </c:xVal>
          <c:yVal>
            <c:numRef>
              <c:f>'All Data'!$Z$4:$Z$1203</c:f>
              <c:numCache>
                <c:formatCode>0.00000</c:formatCode>
                <c:ptCount val="1200"/>
                <c:pt idx="0">
                  <c:v>100</c:v>
                </c:pt>
                <c:pt idx="1">
                  <c:v>100.13368000000001</c:v>
                </c:pt>
                <c:pt idx="2">
                  <c:v>100.29835</c:v>
                </c:pt>
                <c:pt idx="3">
                  <c:v>100.40191</c:v>
                </c:pt>
                <c:pt idx="4">
                  <c:v>100.47273</c:v>
                </c:pt>
                <c:pt idx="5">
                  <c:v>100.48620000000001</c:v>
                </c:pt>
                <c:pt idx="6">
                  <c:v>100.50139</c:v>
                </c:pt>
                <c:pt idx="7">
                  <c:v>100.50736000000001</c:v>
                </c:pt>
                <c:pt idx="8">
                  <c:v>100.50516</c:v>
                </c:pt>
                <c:pt idx="9">
                  <c:v>100.49354000000001</c:v>
                </c:pt>
                <c:pt idx="10">
                  <c:v>100.47245000000001</c:v>
                </c:pt>
                <c:pt idx="11">
                  <c:v>100.45356000000001</c:v>
                </c:pt>
                <c:pt idx="12">
                  <c:v>100.4325</c:v>
                </c:pt>
                <c:pt idx="13">
                  <c:v>100.40184000000001</c:v>
                </c:pt>
                <c:pt idx="14">
                  <c:v>100.39593000000001</c:v>
                </c:pt>
                <c:pt idx="15">
                  <c:v>100.37676</c:v>
                </c:pt>
                <c:pt idx="16">
                  <c:v>100.34614000000001</c:v>
                </c:pt>
                <c:pt idx="17">
                  <c:v>100.32693</c:v>
                </c:pt>
                <c:pt idx="18">
                  <c:v>100.28283</c:v>
                </c:pt>
                <c:pt idx="19">
                  <c:v>100.27135000000001</c:v>
                </c:pt>
                <c:pt idx="20">
                  <c:v>100.22914</c:v>
                </c:pt>
                <c:pt idx="21">
                  <c:v>100.21179000000001</c:v>
                </c:pt>
                <c:pt idx="22">
                  <c:v>100.18510000000001</c:v>
                </c:pt>
                <c:pt idx="23">
                  <c:v>100.14627</c:v>
                </c:pt>
                <c:pt idx="24">
                  <c:v>100.13511000000001</c:v>
                </c:pt>
                <c:pt idx="25">
                  <c:v>100.11029000000001</c:v>
                </c:pt>
                <c:pt idx="26">
                  <c:v>100.07376000000001</c:v>
                </c:pt>
                <c:pt idx="27">
                  <c:v>100.05257</c:v>
                </c:pt>
                <c:pt idx="28">
                  <c:v>100.01653</c:v>
                </c:pt>
                <c:pt idx="29">
                  <c:v>99.993459999999999</c:v>
                </c:pt>
                <c:pt idx="30">
                  <c:v>99.966340000000002</c:v>
                </c:pt>
                <c:pt idx="31">
                  <c:v>99.941340000000011</c:v>
                </c:pt>
                <c:pt idx="32">
                  <c:v>99.89537</c:v>
                </c:pt>
                <c:pt idx="33">
                  <c:v>99.868600000000001</c:v>
                </c:pt>
                <c:pt idx="34">
                  <c:v>99.847400000000007</c:v>
                </c:pt>
                <c:pt idx="35">
                  <c:v>99.822700000000012</c:v>
                </c:pt>
                <c:pt idx="36">
                  <c:v>99.784220000000005</c:v>
                </c:pt>
                <c:pt idx="37">
                  <c:v>99.757390000000001</c:v>
                </c:pt>
                <c:pt idx="38">
                  <c:v>99.726730000000003</c:v>
                </c:pt>
                <c:pt idx="39">
                  <c:v>99.692180000000008</c:v>
                </c:pt>
                <c:pt idx="40">
                  <c:v>99.655799999999999</c:v>
                </c:pt>
                <c:pt idx="41">
                  <c:v>99.628860000000003</c:v>
                </c:pt>
                <c:pt idx="42">
                  <c:v>99.607820000000004</c:v>
                </c:pt>
                <c:pt idx="43">
                  <c:v>99.579239999999999</c:v>
                </c:pt>
                <c:pt idx="44">
                  <c:v>99.548510000000007</c:v>
                </c:pt>
                <c:pt idx="45">
                  <c:v>99.519630000000006</c:v>
                </c:pt>
                <c:pt idx="46">
                  <c:v>99.48527</c:v>
                </c:pt>
                <c:pt idx="47">
                  <c:v>99.46587000000001</c:v>
                </c:pt>
                <c:pt idx="48">
                  <c:v>99.431350000000009</c:v>
                </c:pt>
                <c:pt idx="49">
                  <c:v>99.398650000000004</c:v>
                </c:pt>
                <c:pt idx="50">
                  <c:v>99.371740000000003</c:v>
                </c:pt>
                <c:pt idx="51">
                  <c:v>99.341340000000002</c:v>
                </c:pt>
                <c:pt idx="52">
                  <c:v>99.314520000000002</c:v>
                </c:pt>
                <c:pt idx="53">
                  <c:v>99.281960000000012</c:v>
                </c:pt>
                <c:pt idx="54">
                  <c:v>99.260720000000006</c:v>
                </c:pt>
                <c:pt idx="55">
                  <c:v>99.214780000000005</c:v>
                </c:pt>
                <c:pt idx="56">
                  <c:v>99.195580000000007</c:v>
                </c:pt>
                <c:pt idx="57">
                  <c:v>99.14567000000001</c:v>
                </c:pt>
                <c:pt idx="58">
                  <c:v>99.132360000000006</c:v>
                </c:pt>
                <c:pt idx="59">
                  <c:v>99.109290000000001</c:v>
                </c:pt>
                <c:pt idx="60">
                  <c:v>99.08832000000001</c:v>
                </c:pt>
                <c:pt idx="61">
                  <c:v>99.067050000000009</c:v>
                </c:pt>
                <c:pt idx="62">
                  <c:v>99.030590000000004</c:v>
                </c:pt>
                <c:pt idx="63">
                  <c:v>98.99991</c:v>
                </c:pt>
                <c:pt idx="64">
                  <c:v>98.976950000000002</c:v>
                </c:pt>
                <c:pt idx="65">
                  <c:v>98.938690000000008</c:v>
                </c:pt>
                <c:pt idx="66">
                  <c:v>98.909829999999999</c:v>
                </c:pt>
                <c:pt idx="67">
                  <c:v>98.871510000000001</c:v>
                </c:pt>
                <c:pt idx="68">
                  <c:v>98.848460000000003</c:v>
                </c:pt>
                <c:pt idx="69">
                  <c:v>98.82350000000001</c:v>
                </c:pt>
                <c:pt idx="70">
                  <c:v>98.781350000000003</c:v>
                </c:pt>
                <c:pt idx="71">
                  <c:v>98.748650000000012</c:v>
                </c:pt>
                <c:pt idx="72">
                  <c:v>98.727530000000002</c:v>
                </c:pt>
                <c:pt idx="73">
                  <c:v>98.697030000000012</c:v>
                </c:pt>
                <c:pt idx="74">
                  <c:v>98.66255000000001</c:v>
                </c:pt>
                <c:pt idx="75">
                  <c:v>98.645300000000006</c:v>
                </c:pt>
                <c:pt idx="76">
                  <c:v>98.614699999999999</c:v>
                </c:pt>
                <c:pt idx="77">
                  <c:v>98.582100000000011</c:v>
                </c:pt>
                <c:pt idx="78">
                  <c:v>98.543630000000007</c:v>
                </c:pt>
                <c:pt idx="79">
                  <c:v>98.512900000000002</c:v>
                </c:pt>
                <c:pt idx="80">
                  <c:v>98.470780000000005</c:v>
                </c:pt>
                <c:pt idx="81">
                  <c:v>98.453580000000002</c:v>
                </c:pt>
                <c:pt idx="82">
                  <c:v>98.422690000000003</c:v>
                </c:pt>
                <c:pt idx="83">
                  <c:v>98.417100000000005</c:v>
                </c:pt>
                <c:pt idx="84">
                  <c:v>98.388350000000003</c:v>
                </c:pt>
                <c:pt idx="85">
                  <c:v>98.342380000000006</c:v>
                </c:pt>
                <c:pt idx="86">
                  <c:v>98.313580000000002</c:v>
                </c:pt>
                <c:pt idx="87">
                  <c:v>98.294319999999999</c:v>
                </c:pt>
                <c:pt idx="88">
                  <c:v>98.275150000000011</c:v>
                </c:pt>
                <c:pt idx="89">
                  <c:v>98.256010000000003</c:v>
                </c:pt>
                <c:pt idx="90">
                  <c:v>98.22908000000001</c:v>
                </c:pt>
                <c:pt idx="91">
                  <c:v>98.20047000000001</c:v>
                </c:pt>
                <c:pt idx="92">
                  <c:v>98.169730000000001</c:v>
                </c:pt>
                <c:pt idx="93">
                  <c:v>98.142910000000001</c:v>
                </c:pt>
                <c:pt idx="94">
                  <c:v>98.096920000000011</c:v>
                </c:pt>
                <c:pt idx="95">
                  <c:v>98.075700000000012</c:v>
                </c:pt>
                <c:pt idx="96">
                  <c:v>98.041270000000011</c:v>
                </c:pt>
                <c:pt idx="97">
                  <c:v>98.018270000000001</c:v>
                </c:pt>
                <c:pt idx="98">
                  <c:v>97.979740000000007</c:v>
                </c:pt>
                <c:pt idx="99">
                  <c:v>97.974090000000004</c:v>
                </c:pt>
                <c:pt idx="100">
                  <c:v>97.941540000000003</c:v>
                </c:pt>
                <c:pt idx="101">
                  <c:v>97.914740000000009</c:v>
                </c:pt>
                <c:pt idx="102">
                  <c:v>97.912700000000001</c:v>
                </c:pt>
                <c:pt idx="103">
                  <c:v>97.863020000000006</c:v>
                </c:pt>
                <c:pt idx="104">
                  <c:v>97.845669999999998</c:v>
                </c:pt>
                <c:pt idx="105">
                  <c:v>97.816800000000001</c:v>
                </c:pt>
                <c:pt idx="106">
                  <c:v>97.815150000000003</c:v>
                </c:pt>
                <c:pt idx="107">
                  <c:v>97.759380000000007</c:v>
                </c:pt>
                <c:pt idx="108">
                  <c:v>97.732550000000003</c:v>
                </c:pt>
                <c:pt idx="109">
                  <c:v>97.730820000000008</c:v>
                </c:pt>
                <c:pt idx="110">
                  <c:v>97.692329999999998</c:v>
                </c:pt>
                <c:pt idx="111">
                  <c:v>97.652110000000008</c:v>
                </c:pt>
                <c:pt idx="112">
                  <c:v>97.636720000000011</c:v>
                </c:pt>
                <c:pt idx="113">
                  <c:v>97.584830000000011</c:v>
                </c:pt>
                <c:pt idx="114">
                  <c:v>97.561869999999999</c:v>
                </c:pt>
                <c:pt idx="115">
                  <c:v>97.533210000000011</c:v>
                </c:pt>
                <c:pt idx="116">
                  <c:v>97.504450000000006</c:v>
                </c:pt>
                <c:pt idx="117">
                  <c:v>97.471980000000002</c:v>
                </c:pt>
                <c:pt idx="118">
                  <c:v>97.448660000000004</c:v>
                </c:pt>
                <c:pt idx="119">
                  <c:v>97.427580000000006</c:v>
                </c:pt>
                <c:pt idx="120">
                  <c:v>97.375900000000001</c:v>
                </c:pt>
                <c:pt idx="121">
                  <c:v>97.36636</c:v>
                </c:pt>
                <c:pt idx="122">
                  <c:v>97.343310000000002</c:v>
                </c:pt>
                <c:pt idx="123">
                  <c:v>97.324110000000005</c:v>
                </c:pt>
                <c:pt idx="124">
                  <c:v>97.295439999999999</c:v>
                </c:pt>
                <c:pt idx="125">
                  <c:v>97.272290000000012</c:v>
                </c:pt>
                <c:pt idx="126">
                  <c:v>97.258960000000002</c:v>
                </c:pt>
                <c:pt idx="127">
                  <c:v>97.224530000000001</c:v>
                </c:pt>
                <c:pt idx="128">
                  <c:v>97.199539999999999</c:v>
                </c:pt>
                <c:pt idx="129">
                  <c:v>97.184240000000003</c:v>
                </c:pt>
                <c:pt idx="130">
                  <c:v>97.141810000000007</c:v>
                </c:pt>
                <c:pt idx="131">
                  <c:v>97.138120000000001</c:v>
                </c:pt>
                <c:pt idx="132">
                  <c:v>97.094120000000004</c:v>
                </c:pt>
                <c:pt idx="133">
                  <c:v>97.070950000000011</c:v>
                </c:pt>
                <c:pt idx="134">
                  <c:v>97.044139999999999</c:v>
                </c:pt>
                <c:pt idx="135">
                  <c:v>97.009530000000012</c:v>
                </c:pt>
                <c:pt idx="136">
                  <c:v>96.996320000000011</c:v>
                </c:pt>
                <c:pt idx="137">
                  <c:v>96.971230000000006</c:v>
                </c:pt>
                <c:pt idx="138">
                  <c:v>96.953730000000007</c:v>
                </c:pt>
                <c:pt idx="139">
                  <c:v>96.915710000000004</c:v>
                </c:pt>
                <c:pt idx="140">
                  <c:v>96.867750000000001</c:v>
                </c:pt>
                <c:pt idx="141">
                  <c:v>96.854500000000002</c:v>
                </c:pt>
                <c:pt idx="142">
                  <c:v>96.831250000000011</c:v>
                </c:pt>
                <c:pt idx="143">
                  <c:v>96.819730000000007</c:v>
                </c:pt>
                <c:pt idx="144">
                  <c:v>96.78922</c:v>
                </c:pt>
                <c:pt idx="145">
                  <c:v>96.758520000000004</c:v>
                </c:pt>
                <c:pt idx="146">
                  <c:v>96.735350000000011</c:v>
                </c:pt>
                <c:pt idx="147">
                  <c:v>96.712800000000001</c:v>
                </c:pt>
                <c:pt idx="148">
                  <c:v>96.687840000000008</c:v>
                </c:pt>
                <c:pt idx="149">
                  <c:v>96.657070000000004</c:v>
                </c:pt>
                <c:pt idx="150">
                  <c:v>96.637590000000003</c:v>
                </c:pt>
                <c:pt idx="151">
                  <c:v>96.589770000000001</c:v>
                </c:pt>
                <c:pt idx="152">
                  <c:v>96.593650000000011</c:v>
                </c:pt>
                <c:pt idx="153">
                  <c:v>96.551140000000004</c:v>
                </c:pt>
                <c:pt idx="154">
                  <c:v>96.526310000000009</c:v>
                </c:pt>
                <c:pt idx="155">
                  <c:v>96.520840000000007</c:v>
                </c:pt>
                <c:pt idx="156">
                  <c:v>96.48809</c:v>
                </c:pt>
                <c:pt idx="157">
                  <c:v>96.471040000000002</c:v>
                </c:pt>
                <c:pt idx="158">
                  <c:v>96.45356000000001</c:v>
                </c:pt>
                <c:pt idx="159">
                  <c:v>96.411460000000005</c:v>
                </c:pt>
                <c:pt idx="160">
                  <c:v>96.394440000000003</c:v>
                </c:pt>
                <c:pt idx="161">
                  <c:v>96.359639999999999</c:v>
                </c:pt>
                <c:pt idx="162">
                  <c:v>96.344110000000001</c:v>
                </c:pt>
                <c:pt idx="163">
                  <c:v>96.329149999999998</c:v>
                </c:pt>
                <c:pt idx="164">
                  <c:v>96.304000000000002</c:v>
                </c:pt>
                <c:pt idx="165">
                  <c:v>96.273290000000003</c:v>
                </c:pt>
                <c:pt idx="166">
                  <c:v>96.24633</c:v>
                </c:pt>
                <c:pt idx="167">
                  <c:v>96.240660000000005</c:v>
                </c:pt>
                <c:pt idx="168">
                  <c:v>96.227510000000009</c:v>
                </c:pt>
                <c:pt idx="169">
                  <c:v>96.194630000000004</c:v>
                </c:pt>
                <c:pt idx="170">
                  <c:v>96.154390000000006</c:v>
                </c:pt>
                <c:pt idx="171">
                  <c:v>96.154470000000003</c:v>
                </c:pt>
                <c:pt idx="172">
                  <c:v>96.092750000000009</c:v>
                </c:pt>
                <c:pt idx="173">
                  <c:v>96.0989</c:v>
                </c:pt>
                <c:pt idx="174">
                  <c:v>96.045190000000005</c:v>
                </c:pt>
                <c:pt idx="175">
                  <c:v>96.043289999999999</c:v>
                </c:pt>
                <c:pt idx="176">
                  <c:v>96.02413</c:v>
                </c:pt>
                <c:pt idx="177">
                  <c:v>95.997330000000005</c:v>
                </c:pt>
                <c:pt idx="178">
                  <c:v>95.972410000000011</c:v>
                </c:pt>
                <c:pt idx="179">
                  <c:v>95.98387000000001</c:v>
                </c:pt>
                <c:pt idx="180">
                  <c:v>95.939660000000003</c:v>
                </c:pt>
                <c:pt idx="181">
                  <c:v>95.914770000000004</c:v>
                </c:pt>
                <c:pt idx="182">
                  <c:v>95.895630000000011</c:v>
                </c:pt>
                <c:pt idx="183">
                  <c:v>95.870710000000003</c:v>
                </c:pt>
                <c:pt idx="184">
                  <c:v>95.859080000000006</c:v>
                </c:pt>
                <c:pt idx="185">
                  <c:v>95.836250000000007</c:v>
                </c:pt>
                <c:pt idx="186">
                  <c:v>95.818950000000001</c:v>
                </c:pt>
                <c:pt idx="187">
                  <c:v>95.778750000000002</c:v>
                </c:pt>
                <c:pt idx="188">
                  <c:v>95.74794</c:v>
                </c:pt>
                <c:pt idx="189">
                  <c:v>95.723089999999999</c:v>
                </c:pt>
                <c:pt idx="190">
                  <c:v>95.705870000000004</c:v>
                </c:pt>
                <c:pt idx="191">
                  <c:v>95.688540000000003</c:v>
                </c:pt>
                <c:pt idx="192">
                  <c:v>95.654210000000006</c:v>
                </c:pt>
                <c:pt idx="193">
                  <c:v>95.657780000000002</c:v>
                </c:pt>
                <c:pt idx="194">
                  <c:v>95.636740000000003</c:v>
                </c:pt>
                <c:pt idx="195">
                  <c:v>95.60399000000001</c:v>
                </c:pt>
                <c:pt idx="196">
                  <c:v>95.575569999999999</c:v>
                </c:pt>
                <c:pt idx="197">
                  <c:v>95.558270000000007</c:v>
                </c:pt>
                <c:pt idx="198">
                  <c:v>95.52752000000001</c:v>
                </c:pt>
                <c:pt idx="199">
                  <c:v>95.510200000000012</c:v>
                </c:pt>
                <c:pt idx="200">
                  <c:v>95.483330000000009</c:v>
                </c:pt>
                <c:pt idx="201">
                  <c:v>95.462520000000012</c:v>
                </c:pt>
                <c:pt idx="202">
                  <c:v>95.437340000000006</c:v>
                </c:pt>
                <c:pt idx="203">
                  <c:v>95.400960000000012</c:v>
                </c:pt>
                <c:pt idx="204">
                  <c:v>95.402960000000007</c:v>
                </c:pt>
                <c:pt idx="205">
                  <c:v>95.375950000000003</c:v>
                </c:pt>
                <c:pt idx="206">
                  <c:v>95.341470000000001</c:v>
                </c:pt>
                <c:pt idx="207">
                  <c:v>95.33193</c:v>
                </c:pt>
                <c:pt idx="208">
                  <c:v>95.303060000000002</c:v>
                </c:pt>
                <c:pt idx="209">
                  <c:v>95.297290000000004</c:v>
                </c:pt>
                <c:pt idx="210">
                  <c:v>95.255140000000011</c:v>
                </c:pt>
                <c:pt idx="211">
                  <c:v>95.239840000000001</c:v>
                </c:pt>
                <c:pt idx="212">
                  <c:v>95.228459999999998</c:v>
                </c:pt>
                <c:pt idx="213">
                  <c:v>95.216880000000003</c:v>
                </c:pt>
                <c:pt idx="214">
                  <c:v>95.189930000000004</c:v>
                </c:pt>
                <c:pt idx="215">
                  <c:v>95.176510000000007</c:v>
                </c:pt>
                <c:pt idx="216">
                  <c:v>95.14967</c:v>
                </c:pt>
                <c:pt idx="217">
                  <c:v>95.117070000000012</c:v>
                </c:pt>
                <c:pt idx="218">
                  <c:v>95.092320000000001</c:v>
                </c:pt>
                <c:pt idx="219">
                  <c:v>95.067220000000006</c:v>
                </c:pt>
                <c:pt idx="220">
                  <c:v>95.046260000000004</c:v>
                </c:pt>
                <c:pt idx="221">
                  <c:v>95.040420000000012</c:v>
                </c:pt>
                <c:pt idx="222">
                  <c:v>95.019330000000011</c:v>
                </c:pt>
                <c:pt idx="223">
                  <c:v>94.990459999999999</c:v>
                </c:pt>
                <c:pt idx="224">
                  <c:v>94.963840000000005</c:v>
                </c:pt>
                <c:pt idx="225">
                  <c:v>94.930850000000007</c:v>
                </c:pt>
                <c:pt idx="226">
                  <c:v>94.921720000000008</c:v>
                </c:pt>
                <c:pt idx="227">
                  <c:v>94.894649999999999</c:v>
                </c:pt>
                <c:pt idx="228">
                  <c:v>94.864010000000007</c:v>
                </c:pt>
                <c:pt idx="229">
                  <c:v>94.846690000000009</c:v>
                </c:pt>
                <c:pt idx="230">
                  <c:v>94.827580000000012</c:v>
                </c:pt>
                <c:pt idx="231">
                  <c:v>94.800790000000006</c:v>
                </c:pt>
                <c:pt idx="232">
                  <c:v>94.785510000000002</c:v>
                </c:pt>
                <c:pt idx="233">
                  <c:v>94.750950000000003</c:v>
                </c:pt>
                <c:pt idx="234">
                  <c:v>94.730050000000006</c:v>
                </c:pt>
                <c:pt idx="235">
                  <c:v>94.718190000000007</c:v>
                </c:pt>
                <c:pt idx="236">
                  <c:v>94.695300000000003</c:v>
                </c:pt>
                <c:pt idx="237">
                  <c:v>94.668480000000002</c:v>
                </c:pt>
                <c:pt idx="238">
                  <c:v>94.651210000000006</c:v>
                </c:pt>
                <c:pt idx="239">
                  <c:v>94.643510000000006</c:v>
                </c:pt>
                <c:pt idx="240">
                  <c:v>94.618660000000006</c:v>
                </c:pt>
                <c:pt idx="241">
                  <c:v>94.599230000000006</c:v>
                </c:pt>
                <c:pt idx="242">
                  <c:v>94.56468000000001</c:v>
                </c:pt>
                <c:pt idx="243">
                  <c:v>94.542010000000005</c:v>
                </c:pt>
                <c:pt idx="244">
                  <c:v>94.52458</c:v>
                </c:pt>
                <c:pt idx="245">
                  <c:v>94.509460000000004</c:v>
                </c:pt>
                <c:pt idx="246">
                  <c:v>94.486370000000008</c:v>
                </c:pt>
                <c:pt idx="247">
                  <c:v>94.469160000000002</c:v>
                </c:pt>
                <c:pt idx="248">
                  <c:v>94.436430000000001</c:v>
                </c:pt>
                <c:pt idx="249">
                  <c:v>94.415400000000005</c:v>
                </c:pt>
                <c:pt idx="250">
                  <c:v>94.413360000000011</c:v>
                </c:pt>
                <c:pt idx="251">
                  <c:v>94.379069999999999</c:v>
                </c:pt>
                <c:pt idx="252">
                  <c:v>94.357800000000012</c:v>
                </c:pt>
                <c:pt idx="253">
                  <c:v>94.334910000000008</c:v>
                </c:pt>
                <c:pt idx="254">
                  <c:v>94.327150000000003</c:v>
                </c:pt>
                <c:pt idx="255">
                  <c:v>94.288720000000012</c:v>
                </c:pt>
                <c:pt idx="256">
                  <c:v>94.271370000000005</c:v>
                </c:pt>
                <c:pt idx="257">
                  <c:v>94.25621000000001</c:v>
                </c:pt>
                <c:pt idx="258">
                  <c:v>94.2273</c:v>
                </c:pt>
                <c:pt idx="259">
                  <c:v>94.204370000000011</c:v>
                </c:pt>
                <c:pt idx="260">
                  <c:v>94.175640000000001</c:v>
                </c:pt>
                <c:pt idx="261">
                  <c:v>94.158510000000007</c:v>
                </c:pt>
                <c:pt idx="262">
                  <c:v>94.143020000000007</c:v>
                </c:pt>
                <c:pt idx="263">
                  <c:v>94.11036</c:v>
                </c:pt>
                <c:pt idx="264">
                  <c:v>94.10090000000001</c:v>
                </c:pt>
                <c:pt idx="265">
                  <c:v>94.077830000000006</c:v>
                </c:pt>
                <c:pt idx="266">
                  <c:v>94.051079999999999</c:v>
                </c:pt>
                <c:pt idx="267">
                  <c:v>94.033750000000012</c:v>
                </c:pt>
                <c:pt idx="268">
                  <c:v>94.006799999999998</c:v>
                </c:pt>
                <c:pt idx="269">
                  <c:v>93.99539</c:v>
                </c:pt>
                <c:pt idx="270">
                  <c:v>93.98199000000001</c:v>
                </c:pt>
                <c:pt idx="271">
                  <c:v>93.95881</c:v>
                </c:pt>
                <c:pt idx="272">
                  <c:v>93.936130000000006</c:v>
                </c:pt>
                <c:pt idx="273">
                  <c:v>93.920540000000003</c:v>
                </c:pt>
                <c:pt idx="274">
                  <c:v>93.862890000000007</c:v>
                </c:pt>
                <c:pt idx="275">
                  <c:v>93.859220000000008</c:v>
                </c:pt>
                <c:pt idx="276">
                  <c:v>93.832340000000002</c:v>
                </c:pt>
                <c:pt idx="277">
                  <c:v>93.818899999999999</c:v>
                </c:pt>
                <c:pt idx="278">
                  <c:v>93.78849000000001</c:v>
                </c:pt>
                <c:pt idx="279">
                  <c:v>93.774860000000004</c:v>
                </c:pt>
                <c:pt idx="280">
                  <c:v>93.750039999999998</c:v>
                </c:pt>
                <c:pt idx="281">
                  <c:v>93.72296</c:v>
                </c:pt>
                <c:pt idx="282">
                  <c:v>93.709860000000006</c:v>
                </c:pt>
                <c:pt idx="283">
                  <c:v>93.692440000000005</c:v>
                </c:pt>
                <c:pt idx="284">
                  <c:v>93.671240000000012</c:v>
                </c:pt>
                <c:pt idx="285">
                  <c:v>93.657890000000009</c:v>
                </c:pt>
                <c:pt idx="286">
                  <c:v>93.627310000000008</c:v>
                </c:pt>
                <c:pt idx="287">
                  <c:v>93.596600000000009</c:v>
                </c:pt>
                <c:pt idx="288">
                  <c:v>93.581050000000005</c:v>
                </c:pt>
                <c:pt idx="289">
                  <c:v>93.552540000000008</c:v>
                </c:pt>
                <c:pt idx="290">
                  <c:v>93.529350000000008</c:v>
                </c:pt>
                <c:pt idx="291">
                  <c:v>93.506540000000001</c:v>
                </c:pt>
                <c:pt idx="292">
                  <c:v>93.493140000000011</c:v>
                </c:pt>
                <c:pt idx="293">
                  <c:v>93.481440000000006</c:v>
                </c:pt>
                <c:pt idx="294">
                  <c:v>93.462440000000001</c:v>
                </c:pt>
                <c:pt idx="295">
                  <c:v>93.420169999999999</c:v>
                </c:pt>
                <c:pt idx="296">
                  <c:v>93.404800000000009</c:v>
                </c:pt>
                <c:pt idx="297">
                  <c:v>93.387570000000011</c:v>
                </c:pt>
                <c:pt idx="298">
                  <c:v>93.385730000000009</c:v>
                </c:pt>
                <c:pt idx="299">
                  <c:v>93.353070000000002</c:v>
                </c:pt>
                <c:pt idx="300">
                  <c:v>93.330080000000009</c:v>
                </c:pt>
                <c:pt idx="301">
                  <c:v>93.303170000000009</c:v>
                </c:pt>
                <c:pt idx="302">
                  <c:v>93.278450000000007</c:v>
                </c:pt>
                <c:pt idx="303">
                  <c:v>93.251280000000008</c:v>
                </c:pt>
                <c:pt idx="304">
                  <c:v>93.236170000000001</c:v>
                </c:pt>
                <c:pt idx="305">
                  <c:v>93.226410000000001</c:v>
                </c:pt>
                <c:pt idx="306">
                  <c:v>93.203440000000001</c:v>
                </c:pt>
                <c:pt idx="307">
                  <c:v>93.182600000000008</c:v>
                </c:pt>
                <c:pt idx="308">
                  <c:v>93.149850000000001</c:v>
                </c:pt>
                <c:pt idx="309">
                  <c:v>93.142130000000009</c:v>
                </c:pt>
                <c:pt idx="310">
                  <c:v>93.109940000000009</c:v>
                </c:pt>
                <c:pt idx="311">
                  <c:v>93.078060000000008</c:v>
                </c:pt>
                <c:pt idx="312">
                  <c:v>93.084680000000006</c:v>
                </c:pt>
                <c:pt idx="313">
                  <c:v>93.05389000000001</c:v>
                </c:pt>
                <c:pt idx="314">
                  <c:v>93.025210000000001</c:v>
                </c:pt>
                <c:pt idx="315">
                  <c:v>93.004249999999999</c:v>
                </c:pt>
                <c:pt idx="316">
                  <c:v>92.977260000000001</c:v>
                </c:pt>
                <c:pt idx="317">
                  <c:v>92.940750000000008</c:v>
                </c:pt>
                <c:pt idx="318">
                  <c:v>92.944720000000004</c:v>
                </c:pt>
                <c:pt idx="319">
                  <c:v>92.890920000000008</c:v>
                </c:pt>
                <c:pt idx="320">
                  <c:v>92.888890000000004</c:v>
                </c:pt>
                <c:pt idx="321">
                  <c:v>92.879490000000004</c:v>
                </c:pt>
                <c:pt idx="322">
                  <c:v>92.84678000000001</c:v>
                </c:pt>
                <c:pt idx="323">
                  <c:v>92.835360000000009</c:v>
                </c:pt>
                <c:pt idx="324">
                  <c:v>92.820090000000008</c:v>
                </c:pt>
                <c:pt idx="325">
                  <c:v>92.78746000000001</c:v>
                </c:pt>
                <c:pt idx="326">
                  <c:v>92.768360000000001</c:v>
                </c:pt>
                <c:pt idx="327">
                  <c:v>92.745360000000005</c:v>
                </c:pt>
                <c:pt idx="328">
                  <c:v>92.724080000000001</c:v>
                </c:pt>
                <c:pt idx="329">
                  <c:v>92.704910000000012</c:v>
                </c:pt>
                <c:pt idx="330">
                  <c:v>92.682020000000009</c:v>
                </c:pt>
                <c:pt idx="331">
                  <c:v>92.64949</c:v>
                </c:pt>
                <c:pt idx="332">
                  <c:v>92.63403000000001</c:v>
                </c:pt>
                <c:pt idx="333">
                  <c:v>92.614940000000004</c:v>
                </c:pt>
                <c:pt idx="334">
                  <c:v>92.585999999999999</c:v>
                </c:pt>
                <c:pt idx="335">
                  <c:v>92.557270000000003</c:v>
                </c:pt>
                <c:pt idx="336">
                  <c:v>92.551690000000008</c:v>
                </c:pt>
                <c:pt idx="337">
                  <c:v>92.545660000000012</c:v>
                </c:pt>
                <c:pt idx="338">
                  <c:v>92.515180000000001</c:v>
                </c:pt>
                <c:pt idx="339">
                  <c:v>92.524740000000008</c:v>
                </c:pt>
                <c:pt idx="340">
                  <c:v>92.495870000000011</c:v>
                </c:pt>
                <c:pt idx="341">
                  <c:v>92.455860000000001</c:v>
                </c:pt>
                <c:pt idx="342">
                  <c:v>92.451760000000007</c:v>
                </c:pt>
                <c:pt idx="343">
                  <c:v>92.413620000000009</c:v>
                </c:pt>
                <c:pt idx="344">
                  <c:v>92.382900000000006</c:v>
                </c:pt>
                <c:pt idx="345">
                  <c:v>92.390560000000008</c:v>
                </c:pt>
                <c:pt idx="346">
                  <c:v>92.363740000000007</c:v>
                </c:pt>
                <c:pt idx="347">
                  <c:v>92.338640000000012</c:v>
                </c:pt>
                <c:pt idx="348">
                  <c:v>92.317599999999999</c:v>
                </c:pt>
                <c:pt idx="349">
                  <c:v>92.292750000000012</c:v>
                </c:pt>
                <c:pt idx="350">
                  <c:v>92.284910000000011</c:v>
                </c:pt>
                <c:pt idx="351">
                  <c:v>92.275440000000003</c:v>
                </c:pt>
                <c:pt idx="352">
                  <c:v>92.242990000000006</c:v>
                </c:pt>
                <c:pt idx="353">
                  <c:v>92.227519999999998</c:v>
                </c:pt>
                <c:pt idx="354">
                  <c:v>92.210190000000011</c:v>
                </c:pt>
                <c:pt idx="355">
                  <c:v>92.175670000000011</c:v>
                </c:pt>
                <c:pt idx="356">
                  <c:v>92.169910000000002</c:v>
                </c:pt>
                <c:pt idx="357">
                  <c:v>92.133590000000012</c:v>
                </c:pt>
                <c:pt idx="358">
                  <c:v>92.112230000000011</c:v>
                </c:pt>
                <c:pt idx="359">
                  <c:v>92.093190000000007</c:v>
                </c:pt>
                <c:pt idx="360">
                  <c:v>92.074110000000005</c:v>
                </c:pt>
                <c:pt idx="361">
                  <c:v>92.045380000000009</c:v>
                </c:pt>
                <c:pt idx="362">
                  <c:v>92.039480000000012</c:v>
                </c:pt>
                <c:pt idx="363">
                  <c:v>92.022330000000011</c:v>
                </c:pt>
                <c:pt idx="364">
                  <c:v>91.997399999999999</c:v>
                </c:pt>
                <c:pt idx="365">
                  <c:v>91.987880000000004</c:v>
                </c:pt>
                <c:pt idx="366">
                  <c:v>91.940000000000012</c:v>
                </c:pt>
                <c:pt idx="367">
                  <c:v>91.934170000000009</c:v>
                </c:pt>
                <c:pt idx="368">
                  <c:v>91.910890000000009</c:v>
                </c:pt>
                <c:pt idx="369">
                  <c:v>91.899640000000005</c:v>
                </c:pt>
                <c:pt idx="370">
                  <c:v>91.882300000000001</c:v>
                </c:pt>
                <c:pt idx="371">
                  <c:v>91.855630000000005</c:v>
                </c:pt>
                <c:pt idx="372">
                  <c:v>91.855519999999999</c:v>
                </c:pt>
                <c:pt idx="373">
                  <c:v>91.815200000000004</c:v>
                </c:pt>
                <c:pt idx="374">
                  <c:v>91.80547</c:v>
                </c:pt>
                <c:pt idx="375">
                  <c:v>91.772880000000001</c:v>
                </c:pt>
                <c:pt idx="376">
                  <c:v>91.757800000000003</c:v>
                </c:pt>
                <c:pt idx="377">
                  <c:v>91.715460000000007</c:v>
                </c:pt>
                <c:pt idx="378">
                  <c:v>91.717460000000003</c:v>
                </c:pt>
                <c:pt idx="379">
                  <c:v>91.681070000000005</c:v>
                </c:pt>
                <c:pt idx="380">
                  <c:v>91.67313</c:v>
                </c:pt>
                <c:pt idx="381">
                  <c:v>91.656090000000006</c:v>
                </c:pt>
                <c:pt idx="382">
                  <c:v>91.629300000000001</c:v>
                </c:pt>
                <c:pt idx="383">
                  <c:v>91.619460000000004</c:v>
                </c:pt>
                <c:pt idx="384">
                  <c:v>91.611840000000001</c:v>
                </c:pt>
                <c:pt idx="385">
                  <c:v>91.584980000000002</c:v>
                </c:pt>
                <c:pt idx="386">
                  <c:v>91.554370000000006</c:v>
                </c:pt>
                <c:pt idx="387">
                  <c:v>91.53334000000001</c:v>
                </c:pt>
                <c:pt idx="388">
                  <c:v>91.543060000000011</c:v>
                </c:pt>
                <c:pt idx="389">
                  <c:v>91.529700000000005</c:v>
                </c:pt>
                <c:pt idx="390">
                  <c:v>91.493200000000002</c:v>
                </c:pt>
                <c:pt idx="391">
                  <c:v>91.481670000000008</c:v>
                </c:pt>
                <c:pt idx="392">
                  <c:v>91.443250000000006</c:v>
                </c:pt>
                <c:pt idx="393">
                  <c:v>91.437400000000011</c:v>
                </c:pt>
                <c:pt idx="394">
                  <c:v>91.416450000000012</c:v>
                </c:pt>
                <c:pt idx="395">
                  <c:v>91.383750000000006</c:v>
                </c:pt>
                <c:pt idx="396">
                  <c:v>91.381920000000008</c:v>
                </c:pt>
                <c:pt idx="397">
                  <c:v>91.368610000000004</c:v>
                </c:pt>
                <c:pt idx="398">
                  <c:v>91.368549999999999</c:v>
                </c:pt>
                <c:pt idx="399">
                  <c:v>91.345420000000004</c:v>
                </c:pt>
                <c:pt idx="400">
                  <c:v>91.324269999999999</c:v>
                </c:pt>
                <c:pt idx="401">
                  <c:v>91.305230000000009</c:v>
                </c:pt>
                <c:pt idx="402">
                  <c:v>91.286060000000006</c:v>
                </c:pt>
                <c:pt idx="403">
                  <c:v>91.266950000000008</c:v>
                </c:pt>
                <c:pt idx="404">
                  <c:v>91.263080000000002</c:v>
                </c:pt>
                <c:pt idx="405">
                  <c:v>91.234180000000009</c:v>
                </c:pt>
                <c:pt idx="406">
                  <c:v>91.194020000000009</c:v>
                </c:pt>
                <c:pt idx="407">
                  <c:v>91.176700000000011</c:v>
                </c:pt>
                <c:pt idx="408">
                  <c:v>91.192050000000009</c:v>
                </c:pt>
                <c:pt idx="409">
                  <c:v>91.161360000000002</c:v>
                </c:pt>
                <c:pt idx="410">
                  <c:v>91.136560000000003</c:v>
                </c:pt>
                <c:pt idx="411">
                  <c:v>91.123050000000006</c:v>
                </c:pt>
                <c:pt idx="412">
                  <c:v>91.092570000000009</c:v>
                </c:pt>
                <c:pt idx="413">
                  <c:v>91.080750000000009</c:v>
                </c:pt>
                <c:pt idx="414">
                  <c:v>91.05986</c:v>
                </c:pt>
                <c:pt idx="415">
                  <c:v>91.050200000000004</c:v>
                </c:pt>
                <c:pt idx="416">
                  <c:v>91.034760000000006</c:v>
                </c:pt>
                <c:pt idx="417">
                  <c:v>91.01191</c:v>
                </c:pt>
                <c:pt idx="418">
                  <c:v>90.988860000000003</c:v>
                </c:pt>
                <c:pt idx="419">
                  <c:v>90.973700000000008</c:v>
                </c:pt>
                <c:pt idx="420">
                  <c:v>90.9482</c:v>
                </c:pt>
                <c:pt idx="421">
                  <c:v>90.93883000000001</c:v>
                </c:pt>
                <c:pt idx="422">
                  <c:v>90.914060000000006</c:v>
                </c:pt>
                <c:pt idx="423">
                  <c:v>90.904560000000004</c:v>
                </c:pt>
                <c:pt idx="424">
                  <c:v>90.868070000000003</c:v>
                </c:pt>
                <c:pt idx="425">
                  <c:v>90.873810000000006</c:v>
                </c:pt>
                <c:pt idx="426">
                  <c:v>90.852879999999999</c:v>
                </c:pt>
                <c:pt idx="427">
                  <c:v>90.833290000000005</c:v>
                </c:pt>
                <c:pt idx="428">
                  <c:v>90.816300000000012</c:v>
                </c:pt>
                <c:pt idx="429">
                  <c:v>90.793320000000008</c:v>
                </c:pt>
                <c:pt idx="430">
                  <c:v>90.785570000000007</c:v>
                </c:pt>
                <c:pt idx="431">
                  <c:v>90.775900000000007</c:v>
                </c:pt>
                <c:pt idx="432">
                  <c:v>90.7453</c:v>
                </c:pt>
                <c:pt idx="433">
                  <c:v>90.741550000000004</c:v>
                </c:pt>
                <c:pt idx="434">
                  <c:v>90.726150000000004</c:v>
                </c:pt>
                <c:pt idx="435">
                  <c:v>90.71266</c:v>
                </c:pt>
                <c:pt idx="436">
                  <c:v>90.672450000000012</c:v>
                </c:pt>
                <c:pt idx="437">
                  <c:v>90.679970000000012</c:v>
                </c:pt>
                <c:pt idx="438">
                  <c:v>90.660960000000003</c:v>
                </c:pt>
                <c:pt idx="439">
                  <c:v>90.634060000000005</c:v>
                </c:pt>
                <c:pt idx="440">
                  <c:v>90.624390000000005</c:v>
                </c:pt>
                <c:pt idx="441">
                  <c:v>90.622500000000002</c:v>
                </c:pt>
                <c:pt idx="442">
                  <c:v>90.599800000000002</c:v>
                </c:pt>
                <c:pt idx="443">
                  <c:v>90.588010000000011</c:v>
                </c:pt>
                <c:pt idx="444">
                  <c:v>90.553350000000009</c:v>
                </c:pt>
                <c:pt idx="445">
                  <c:v>90.549630000000008</c:v>
                </c:pt>
                <c:pt idx="446">
                  <c:v>90.53428000000001</c:v>
                </c:pt>
                <c:pt idx="447">
                  <c:v>90.513410000000007</c:v>
                </c:pt>
                <c:pt idx="448">
                  <c:v>90.505549999999999</c:v>
                </c:pt>
                <c:pt idx="449">
                  <c:v>90.492310000000003</c:v>
                </c:pt>
                <c:pt idx="450">
                  <c:v>90.461520000000007</c:v>
                </c:pt>
                <c:pt idx="451">
                  <c:v>90.449980000000011</c:v>
                </c:pt>
                <c:pt idx="452">
                  <c:v>90.415490000000005</c:v>
                </c:pt>
                <c:pt idx="453">
                  <c:v>90.409750000000003</c:v>
                </c:pt>
                <c:pt idx="454">
                  <c:v>90.398220000000009</c:v>
                </c:pt>
                <c:pt idx="455">
                  <c:v>90.375219999999999</c:v>
                </c:pt>
                <c:pt idx="456">
                  <c:v>90.34845</c:v>
                </c:pt>
                <c:pt idx="457">
                  <c:v>90.342690000000005</c:v>
                </c:pt>
                <c:pt idx="458">
                  <c:v>90.335190000000011</c:v>
                </c:pt>
                <c:pt idx="459">
                  <c:v>90.325280000000006</c:v>
                </c:pt>
                <c:pt idx="460">
                  <c:v>90.298640000000006</c:v>
                </c:pt>
                <c:pt idx="461">
                  <c:v>90.283280000000005</c:v>
                </c:pt>
                <c:pt idx="462">
                  <c:v>90.264040000000008</c:v>
                </c:pt>
                <c:pt idx="463">
                  <c:v>90.263980000000004</c:v>
                </c:pt>
                <c:pt idx="464">
                  <c:v>90.246670000000009</c:v>
                </c:pt>
                <c:pt idx="465">
                  <c:v>90.2333</c:v>
                </c:pt>
                <c:pt idx="466">
                  <c:v>90.21981000000001</c:v>
                </c:pt>
                <c:pt idx="467">
                  <c:v>90.206530000000001</c:v>
                </c:pt>
                <c:pt idx="468">
                  <c:v>90.185270000000003</c:v>
                </c:pt>
                <c:pt idx="469">
                  <c:v>90.170090000000002</c:v>
                </c:pt>
                <c:pt idx="470">
                  <c:v>90.143219999999999</c:v>
                </c:pt>
                <c:pt idx="471">
                  <c:v>90.108860000000007</c:v>
                </c:pt>
                <c:pt idx="472">
                  <c:v>90.095410000000001</c:v>
                </c:pt>
                <c:pt idx="473">
                  <c:v>90.103020000000001</c:v>
                </c:pt>
                <c:pt idx="474">
                  <c:v>90.076070000000001</c:v>
                </c:pt>
                <c:pt idx="475">
                  <c:v>90.055120000000002</c:v>
                </c:pt>
                <c:pt idx="476">
                  <c:v>90.041570000000007</c:v>
                </c:pt>
                <c:pt idx="477">
                  <c:v>90.02637</c:v>
                </c:pt>
                <c:pt idx="478">
                  <c:v>90.014780000000002</c:v>
                </c:pt>
                <c:pt idx="479">
                  <c:v>89.999369999999999</c:v>
                </c:pt>
                <c:pt idx="480">
                  <c:v>89.986070000000012</c:v>
                </c:pt>
                <c:pt idx="481">
                  <c:v>89.96857</c:v>
                </c:pt>
                <c:pt idx="482">
                  <c:v>89.947659999999999</c:v>
                </c:pt>
                <c:pt idx="483">
                  <c:v>89.934150000000002</c:v>
                </c:pt>
                <c:pt idx="484">
                  <c:v>89.92483</c:v>
                </c:pt>
                <c:pt idx="485">
                  <c:v>89.916970000000006</c:v>
                </c:pt>
                <c:pt idx="486">
                  <c:v>89.897800000000004</c:v>
                </c:pt>
                <c:pt idx="487">
                  <c:v>89.869100000000003</c:v>
                </c:pt>
                <c:pt idx="488">
                  <c:v>89.855730000000008</c:v>
                </c:pt>
                <c:pt idx="489">
                  <c:v>89.84402</c:v>
                </c:pt>
                <c:pt idx="490">
                  <c:v>89.826920000000001</c:v>
                </c:pt>
                <c:pt idx="491">
                  <c:v>89.798100000000005</c:v>
                </c:pt>
                <c:pt idx="492">
                  <c:v>89.790360000000007</c:v>
                </c:pt>
                <c:pt idx="493">
                  <c:v>89.773060000000001</c:v>
                </c:pt>
                <c:pt idx="494">
                  <c:v>89.75976</c:v>
                </c:pt>
                <c:pt idx="495">
                  <c:v>89.736930000000001</c:v>
                </c:pt>
                <c:pt idx="496">
                  <c:v>89.727170000000001</c:v>
                </c:pt>
                <c:pt idx="497">
                  <c:v>89.705910000000003</c:v>
                </c:pt>
                <c:pt idx="498">
                  <c:v>89.70008</c:v>
                </c:pt>
                <c:pt idx="499">
                  <c:v>89.68489000000001</c:v>
                </c:pt>
                <c:pt idx="500">
                  <c:v>89.667650000000009</c:v>
                </c:pt>
                <c:pt idx="501">
                  <c:v>89.642750000000007</c:v>
                </c:pt>
                <c:pt idx="502">
                  <c:v>89.642800000000008</c:v>
                </c:pt>
                <c:pt idx="503">
                  <c:v>89.615870000000001</c:v>
                </c:pt>
                <c:pt idx="504">
                  <c:v>89.613960000000006</c:v>
                </c:pt>
                <c:pt idx="505">
                  <c:v>89.58717</c:v>
                </c:pt>
                <c:pt idx="506">
                  <c:v>89.558400000000006</c:v>
                </c:pt>
                <c:pt idx="507">
                  <c:v>89.542990000000003</c:v>
                </c:pt>
                <c:pt idx="508">
                  <c:v>89.539169999999999</c:v>
                </c:pt>
                <c:pt idx="509">
                  <c:v>89.523769999999999</c:v>
                </c:pt>
                <c:pt idx="510">
                  <c:v>89.491210000000009</c:v>
                </c:pt>
                <c:pt idx="511">
                  <c:v>89.479820000000004</c:v>
                </c:pt>
                <c:pt idx="512">
                  <c:v>89.479800000000012</c:v>
                </c:pt>
                <c:pt idx="513">
                  <c:v>89.450970000000012</c:v>
                </c:pt>
                <c:pt idx="514">
                  <c:v>89.439620000000005</c:v>
                </c:pt>
                <c:pt idx="515">
                  <c:v>89.420320000000004</c:v>
                </c:pt>
                <c:pt idx="516">
                  <c:v>89.420439999999999</c:v>
                </c:pt>
                <c:pt idx="517">
                  <c:v>89.403010000000009</c:v>
                </c:pt>
                <c:pt idx="518">
                  <c:v>89.389600000000002</c:v>
                </c:pt>
                <c:pt idx="519">
                  <c:v>89.380120000000005</c:v>
                </c:pt>
                <c:pt idx="520">
                  <c:v>89.359070000000003</c:v>
                </c:pt>
                <c:pt idx="521">
                  <c:v>89.341760000000008</c:v>
                </c:pt>
                <c:pt idx="522">
                  <c:v>89.316760000000002</c:v>
                </c:pt>
                <c:pt idx="523">
                  <c:v>89.303300000000007</c:v>
                </c:pt>
                <c:pt idx="524">
                  <c:v>89.310839999999999</c:v>
                </c:pt>
                <c:pt idx="525">
                  <c:v>89.293890000000005</c:v>
                </c:pt>
                <c:pt idx="526">
                  <c:v>89.266850000000005</c:v>
                </c:pt>
                <c:pt idx="527">
                  <c:v>89.240120000000005</c:v>
                </c:pt>
                <c:pt idx="528">
                  <c:v>89.24391</c:v>
                </c:pt>
                <c:pt idx="529">
                  <c:v>89.22099</c:v>
                </c:pt>
                <c:pt idx="530">
                  <c:v>89.207440000000005</c:v>
                </c:pt>
                <c:pt idx="531">
                  <c:v>89.197850000000003</c:v>
                </c:pt>
                <c:pt idx="532">
                  <c:v>89.182680000000005</c:v>
                </c:pt>
                <c:pt idx="533">
                  <c:v>89.178620000000009</c:v>
                </c:pt>
                <c:pt idx="534">
                  <c:v>89.159520000000001</c:v>
                </c:pt>
                <c:pt idx="535">
                  <c:v>89.130810000000011</c:v>
                </c:pt>
                <c:pt idx="536">
                  <c:v>89.140360000000001</c:v>
                </c:pt>
                <c:pt idx="537">
                  <c:v>89.113489999999999</c:v>
                </c:pt>
                <c:pt idx="538">
                  <c:v>89.096220000000002</c:v>
                </c:pt>
                <c:pt idx="539">
                  <c:v>89.07332000000001</c:v>
                </c:pt>
                <c:pt idx="540">
                  <c:v>89.06362</c:v>
                </c:pt>
                <c:pt idx="541">
                  <c:v>89.044600000000003</c:v>
                </c:pt>
                <c:pt idx="542">
                  <c:v>89.017650000000003</c:v>
                </c:pt>
                <c:pt idx="543">
                  <c:v>89.013760000000005</c:v>
                </c:pt>
                <c:pt idx="544">
                  <c:v>88.998470000000012</c:v>
                </c:pt>
                <c:pt idx="545">
                  <c:v>88.988880000000009</c:v>
                </c:pt>
                <c:pt idx="546">
                  <c:v>88.969639999999998</c:v>
                </c:pt>
                <c:pt idx="547">
                  <c:v>88.962209999999999</c:v>
                </c:pt>
                <c:pt idx="548">
                  <c:v>88.942980000000006</c:v>
                </c:pt>
                <c:pt idx="549">
                  <c:v>88.931420000000003</c:v>
                </c:pt>
                <c:pt idx="550">
                  <c:v>88.889210000000006</c:v>
                </c:pt>
                <c:pt idx="551">
                  <c:v>88.887280000000004</c:v>
                </c:pt>
                <c:pt idx="552">
                  <c:v>88.875900000000001</c:v>
                </c:pt>
                <c:pt idx="553">
                  <c:v>88.87015000000001</c:v>
                </c:pt>
                <c:pt idx="554">
                  <c:v>88.85445</c:v>
                </c:pt>
                <c:pt idx="555">
                  <c:v>88.827820000000003</c:v>
                </c:pt>
                <c:pt idx="556">
                  <c:v>88.829630000000009</c:v>
                </c:pt>
                <c:pt idx="557">
                  <c:v>88.804900000000004</c:v>
                </c:pt>
                <c:pt idx="558">
                  <c:v>88.783870000000007</c:v>
                </c:pt>
                <c:pt idx="559">
                  <c:v>88.764540000000011</c:v>
                </c:pt>
                <c:pt idx="560">
                  <c:v>88.754950000000008</c:v>
                </c:pt>
                <c:pt idx="561">
                  <c:v>88.741530000000012</c:v>
                </c:pt>
                <c:pt idx="562">
                  <c:v>88.72420000000001</c:v>
                </c:pt>
                <c:pt idx="563">
                  <c:v>88.710890000000006</c:v>
                </c:pt>
                <c:pt idx="564">
                  <c:v>88.687850000000012</c:v>
                </c:pt>
                <c:pt idx="565">
                  <c:v>88.67249000000001</c:v>
                </c:pt>
                <c:pt idx="566">
                  <c:v>88.661000000000001</c:v>
                </c:pt>
                <c:pt idx="567">
                  <c:v>88.630250000000004</c:v>
                </c:pt>
                <c:pt idx="568">
                  <c:v>88.593900000000005</c:v>
                </c:pt>
                <c:pt idx="569">
                  <c:v>88.595880000000008</c:v>
                </c:pt>
                <c:pt idx="570">
                  <c:v>88.59208000000001</c:v>
                </c:pt>
                <c:pt idx="571">
                  <c:v>88.580550000000002</c:v>
                </c:pt>
                <c:pt idx="572">
                  <c:v>88.574700000000007</c:v>
                </c:pt>
                <c:pt idx="573">
                  <c:v>88.553450000000012</c:v>
                </c:pt>
                <c:pt idx="574">
                  <c:v>88.528770000000009</c:v>
                </c:pt>
                <c:pt idx="575">
                  <c:v>88.517110000000002</c:v>
                </c:pt>
                <c:pt idx="576">
                  <c:v>88.50367</c:v>
                </c:pt>
                <c:pt idx="577">
                  <c:v>88.49436</c:v>
                </c:pt>
                <c:pt idx="578">
                  <c:v>88.47120000000001</c:v>
                </c:pt>
                <c:pt idx="579">
                  <c:v>88.461660000000009</c:v>
                </c:pt>
                <c:pt idx="580">
                  <c:v>88.436640000000011</c:v>
                </c:pt>
                <c:pt idx="581">
                  <c:v>88.423349999999999</c:v>
                </c:pt>
                <c:pt idx="582">
                  <c:v>88.409750000000003</c:v>
                </c:pt>
                <c:pt idx="583">
                  <c:v>88.409810000000007</c:v>
                </c:pt>
                <c:pt idx="584">
                  <c:v>88.369520000000009</c:v>
                </c:pt>
                <c:pt idx="585">
                  <c:v>88.363770000000002</c:v>
                </c:pt>
                <c:pt idx="586">
                  <c:v>88.336880000000008</c:v>
                </c:pt>
                <c:pt idx="587">
                  <c:v>88.325389999999999</c:v>
                </c:pt>
                <c:pt idx="588">
                  <c:v>88.298630000000003</c:v>
                </c:pt>
                <c:pt idx="589">
                  <c:v>88.298600000000008</c:v>
                </c:pt>
                <c:pt idx="590">
                  <c:v>88.26979</c:v>
                </c:pt>
                <c:pt idx="591">
                  <c:v>88.248710000000003</c:v>
                </c:pt>
                <c:pt idx="592">
                  <c:v>88.245020000000011</c:v>
                </c:pt>
                <c:pt idx="593">
                  <c:v>88.22766</c:v>
                </c:pt>
                <c:pt idx="594">
                  <c:v>88.210450000000009</c:v>
                </c:pt>
                <c:pt idx="595">
                  <c:v>88.187600000000003</c:v>
                </c:pt>
                <c:pt idx="596">
                  <c:v>88.170140000000004</c:v>
                </c:pt>
                <c:pt idx="597">
                  <c:v>88.156860000000009</c:v>
                </c:pt>
                <c:pt idx="598">
                  <c:v>88.124040000000008</c:v>
                </c:pt>
                <c:pt idx="599">
                  <c:v>88.120270000000005</c:v>
                </c:pt>
                <c:pt idx="600">
                  <c:v>88.116219999999998</c:v>
                </c:pt>
                <c:pt idx="601">
                  <c:v>88.08559000000001</c:v>
                </c:pt>
                <c:pt idx="602">
                  <c:v>88.06656000000001</c:v>
                </c:pt>
                <c:pt idx="603">
                  <c:v>88.062960000000004</c:v>
                </c:pt>
                <c:pt idx="604">
                  <c:v>88.047440000000009</c:v>
                </c:pt>
                <c:pt idx="605">
                  <c:v>88.037710000000004</c:v>
                </c:pt>
                <c:pt idx="606">
                  <c:v>88.028080000000003</c:v>
                </c:pt>
                <c:pt idx="607">
                  <c:v>88.010890000000003</c:v>
                </c:pt>
                <c:pt idx="608">
                  <c:v>87.985960000000006</c:v>
                </c:pt>
                <c:pt idx="609">
                  <c:v>87.976530000000011</c:v>
                </c:pt>
                <c:pt idx="610">
                  <c:v>87.949570000000008</c:v>
                </c:pt>
                <c:pt idx="611">
                  <c:v>87.932340000000011</c:v>
                </c:pt>
                <c:pt idx="612">
                  <c:v>87.934360000000012</c:v>
                </c:pt>
                <c:pt idx="613">
                  <c:v>87.917100000000005</c:v>
                </c:pt>
                <c:pt idx="614">
                  <c:v>87.903739999999999</c:v>
                </c:pt>
                <c:pt idx="615">
                  <c:v>87.888260000000002</c:v>
                </c:pt>
                <c:pt idx="616">
                  <c:v>87.863399999999999</c:v>
                </c:pt>
                <c:pt idx="617">
                  <c:v>87.855730000000008</c:v>
                </c:pt>
                <c:pt idx="618">
                  <c:v>87.846100000000007</c:v>
                </c:pt>
                <c:pt idx="619">
                  <c:v>87.817350000000005</c:v>
                </c:pt>
                <c:pt idx="620">
                  <c:v>87.820990000000009</c:v>
                </c:pt>
                <c:pt idx="621">
                  <c:v>87.782750000000007</c:v>
                </c:pt>
                <c:pt idx="622">
                  <c:v>87.767470000000003</c:v>
                </c:pt>
                <c:pt idx="623">
                  <c:v>87.748339999999999</c:v>
                </c:pt>
                <c:pt idx="624">
                  <c:v>87.742630000000005</c:v>
                </c:pt>
                <c:pt idx="625">
                  <c:v>87.731070000000003</c:v>
                </c:pt>
                <c:pt idx="626">
                  <c:v>87.704270000000008</c:v>
                </c:pt>
                <c:pt idx="627">
                  <c:v>87.69671000000001</c:v>
                </c:pt>
                <c:pt idx="628">
                  <c:v>87.681139999999999</c:v>
                </c:pt>
                <c:pt idx="629">
                  <c:v>87.665880000000001</c:v>
                </c:pt>
                <c:pt idx="630">
                  <c:v>87.648800000000008</c:v>
                </c:pt>
                <c:pt idx="631">
                  <c:v>87.65052</c:v>
                </c:pt>
                <c:pt idx="632">
                  <c:v>87.615960000000001</c:v>
                </c:pt>
                <c:pt idx="633">
                  <c:v>87.61224</c:v>
                </c:pt>
                <c:pt idx="634">
                  <c:v>87.596720000000005</c:v>
                </c:pt>
                <c:pt idx="635">
                  <c:v>87.579570000000004</c:v>
                </c:pt>
                <c:pt idx="636">
                  <c:v>87.573730000000012</c:v>
                </c:pt>
                <c:pt idx="637">
                  <c:v>87.554780000000008</c:v>
                </c:pt>
                <c:pt idx="638">
                  <c:v>87.539349999999999</c:v>
                </c:pt>
                <c:pt idx="639">
                  <c:v>87.516210000000001</c:v>
                </c:pt>
                <c:pt idx="640">
                  <c:v>87.50676</c:v>
                </c:pt>
                <c:pt idx="641">
                  <c:v>87.476040000000012</c:v>
                </c:pt>
                <c:pt idx="642">
                  <c:v>87.472120000000004</c:v>
                </c:pt>
                <c:pt idx="643">
                  <c:v>87.456850000000003</c:v>
                </c:pt>
                <c:pt idx="644">
                  <c:v>87.454790000000003</c:v>
                </c:pt>
                <c:pt idx="645">
                  <c:v>87.420330000000007</c:v>
                </c:pt>
                <c:pt idx="646">
                  <c:v>87.408860000000004</c:v>
                </c:pt>
                <c:pt idx="647">
                  <c:v>87.403150000000011</c:v>
                </c:pt>
                <c:pt idx="648">
                  <c:v>87.37633000000001</c:v>
                </c:pt>
                <c:pt idx="649">
                  <c:v>87.370360000000005</c:v>
                </c:pt>
                <c:pt idx="650">
                  <c:v>87.359160000000003</c:v>
                </c:pt>
                <c:pt idx="651">
                  <c:v>87.358950000000007</c:v>
                </c:pt>
                <c:pt idx="652">
                  <c:v>87.33402000000001</c:v>
                </c:pt>
                <c:pt idx="653">
                  <c:v>87.32059000000001</c:v>
                </c:pt>
                <c:pt idx="654">
                  <c:v>87.30341</c:v>
                </c:pt>
                <c:pt idx="655">
                  <c:v>87.297710000000009</c:v>
                </c:pt>
                <c:pt idx="656">
                  <c:v>87.278410000000008</c:v>
                </c:pt>
                <c:pt idx="657">
                  <c:v>87.259350000000012</c:v>
                </c:pt>
                <c:pt idx="658">
                  <c:v>87.251650000000012</c:v>
                </c:pt>
                <c:pt idx="659">
                  <c:v>87.230580000000003</c:v>
                </c:pt>
                <c:pt idx="660">
                  <c:v>87.215100000000007</c:v>
                </c:pt>
                <c:pt idx="661">
                  <c:v>87.195890000000006</c:v>
                </c:pt>
                <c:pt idx="662">
                  <c:v>87.186660000000003</c:v>
                </c:pt>
                <c:pt idx="663">
                  <c:v>87.163390000000007</c:v>
                </c:pt>
                <c:pt idx="664">
                  <c:v>87.140360000000001</c:v>
                </c:pt>
                <c:pt idx="665">
                  <c:v>87.138540000000006</c:v>
                </c:pt>
                <c:pt idx="666">
                  <c:v>87.126990000000006</c:v>
                </c:pt>
                <c:pt idx="667">
                  <c:v>87.111660000000001</c:v>
                </c:pt>
                <c:pt idx="668">
                  <c:v>87.102090000000004</c:v>
                </c:pt>
                <c:pt idx="669">
                  <c:v>87.08099</c:v>
                </c:pt>
                <c:pt idx="670">
                  <c:v>87.061730000000011</c:v>
                </c:pt>
                <c:pt idx="671">
                  <c:v>87.050270000000012</c:v>
                </c:pt>
                <c:pt idx="672">
                  <c:v>87.023430000000005</c:v>
                </c:pt>
                <c:pt idx="673">
                  <c:v>87.01397</c:v>
                </c:pt>
                <c:pt idx="674">
                  <c:v>86.998670000000004</c:v>
                </c:pt>
                <c:pt idx="675">
                  <c:v>86.973600000000005</c:v>
                </c:pt>
                <c:pt idx="676">
                  <c:v>86.965920000000011</c:v>
                </c:pt>
                <c:pt idx="677">
                  <c:v>86.952550000000002</c:v>
                </c:pt>
                <c:pt idx="678">
                  <c:v>86.933350000000004</c:v>
                </c:pt>
                <c:pt idx="679">
                  <c:v>86.929520000000011</c:v>
                </c:pt>
                <c:pt idx="680">
                  <c:v>86.906580000000005</c:v>
                </c:pt>
                <c:pt idx="681">
                  <c:v>86.889410000000012</c:v>
                </c:pt>
                <c:pt idx="682">
                  <c:v>86.875950000000003</c:v>
                </c:pt>
                <c:pt idx="683">
                  <c:v>86.860340000000008</c:v>
                </c:pt>
                <c:pt idx="684">
                  <c:v>86.841340000000002</c:v>
                </c:pt>
                <c:pt idx="685">
                  <c:v>86.831700000000012</c:v>
                </c:pt>
                <c:pt idx="686">
                  <c:v>86.820239999999998</c:v>
                </c:pt>
                <c:pt idx="687">
                  <c:v>86.812650000000005</c:v>
                </c:pt>
                <c:pt idx="688">
                  <c:v>86.80107000000001</c:v>
                </c:pt>
                <c:pt idx="689">
                  <c:v>86.797260000000009</c:v>
                </c:pt>
                <c:pt idx="690">
                  <c:v>86.778010000000009</c:v>
                </c:pt>
                <c:pt idx="691">
                  <c:v>86.760750000000002</c:v>
                </c:pt>
                <c:pt idx="692">
                  <c:v>86.747440000000012</c:v>
                </c:pt>
                <c:pt idx="693">
                  <c:v>86.743500000000012</c:v>
                </c:pt>
                <c:pt idx="694">
                  <c:v>86.71463</c:v>
                </c:pt>
                <c:pt idx="695">
                  <c:v>86.712920000000011</c:v>
                </c:pt>
                <c:pt idx="696">
                  <c:v>86.685900000000004</c:v>
                </c:pt>
                <c:pt idx="697">
                  <c:v>86.668720000000008</c:v>
                </c:pt>
                <c:pt idx="698">
                  <c:v>86.662940000000006</c:v>
                </c:pt>
                <c:pt idx="699">
                  <c:v>86.638090000000005</c:v>
                </c:pt>
                <c:pt idx="700">
                  <c:v>86.620830000000012</c:v>
                </c:pt>
                <c:pt idx="701">
                  <c:v>86.609210000000004</c:v>
                </c:pt>
                <c:pt idx="702">
                  <c:v>86.597970000000004</c:v>
                </c:pt>
                <c:pt idx="703">
                  <c:v>86.578680000000006</c:v>
                </c:pt>
                <c:pt idx="704">
                  <c:v>86.563310000000001</c:v>
                </c:pt>
                <c:pt idx="705">
                  <c:v>86.56917</c:v>
                </c:pt>
                <c:pt idx="706">
                  <c:v>86.561370000000011</c:v>
                </c:pt>
                <c:pt idx="707">
                  <c:v>86.542180000000002</c:v>
                </c:pt>
                <c:pt idx="708">
                  <c:v>86.511800000000008</c:v>
                </c:pt>
                <c:pt idx="709">
                  <c:v>86.505750000000006</c:v>
                </c:pt>
                <c:pt idx="710">
                  <c:v>86.475030000000004</c:v>
                </c:pt>
                <c:pt idx="711">
                  <c:v>86.461770000000001</c:v>
                </c:pt>
                <c:pt idx="712">
                  <c:v>86.455670000000012</c:v>
                </c:pt>
                <c:pt idx="713">
                  <c:v>86.430970000000002</c:v>
                </c:pt>
                <c:pt idx="714">
                  <c:v>86.425210000000007</c:v>
                </c:pt>
                <c:pt idx="715">
                  <c:v>86.415760000000006</c:v>
                </c:pt>
                <c:pt idx="716">
                  <c:v>86.408020000000008</c:v>
                </c:pt>
                <c:pt idx="717">
                  <c:v>86.375200000000007</c:v>
                </c:pt>
                <c:pt idx="718">
                  <c:v>86.373460000000009</c:v>
                </c:pt>
                <c:pt idx="719">
                  <c:v>86.352350000000001</c:v>
                </c:pt>
                <c:pt idx="720">
                  <c:v>86.336920000000006</c:v>
                </c:pt>
                <c:pt idx="721">
                  <c:v>86.302600000000012</c:v>
                </c:pt>
                <c:pt idx="722">
                  <c:v>86.302540000000008</c:v>
                </c:pt>
                <c:pt idx="723">
                  <c:v>86.283600000000007</c:v>
                </c:pt>
                <c:pt idx="724">
                  <c:v>86.241080000000011</c:v>
                </c:pt>
                <c:pt idx="725">
                  <c:v>86.256360000000001</c:v>
                </c:pt>
                <c:pt idx="726">
                  <c:v>86.244990000000001</c:v>
                </c:pt>
                <c:pt idx="727">
                  <c:v>86.220140000000001</c:v>
                </c:pt>
                <c:pt idx="728">
                  <c:v>86.206620000000001</c:v>
                </c:pt>
                <c:pt idx="729">
                  <c:v>86.199030000000008</c:v>
                </c:pt>
                <c:pt idx="730">
                  <c:v>86.185600000000008</c:v>
                </c:pt>
                <c:pt idx="731">
                  <c:v>86.168310000000005</c:v>
                </c:pt>
                <c:pt idx="732">
                  <c:v>86.149180000000001</c:v>
                </c:pt>
                <c:pt idx="733">
                  <c:v>86.141490000000005</c:v>
                </c:pt>
                <c:pt idx="734">
                  <c:v>86.126130000000003</c:v>
                </c:pt>
                <c:pt idx="735">
                  <c:v>86.110780000000005</c:v>
                </c:pt>
                <c:pt idx="736">
                  <c:v>86.101260000000011</c:v>
                </c:pt>
                <c:pt idx="737">
                  <c:v>86.085820000000012</c:v>
                </c:pt>
                <c:pt idx="738">
                  <c:v>86.08766</c:v>
                </c:pt>
                <c:pt idx="739">
                  <c:v>86.061050000000009</c:v>
                </c:pt>
                <c:pt idx="740">
                  <c:v>86.045580000000001</c:v>
                </c:pt>
                <c:pt idx="741">
                  <c:v>86.037880000000001</c:v>
                </c:pt>
                <c:pt idx="742">
                  <c:v>86.022750000000002</c:v>
                </c:pt>
                <c:pt idx="743">
                  <c:v>86.014890000000008</c:v>
                </c:pt>
                <c:pt idx="744">
                  <c:v>86.001410000000007</c:v>
                </c:pt>
                <c:pt idx="745">
                  <c:v>85.991890000000012</c:v>
                </c:pt>
                <c:pt idx="746">
                  <c:v>85.97075000000001</c:v>
                </c:pt>
                <c:pt idx="747">
                  <c:v>85.953620000000001</c:v>
                </c:pt>
                <c:pt idx="748">
                  <c:v>85.93432</c:v>
                </c:pt>
                <c:pt idx="749">
                  <c:v>85.926749999999998</c:v>
                </c:pt>
                <c:pt idx="750">
                  <c:v>85.907640000000001</c:v>
                </c:pt>
                <c:pt idx="751">
                  <c:v>85.874980000000008</c:v>
                </c:pt>
                <c:pt idx="752">
                  <c:v>85.871090000000009</c:v>
                </c:pt>
                <c:pt idx="753">
                  <c:v>85.87118000000001</c:v>
                </c:pt>
                <c:pt idx="754">
                  <c:v>85.846240000000009</c:v>
                </c:pt>
                <c:pt idx="755">
                  <c:v>85.836690000000004</c:v>
                </c:pt>
                <c:pt idx="756">
                  <c:v>85.840620000000001</c:v>
                </c:pt>
                <c:pt idx="757">
                  <c:v>85.821269999999998</c:v>
                </c:pt>
                <c:pt idx="758">
                  <c:v>85.786860000000004</c:v>
                </c:pt>
                <c:pt idx="759">
                  <c:v>85.773450000000011</c:v>
                </c:pt>
                <c:pt idx="760">
                  <c:v>85.75021000000001</c:v>
                </c:pt>
                <c:pt idx="761">
                  <c:v>85.729210000000009</c:v>
                </c:pt>
                <c:pt idx="762">
                  <c:v>85.723310000000012</c:v>
                </c:pt>
                <c:pt idx="763">
                  <c:v>85.711860000000001</c:v>
                </c:pt>
                <c:pt idx="764">
                  <c:v>85.700280000000006</c:v>
                </c:pt>
                <c:pt idx="765">
                  <c:v>85.68486</c:v>
                </c:pt>
                <c:pt idx="766">
                  <c:v>85.67953</c:v>
                </c:pt>
                <c:pt idx="767">
                  <c:v>85.658180000000002</c:v>
                </c:pt>
                <c:pt idx="768">
                  <c:v>85.644770000000008</c:v>
                </c:pt>
                <c:pt idx="769">
                  <c:v>85.62951000000001</c:v>
                </c:pt>
                <c:pt idx="770">
                  <c:v>85.614150000000009</c:v>
                </c:pt>
                <c:pt idx="771">
                  <c:v>85.602640000000008</c:v>
                </c:pt>
                <c:pt idx="772">
                  <c:v>85.59114000000001</c:v>
                </c:pt>
                <c:pt idx="773">
                  <c:v>85.575839999999999</c:v>
                </c:pt>
                <c:pt idx="774">
                  <c:v>85.572070000000011</c:v>
                </c:pt>
                <c:pt idx="775">
                  <c:v>85.558630000000008</c:v>
                </c:pt>
                <c:pt idx="776">
                  <c:v>85.54140000000001</c:v>
                </c:pt>
                <c:pt idx="777">
                  <c:v>85.535700000000006</c:v>
                </c:pt>
                <c:pt idx="778">
                  <c:v>85.523980000000009</c:v>
                </c:pt>
                <c:pt idx="779">
                  <c:v>85.499040000000008</c:v>
                </c:pt>
                <c:pt idx="780">
                  <c:v>85.483879999999999</c:v>
                </c:pt>
                <c:pt idx="781">
                  <c:v>85.462710000000001</c:v>
                </c:pt>
                <c:pt idx="782">
                  <c:v>85.453250000000011</c:v>
                </c:pt>
                <c:pt idx="783">
                  <c:v>85.433900000000008</c:v>
                </c:pt>
                <c:pt idx="784">
                  <c:v>85.441730000000007</c:v>
                </c:pt>
                <c:pt idx="785">
                  <c:v>85.426259999999999</c:v>
                </c:pt>
                <c:pt idx="786">
                  <c:v>85.420540000000003</c:v>
                </c:pt>
                <c:pt idx="787">
                  <c:v>85.401270000000011</c:v>
                </c:pt>
                <c:pt idx="788">
                  <c:v>85.39576000000001</c:v>
                </c:pt>
                <c:pt idx="789">
                  <c:v>85.372500000000002</c:v>
                </c:pt>
                <c:pt idx="790">
                  <c:v>85.360860000000002</c:v>
                </c:pt>
                <c:pt idx="791">
                  <c:v>85.334130000000002</c:v>
                </c:pt>
                <c:pt idx="792">
                  <c:v>85.315160000000006</c:v>
                </c:pt>
                <c:pt idx="793">
                  <c:v>85.307420000000008</c:v>
                </c:pt>
                <c:pt idx="794">
                  <c:v>85.305490000000006</c:v>
                </c:pt>
                <c:pt idx="795">
                  <c:v>85.286200000000008</c:v>
                </c:pt>
                <c:pt idx="796">
                  <c:v>85.290150000000011</c:v>
                </c:pt>
                <c:pt idx="797">
                  <c:v>85.263290000000012</c:v>
                </c:pt>
                <c:pt idx="798">
                  <c:v>85.259370000000004</c:v>
                </c:pt>
                <c:pt idx="799">
                  <c:v>85.236490000000003</c:v>
                </c:pt>
                <c:pt idx="800">
                  <c:v>85.223050000000001</c:v>
                </c:pt>
                <c:pt idx="801">
                  <c:v>85.217240000000004</c:v>
                </c:pt>
                <c:pt idx="802">
                  <c:v>85.203749999999999</c:v>
                </c:pt>
                <c:pt idx="803">
                  <c:v>85.188659999999999</c:v>
                </c:pt>
                <c:pt idx="804">
                  <c:v>85.167450000000002</c:v>
                </c:pt>
                <c:pt idx="805">
                  <c:v>85.144270000000006</c:v>
                </c:pt>
                <c:pt idx="806">
                  <c:v>85.144300000000001</c:v>
                </c:pt>
                <c:pt idx="807">
                  <c:v>85.127130000000008</c:v>
                </c:pt>
                <c:pt idx="808">
                  <c:v>85.121459999999999</c:v>
                </c:pt>
                <c:pt idx="809">
                  <c:v>85.115620000000007</c:v>
                </c:pt>
                <c:pt idx="810">
                  <c:v>85.105930000000001</c:v>
                </c:pt>
                <c:pt idx="811">
                  <c:v>85.111840000000001</c:v>
                </c:pt>
                <c:pt idx="812">
                  <c:v>85.0792</c:v>
                </c:pt>
                <c:pt idx="813">
                  <c:v>85.073520000000002</c:v>
                </c:pt>
                <c:pt idx="814">
                  <c:v>85.046530000000004</c:v>
                </c:pt>
                <c:pt idx="815">
                  <c:v>85.063780000000008</c:v>
                </c:pt>
                <c:pt idx="816">
                  <c:v>85.037199999999999</c:v>
                </c:pt>
                <c:pt idx="817">
                  <c:v>85.017840000000007</c:v>
                </c:pt>
                <c:pt idx="818">
                  <c:v>85.008310000000009</c:v>
                </c:pt>
                <c:pt idx="819">
                  <c:v>85.014030000000005</c:v>
                </c:pt>
                <c:pt idx="820">
                  <c:v>84.990920000000003</c:v>
                </c:pt>
                <c:pt idx="821">
                  <c:v>84.979480000000009</c:v>
                </c:pt>
                <c:pt idx="822">
                  <c:v>84.968140000000005</c:v>
                </c:pt>
                <c:pt idx="823">
                  <c:v>84.977460000000008</c:v>
                </c:pt>
                <c:pt idx="824">
                  <c:v>84.941220000000001</c:v>
                </c:pt>
                <c:pt idx="825">
                  <c:v>84.924000000000007</c:v>
                </c:pt>
                <c:pt idx="826">
                  <c:v>84.941340000000011</c:v>
                </c:pt>
                <c:pt idx="827">
                  <c:v>84.904750000000007</c:v>
                </c:pt>
                <c:pt idx="828">
                  <c:v>84.897110000000012</c:v>
                </c:pt>
                <c:pt idx="829">
                  <c:v>84.876020000000011</c:v>
                </c:pt>
                <c:pt idx="830">
                  <c:v>84.874020000000002</c:v>
                </c:pt>
                <c:pt idx="831">
                  <c:v>84.85860000000001</c:v>
                </c:pt>
                <c:pt idx="832">
                  <c:v>84.826050000000009</c:v>
                </c:pt>
                <c:pt idx="833">
                  <c:v>84.824200000000005</c:v>
                </c:pt>
                <c:pt idx="834">
                  <c:v>84.81653</c:v>
                </c:pt>
                <c:pt idx="835">
                  <c:v>84.789720000000003</c:v>
                </c:pt>
                <c:pt idx="836">
                  <c:v>84.793330000000012</c:v>
                </c:pt>
                <c:pt idx="837">
                  <c:v>84.779940000000011</c:v>
                </c:pt>
                <c:pt idx="838">
                  <c:v>84.768510000000006</c:v>
                </c:pt>
                <c:pt idx="839">
                  <c:v>84.760730000000009</c:v>
                </c:pt>
                <c:pt idx="840">
                  <c:v>84.756900000000002</c:v>
                </c:pt>
                <c:pt idx="841">
                  <c:v>84.732040000000012</c:v>
                </c:pt>
                <c:pt idx="842">
                  <c:v>84.707260000000005</c:v>
                </c:pt>
                <c:pt idx="843">
                  <c:v>84.70714000000001</c:v>
                </c:pt>
                <c:pt idx="844">
                  <c:v>84.686050000000009</c:v>
                </c:pt>
                <c:pt idx="845">
                  <c:v>84.676610000000011</c:v>
                </c:pt>
                <c:pt idx="846">
                  <c:v>84.663049999999998</c:v>
                </c:pt>
                <c:pt idx="847">
                  <c:v>84.663160000000005</c:v>
                </c:pt>
                <c:pt idx="848">
                  <c:v>84.651679999999999</c:v>
                </c:pt>
                <c:pt idx="849">
                  <c:v>84.651560000000003</c:v>
                </c:pt>
                <c:pt idx="850">
                  <c:v>84.618950000000012</c:v>
                </c:pt>
                <c:pt idx="851">
                  <c:v>84.63261</c:v>
                </c:pt>
                <c:pt idx="852">
                  <c:v>84.617110000000011</c:v>
                </c:pt>
                <c:pt idx="853">
                  <c:v>84.590260000000001</c:v>
                </c:pt>
                <c:pt idx="854">
                  <c:v>84.594130000000007</c:v>
                </c:pt>
                <c:pt idx="855">
                  <c:v>84.572990000000004</c:v>
                </c:pt>
                <c:pt idx="856">
                  <c:v>84.574820000000003</c:v>
                </c:pt>
                <c:pt idx="857">
                  <c:v>84.551850000000002</c:v>
                </c:pt>
                <c:pt idx="858">
                  <c:v>84.544340000000005</c:v>
                </c:pt>
                <c:pt idx="859">
                  <c:v>84.525000000000006</c:v>
                </c:pt>
                <c:pt idx="860">
                  <c:v>84.538390000000007</c:v>
                </c:pt>
                <c:pt idx="861">
                  <c:v>84.509870000000006</c:v>
                </c:pt>
                <c:pt idx="862">
                  <c:v>84.50003000000001</c:v>
                </c:pt>
                <c:pt idx="863">
                  <c:v>84.484650000000002</c:v>
                </c:pt>
                <c:pt idx="864">
                  <c:v>84.488530000000011</c:v>
                </c:pt>
                <c:pt idx="865">
                  <c:v>84.459810000000004</c:v>
                </c:pt>
                <c:pt idx="866">
                  <c:v>84.454210000000003</c:v>
                </c:pt>
                <c:pt idx="867">
                  <c:v>84.45205</c:v>
                </c:pt>
                <c:pt idx="868">
                  <c:v>84.427210000000002</c:v>
                </c:pt>
                <c:pt idx="869">
                  <c:v>84.402390000000011</c:v>
                </c:pt>
                <c:pt idx="870">
                  <c:v>84.404260000000008</c:v>
                </c:pt>
                <c:pt idx="871">
                  <c:v>84.388919999999999</c:v>
                </c:pt>
                <c:pt idx="872">
                  <c:v>84.37154000000001</c:v>
                </c:pt>
                <c:pt idx="873">
                  <c:v>84.369680000000002</c:v>
                </c:pt>
                <c:pt idx="874">
                  <c:v>84.360130000000012</c:v>
                </c:pt>
                <c:pt idx="875">
                  <c:v>84.371690000000001</c:v>
                </c:pt>
                <c:pt idx="876">
                  <c:v>84.350700000000003</c:v>
                </c:pt>
                <c:pt idx="877">
                  <c:v>84.344850000000008</c:v>
                </c:pt>
                <c:pt idx="878">
                  <c:v>84.321719999999999</c:v>
                </c:pt>
                <c:pt idx="879">
                  <c:v>84.317970000000003</c:v>
                </c:pt>
                <c:pt idx="880">
                  <c:v>84.298839999999998</c:v>
                </c:pt>
                <c:pt idx="881">
                  <c:v>84.302820000000011</c:v>
                </c:pt>
                <c:pt idx="882">
                  <c:v>84.289190000000005</c:v>
                </c:pt>
                <c:pt idx="883">
                  <c:v>84.271979999999999</c:v>
                </c:pt>
                <c:pt idx="884">
                  <c:v>84.25282</c:v>
                </c:pt>
                <c:pt idx="885">
                  <c:v>84.243310000000008</c:v>
                </c:pt>
                <c:pt idx="886">
                  <c:v>84.227640000000008</c:v>
                </c:pt>
                <c:pt idx="887">
                  <c:v>84.199250000000006</c:v>
                </c:pt>
                <c:pt idx="888">
                  <c:v>84.185770000000005</c:v>
                </c:pt>
                <c:pt idx="889">
                  <c:v>84.185760000000002</c:v>
                </c:pt>
                <c:pt idx="890">
                  <c:v>84.18368000000001</c:v>
                </c:pt>
                <c:pt idx="891">
                  <c:v>84.18171000000001</c:v>
                </c:pt>
                <c:pt idx="892">
                  <c:v>84.170420000000007</c:v>
                </c:pt>
                <c:pt idx="893">
                  <c:v>84.145470000000003</c:v>
                </c:pt>
                <c:pt idx="894">
                  <c:v>84.139540000000011</c:v>
                </c:pt>
                <c:pt idx="895">
                  <c:v>84.132140000000007</c:v>
                </c:pt>
                <c:pt idx="896">
                  <c:v>84.128100000000003</c:v>
                </c:pt>
                <c:pt idx="897">
                  <c:v>84.110800000000012</c:v>
                </c:pt>
                <c:pt idx="898">
                  <c:v>84.093500000000006</c:v>
                </c:pt>
                <c:pt idx="899">
                  <c:v>84.09375</c:v>
                </c:pt>
                <c:pt idx="900">
                  <c:v>84.064670000000007</c:v>
                </c:pt>
                <c:pt idx="901">
                  <c:v>84.070570000000004</c:v>
                </c:pt>
                <c:pt idx="902">
                  <c:v>84.045580000000001</c:v>
                </c:pt>
                <c:pt idx="903">
                  <c:v>84.030250000000009</c:v>
                </c:pt>
                <c:pt idx="904">
                  <c:v>84.030370000000005</c:v>
                </c:pt>
                <c:pt idx="905">
                  <c:v>84.028260000000003</c:v>
                </c:pt>
                <c:pt idx="906">
                  <c:v>84.01682000000001</c:v>
                </c:pt>
                <c:pt idx="907">
                  <c:v>83.999720000000011</c:v>
                </c:pt>
                <c:pt idx="908">
                  <c:v>83.98818</c:v>
                </c:pt>
                <c:pt idx="909">
                  <c:v>83.988150000000005</c:v>
                </c:pt>
                <c:pt idx="910">
                  <c:v>83.971100000000007</c:v>
                </c:pt>
                <c:pt idx="911">
                  <c:v>83.947770000000006</c:v>
                </c:pt>
                <c:pt idx="912">
                  <c:v>83.955650000000006</c:v>
                </c:pt>
                <c:pt idx="913">
                  <c:v>83.934340000000006</c:v>
                </c:pt>
                <c:pt idx="914">
                  <c:v>83.942070000000001</c:v>
                </c:pt>
                <c:pt idx="915">
                  <c:v>83.930610000000001</c:v>
                </c:pt>
                <c:pt idx="916">
                  <c:v>83.911450000000002</c:v>
                </c:pt>
                <c:pt idx="917">
                  <c:v>83.894420000000011</c:v>
                </c:pt>
                <c:pt idx="918">
                  <c:v>83.901810000000012</c:v>
                </c:pt>
                <c:pt idx="919">
                  <c:v>83.87118000000001</c:v>
                </c:pt>
                <c:pt idx="920">
                  <c:v>83.872930000000011</c:v>
                </c:pt>
                <c:pt idx="921">
                  <c:v>83.846360000000004</c:v>
                </c:pt>
                <c:pt idx="922">
                  <c:v>83.844390000000004</c:v>
                </c:pt>
                <c:pt idx="923">
                  <c:v>83.830950000000001</c:v>
                </c:pt>
                <c:pt idx="924">
                  <c:v>83.836600000000004</c:v>
                </c:pt>
                <c:pt idx="925">
                  <c:v>83.83108</c:v>
                </c:pt>
                <c:pt idx="926">
                  <c:v>83.819320000000005</c:v>
                </c:pt>
                <c:pt idx="927">
                  <c:v>83.806060000000002</c:v>
                </c:pt>
                <c:pt idx="928">
                  <c:v>83.798230000000004</c:v>
                </c:pt>
                <c:pt idx="929">
                  <c:v>83.792529999999999</c:v>
                </c:pt>
                <c:pt idx="930">
                  <c:v>83.778930000000003</c:v>
                </c:pt>
                <c:pt idx="931">
                  <c:v>83.763640000000009</c:v>
                </c:pt>
                <c:pt idx="932">
                  <c:v>83.750330000000005</c:v>
                </c:pt>
                <c:pt idx="933">
                  <c:v>83.738950000000003</c:v>
                </c:pt>
                <c:pt idx="934">
                  <c:v>83.723610000000008</c:v>
                </c:pt>
                <c:pt idx="935">
                  <c:v>83.702330000000003</c:v>
                </c:pt>
                <c:pt idx="936">
                  <c:v>83.71032000000001</c:v>
                </c:pt>
                <c:pt idx="937">
                  <c:v>83.688950000000006</c:v>
                </c:pt>
                <c:pt idx="938">
                  <c:v>83.694990000000004</c:v>
                </c:pt>
                <c:pt idx="939">
                  <c:v>83.669730000000001</c:v>
                </c:pt>
                <c:pt idx="940">
                  <c:v>83.665930000000003</c:v>
                </c:pt>
                <c:pt idx="941">
                  <c:v>83.637140000000002</c:v>
                </c:pt>
                <c:pt idx="942">
                  <c:v>83.616060000000004</c:v>
                </c:pt>
                <c:pt idx="943">
                  <c:v>83.635290000000012</c:v>
                </c:pt>
                <c:pt idx="944">
                  <c:v>83.646619999999999</c:v>
                </c:pt>
                <c:pt idx="945">
                  <c:v>83.610430000000008</c:v>
                </c:pt>
                <c:pt idx="946">
                  <c:v>83.59508000000001</c:v>
                </c:pt>
                <c:pt idx="947">
                  <c:v>83.600800000000007</c:v>
                </c:pt>
                <c:pt idx="948">
                  <c:v>83.600800000000007</c:v>
                </c:pt>
                <c:pt idx="949">
                  <c:v>83.598849999999999</c:v>
                </c:pt>
                <c:pt idx="950">
                  <c:v>83.566190000000006</c:v>
                </c:pt>
                <c:pt idx="951">
                  <c:v>83.579720000000009</c:v>
                </c:pt>
                <c:pt idx="952">
                  <c:v>83.581740000000011</c:v>
                </c:pt>
                <c:pt idx="953">
                  <c:v>83.531810000000007</c:v>
                </c:pt>
                <c:pt idx="954">
                  <c:v>83.518430000000009</c:v>
                </c:pt>
                <c:pt idx="955">
                  <c:v>83.543320000000008</c:v>
                </c:pt>
                <c:pt idx="956">
                  <c:v>83.514540000000011</c:v>
                </c:pt>
                <c:pt idx="957">
                  <c:v>83.506990000000002</c:v>
                </c:pt>
                <c:pt idx="958">
                  <c:v>83.48763000000001</c:v>
                </c:pt>
                <c:pt idx="959">
                  <c:v>83.485720000000001</c:v>
                </c:pt>
                <c:pt idx="960">
                  <c:v>83.480100000000007</c:v>
                </c:pt>
                <c:pt idx="961">
                  <c:v>83.459130000000002</c:v>
                </c:pt>
                <c:pt idx="962">
                  <c:v>83.447420000000008</c:v>
                </c:pt>
                <c:pt idx="963">
                  <c:v>83.454920000000001</c:v>
                </c:pt>
                <c:pt idx="964">
                  <c:v>83.441600000000008</c:v>
                </c:pt>
                <c:pt idx="965">
                  <c:v>83.424450000000007</c:v>
                </c:pt>
                <c:pt idx="966">
                  <c:v>83.416910000000001</c:v>
                </c:pt>
                <c:pt idx="967">
                  <c:v>83.409030000000001</c:v>
                </c:pt>
                <c:pt idx="968">
                  <c:v>83.39</c:v>
                </c:pt>
                <c:pt idx="969">
                  <c:v>83.361080000000001</c:v>
                </c:pt>
                <c:pt idx="970">
                  <c:v>83.366900000000001</c:v>
                </c:pt>
                <c:pt idx="971">
                  <c:v>83.341890000000006</c:v>
                </c:pt>
                <c:pt idx="972">
                  <c:v>83.34378000000001</c:v>
                </c:pt>
                <c:pt idx="973">
                  <c:v>83.345890000000011</c:v>
                </c:pt>
                <c:pt idx="974">
                  <c:v>83.330520000000007</c:v>
                </c:pt>
                <c:pt idx="975">
                  <c:v>83.31692000000001</c:v>
                </c:pt>
                <c:pt idx="976">
                  <c:v>83.320910000000012</c:v>
                </c:pt>
                <c:pt idx="977">
                  <c:v>83.293900000000008</c:v>
                </c:pt>
                <c:pt idx="978">
                  <c:v>83.282589999999999</c:v>
                </c:pt>
                <c:pt idx="979">
                  <c:v>83.28052000000001</c:v>
                </c:pt>
                <c:pt idx="980">
                  <c:v>83.276700000000005</c:v>
                </c:pt>
                <c:pt idx="981">
                  <c:v>83.25188</c:v>
                </c:pt>
                <c:pt idx="982">
                  <c:v>83.251830000000012</c:v>
                </c:pt>
                <c:pt idx="983">
                  <c:v>83.240400000000008</c:v>
                </c:pt>
                <c:pt idx="984">
                  <c:v>83.228890000000007</c:v>
                </c:pt>
                <c:pt idx="985">
                  <c:v>83.221220000000002</c:v>
                </c:pt>
                <c:pt idx="986">
                  <c:v>83.20956000000001</c:v>
                </c:pt>
                <c:pt idx="987">
                  <c:v>83.182749999999999</c:v>
                </c:pt>
                <c:pt idx="988">
                  <c:v>83.188590000000005</c:v>
                </c:pt>
                <c:pt idx="989">
                  <c:v>83.176990000000004</c:v>
                </c:pt>
                <c:pt idx="990">
                  <c:v>83.171270000000007</c:v>
                </c:pt>
                <c:pt idx="991">
                  <c:v>83.159900000000007</c:v>
                </c:pt>
                <c:pt idx="992">
                  <c:v>83.163850000000011</c:v>
                </c:pt>
                <c:pt idx="993">
                  <c:v>83.148250000000004</c:v>
                </c:pt>
                <c:pt idx="994">
                  <c:v>83.148320000000012</c:v>
                </c:pt>
                <c:pt idx="995">
                  <c:v>83.127189999999999</c:v>
                </c:pt>
                <c:pt idx="996">
                  <c:v>83.13676000000001</c:v>
                </c:pt>
                <c:pt idx="997">
                  <c:v>83.111800000000002</c:v>
                </c:pt>
                <c:pt idx="998">
                  <c:v>83.092550000000003</c:v>
                </c:pt>
                <c:pt idx="999">
                  <c:v>83.09451</c:v>
                </c:pt>
                <c:pt idx="1000">
                  <c:v>83.075280000000006</c:v>
                </c:pt>
                <c:pt idx="1001">
                  <c:v>83.071400000000011</c:v>
                </c:pt>
                <c:pt idx="1002">
                  <c:v>83.067959999999999</c:v>
                </c:pt>
                <c:pt idx="1003">
                  <c:v>83.063880000000012</c:v>
                </c:pt>
                <c:pt idx="1004">
                  <c:v>83.052550000000011</c:v>
                </c:pt>
                <c:pt idx="1005">
                  <c:v>83.03707</c:v>
                </c:pt>
                <c:pt idx="1006">
                  <c:v>83.040700000000001</c:v>
                </c:pt>
                <c:pt idx="1007">
                  <c:v>83.010170000000002</c:v>
                </c:pt>
                <c:pt idx="1008">
                  <c:v>83.008220000000009</c:v>
                </c:pt>
                <c:pt idx="1009">
                  <c:v>83.008340000000004</c:v>
                </c:pt>
                <c:pt idx="1010">
                  <c:v>82.998780000000011</c:v>
                </c:pt>
                <c:pt idx="1011">
                  <c:v>82.973920000000007</c:v>
                </c:pt>
                <c:pt idx="1012">
                  <c:v>82.96793000000001</c:v>
                </c:pt>
                <c:pt idx="1013">
                  <c:v>82.97017000000001</c:v>
                </c:pt>
                <c:pt idx="1014">
                  <c:v>82.960419999999999</c:v>
                </c:pt>
                <c:pt idx="1015">
                  <c:v>82.946970000000007</c:v>
                </c:pt>
                <c:pt idx="1016">
                  <c:v>82.94314</c:v>
                </c:pt>
                <c:pt idx="1017">
                  <c:v>82.92983000000001</c:v>
                </c:pt>
                <c:pt idx="1018">
                  <c:v>82.927810000000008</c:v>
                </c:pt>
                <c:pt idx="1019">
                  <c:v>82.918140000000008</c:v>
                </c:pt>
                <c:pt idx="1020">
                  <c:v>82.906620000000004</c:v>
                </c:pt>
                <c:pt idx="1021">
                  <c:v>82.89913</c:v>
                </c:pt>
                <c:pt idx="1022">
                  <c:v>82.893200000000007</c:v>
                </c:pt>
                <c:pt idx="1023">
                  <c:v>82.872010000000003</c:v>
                </c:pt>
                <c:pt idx="1024">
                  <c:v>82.870310000000003</c:v>
                </c:pt>
                <c:pt idx="1025">
                  <c:v>82.85878000000001</c:v>
                </c:pt>
                <c:pt idx="1026">
                  <c:v>82.860730000000004</c:v>
                </c:pt>
                <c:pt idx="1027">
                  <c:v>82.847210000000004</c:v>
                </c:pt>
                <c:pt idx="1028">
                  <c:v>82.84911000000001</c:v>
                </c:pt>
                <c:pt idx="1029">
                  <c:v>82.835850000000008</c:v>
                </c:pt>
                <c:pt idx="1030">
                  <c:v>82.812989999999999</c:v>
                </c:pt>
                <c:pt idx="1031">
                  <c:v>82.820340000000002</c:v>
                </c:pt>
                <c:pt idx="1032">
                  <c:v>82.810839999999999</c:v>
                </c:pt>
                <c:pt idx="1033">
                  <c:v>82.803049999999999</c:v>
                </c:pt>
                <c:pt idx="1034">
                  <c:v>82.791730000000001</c:v>
                </c:pt>
                <c:pt idx="1035">
                  <c:v>82.778240000000011</c:v>
                </c:pt>
                <c:pt idx="1036">
                  <c:v>82.778230000000008</c:v>
                </c:pt>
                <c:pt idx="1037">
                  <c:v>82.757020000000011</c:v>
                </c:pt>
                <c:pt idx="1038">
                  <c:v>82.747600000000006</c:v>
                </c:pt>
                <c:pt idx="1039">
                  <c:v>82.745710000000003</c:v>
                </c:pt>
                <c:pt idx="1040">
                  <c:v>82.724680000000006</c:v>
                </c:pt>
                <c:pt idx="1041">
                  <c:v>82.722550000000012</c:v>
                </c:pt>
                <c:pt idx="1042">
                  <c:v>82.720790000000008</c:v>
                </c:pt>
                <c:pt idx="1043">
                  <c:v>82.705510000000004</c:v>
                </c:pt>
                <c:pt idx="1044">
                  <c:v>82.716860000000011</c:v>
                </c:pt>
                <c:pt idx="1045">
                  <c:v>82.684440000000009</c:v>
                </c:pt>
                <c:pt idx="1046">
                  <c:v>82.699550000000002</c:v>
                </c:pt>
                <c:pt idx="1047">
                  <c:v>82.67653</c:v>
                </c:pt>
                <c:pt idx="1048">
                  <c:v>82.663270000000011</c:v>
                </c:pt>
                <c:pt idx="1049">
                  <c:v>82.664930000000012</c:v>
                </c:pt>
                <c:pt idx="1050">
                  <c:v>82.642040000000009</c:v>
                </c:pt>
                <c:pt idx="1051">
                  <c:v>82.651880000000006</c:v>
                </c:pt>
                <c:pt idx="1052">
                  <c:v>82.645859999999999</c:v>
                </c:pt>
                <c:pt idx="1053">
                  <c:v>82.628770000000003</c:v>
                </c:pt>
                <c:pt idx="1054">
                  <c:v>82.599789999999999</c:v>
                </c:pt>
                <c:pt idx="1055">
                  <c:v>82.628550000000004</c:v>
                </c:pt>
                <c:pt idx="1056">
                  <c:v>82.590370000000007</c:v>
                </c:pt>
                <c:pt idx="1057">
                  <c:v>82.58259000000001</c:v>
                </c:pt>
                <c:pt idx="1058">
                  <c:v>82.578820000000007</c:v>
                </c:pt>
                <c:pt idx="1059">
                  <c:v>82.567340000000002</c:v>
                </c:pt>
                <c:pt idx="1060">
                  <c:v>82.555810000000008</c:v>
                </c:pt>
                <c:pt idx="1061">
                  <c:v>82.53661000000001</c:v>
                </c:pt>
                <c:pt idx="1062">
                  <c:v>82.532970000000006</c:v>
                </c:pt>
                <c:pt idx="1063">
                  <c:v>82.515410000000003</c:v>
                </c:pt>
                <c:pt idx="1064">
                  <c:v>82.515560000000008</c:v>
                </c:pt>
                <c:pt idx="1065">
                  <c:v>82.505949999999999</c:v>
                </c:pt>
                <c:pt idx="1066">
                  <c:v>82.511510000000001</c:v>
                </c:pt>
                <c:pt idx="1067">
                  <c:v>82.49288</c:v>
                </c:pt>
                <c:pt idx="1068">
                  <c:v>82.503930000000011</c:v>
                </c:pt>
                <c:pt idx="1069">
                  <c:v>82.477310000000003</c:v>
                </c:pt>
                <c:pt idx="1070">
                  <c:v>82.467370000000003</c:v>
                </c:pt>
                <c:pt idx="1071">
                  <c:v>82.461890000000011</c:v>
                </c:pt>
                <c:pt idx="1072">
                  <c:v>82.450299999999999</c:v>
                </c:pt>
                <c:pt idx="1073">
                  <c:v>82.43310000000001</c:v>
                </c:pt>
                <c:pt idx="1074">
                  <c:v>82.438780000000008</c:v>
                </c:pt>
                <c:pt idx="1075">
                  <c:v>82.429460000000006</c:v>
                </c:pt>
                <c:pt idx="1076">
                  <c:v>82.425490000000011</c:v>
                </c:pt>
                <c:pt idx="1077">
                  <c:v>82.40831</c:v>
                </c:pt>
                <c:pt idx="1078">
                  <c:v>82.388990000000007</c:v>
                </c:pt>
                <c:pt idx="1079">
                  <c:v>82.396560000000008</c:v>
                </c:pt>
                <c:pt idx="1080">
                  <c:v>82.379200000000012</c:v>
                </c:pt>
                <c:pt idx="1081">
                  <c:v>82.36591</c:v>
                </c:pt>
                <c:pt idx="1082">
                  <c:v>82.371880000000004</c:v>
                </c:pt>
                <c:pt idx="1083">
                  <c:v>82.371700000000004</c:v>
                </c:pt>
                <c:pt idx="1084">
                  <c:v>82.369710000000012</c:v>
                </c:pt>
                <c:pt idx="1085">
                  <c:v>82.371570000000006</c:v>
                </c:pt>
                <c:pt idx="1086">
                  <c:v>82.34499000000001</c:v>
                </c:pt>
                <c:pt idx="1087">
                  <c:v>82.333420000000004</c:v>
                </c:pt>
                <c:pt idx="1088">
                  <c:v>82.331410000000005</c:v>
                </c:pt>
                <c:pt idx="1089">
                  <c:v>82.32771000000001</c:v>
                </c:pt>
                <c:pt idx="1090">
                  <c:v>82.310410000000005</c:v>
                </c:pt>
                <c:pt idx="1091">
                  <c:v>82.31429</c:v>
                </c:pt>
                <c:pt idx="1092">
                  <c:v>82.310410000000005</c:v>
                </c:pt>
                <c:pt idx="1093">
                  <c:v>82.294880000000006</c:v>
                </c:pt>
                <c:pt idx="1094">
                  <c:v>82.275770000000009</c:v>
                </c:pt>
                <c:pt idx="1095">
                  <c:v>82.285430000000005</c:v>
                </c:pt>
                <c:pt idx="1096">
                  <c:v>82.266300000000001</c:v>
                </c:pt>
                <c:pt idx="1097">
                  <c:v>82.252960000000002</c:v>
                </c:pt>
                <c:pt idx="1098">
                  <c:v>82.254870000000011</c:v>
                </c:pt>
                <c:pt idx="1099">
                  <c:v>82.254800000000003</c:v>
                </c:pt>
                <c:pt idx="1100">
                  <c:v>82.227980000000002</c:v>
                </c:pt>
                <c:pt idx="1101">
                  <c:v>82.229800000000012</c:v>
                </c:pt>
                <c:pt idx="1102">
                  <c:v>82.216380000000001</c:v>
                </c:pt>
                <c:pt idx="1103">
                  <c:v>82.224060000000009</c:v>
                </c:pt>
                <c:pt idx="1104">
                  <c:v>82.210560000000001</c:v>
                </c:pt>
                <c:pt idx="1105">
                  <c:v>82.214430000000007</c:v>
                </c:pt>
                <c:pt idx="1106">
                  <c:v>82.193260000000009</c:v>
                </c:pt>
                <c:pt idx="1107">
                  <c:v>82.174270000000007</c:v>
                </c:pt>
                <c:pt idx="1108">
                  <c:v>82.17992000000001</c:v>
                </c:pt>
                <c:pt idx="1109">
                  <c:v>82.172080000000008</c:v>
                </c:pt>
                <c:pt idx="1110">
                  <c:v>82.166460000000001</c:v>
                </c:pt>
                <c:pt idx="1111">
                  <c:v>82.145430000000005</c:v>
                </c:pt>
                <c:pt idx="1112">
                  <c:v>82.15692</c:v>
                </c:pt>
                <c:pt idx="1113">
                  <c:v>82.135940000000005</c:v>
                </c:pt>
                <c:pt idx="1114">
                  <c:v>82.126280000000008</c:v>
                </c:pt>
                <c:pt idx="1115">
                  <c:v>82.135810000000006</c:v>
                </c:pt>
                <c:pt idx="1116">
                  <c:v>82.137840000000011</c:v>
                </c:pt>
                <c:pt idx="1117">
                  <c:v>82.116489999999999</c:v>
                </c:pt>
                <c:pt idx="1118">
                  <c:v>82.107089999999999</c:v>
                </c:pt>
                <c:pt idx="1119">
                  <c:v>82.124340000000004</c:v>
                </c:pt>
                <c:pt idx="1120">
                  <c:v>82.116600000000005</c:v>
                </c:pt>
                <c:pt idx="1121">
                  <c:v>82.120450000000005</c:v>
                </c:pt>
                <c:pt idx="1122">
                  <c:v>82.095650000000006</c:v>
                </c:pt>
                <c:pt idx="1123">
                  <c:v>82.072770000000006</c:v>
                </c:pt>
                <c:pt idx="1124">
                  <c:v>82.066940000000002</c:v>
                </c:pt>
                <c:pt idx="1125">
                  <c:v>82.084060000000008</c:v>
                </c:pt>
                <c:pt idx="1126">
                  <c:v>82.05744</c:v>
                </c:pt>
                <c:pt idx="1127">
                  <c:v>82.063020000000009</c:v>
                </c:pt>
                <c:pt idx="1128">
                  <c:v>82.068780000000004</c:v>
                </c:pt>
                <c:pt idx="1129">
                  <c:v>82.051510000000007</c:v>
                </c:pt>
                <c:pt idx="1130">
                  <c:v>82.051439999999999</c:v>
                </c:pt>
                <c:pt idx="1131">
                  <c:v>82.043680000000009</c:v>
                </c:pt>
                <c:pt idx="1132">
                  <c:v>82.034000000000006</c:v>
                </c:pt>
                <c:pt idx="1133">
                  <c:v>82.026700000000005</c:v>
                </c:pt>
                <c:pt idx="1134">
                  <c:v>82.011320000000012</c:v>
                </c:pt>
                <c:pt idx="1135">
                  <c:v>81.999570000000006</c:v>
                </c:pt>
                <c:pt idx="1136">
                  <c:v>81.994129999999998</c:v>
                </c:pt>
                <c:pt idx="1137">
                  <c:v>82.007230000000007</c:v>
                </c:pt>
                <c:pt idx="1138">
                  <c:v>81.976740000000007</c:v>
                </c:pt>
                <c:pt idx="1139">
                  <c:v>81.978590000000011</c:v>
                </c:pt>
                <c:pt idx="1140">
                  <c:v>81.986330000000009</c:v>
                </c:pt>
                <c:pt idx="1141">
                  <c:v>81.972850000000008</c:v>
                </c:pt>
                <c:pt idx="1142">
                  <c:v>81.959670000000003</c:v>
                </c:pt>
                <c:pt idx="1143">
                  <c:v>81.95938000000001</c:v>
                </c:pt>
                <c:pt idx="1144">
                  <c:v>81.947860000000006</c:v>
                </c:pt>
                <c:pt idx="1145">
                  <c:v>81.949860000000001</c:v>
                </c:pt>
                <c:pt idx="1146">
                  <c:v>81.940430000000006</c:v>
                </c:pt>
                <c:pt idx="1147">
                  <c:v>81.926880000000011</c:v>
                </c:pt>
                <c:pt idx="1148">
                  <c:v>81.930840000000003</c:v>
                </c:pt>
                <c:pt idx="1149">
                  <c:v>81.899979999999999</c:v>
                </c:pt>
                <c:pt idx="1150">
                  <c:v>81.928740000000005</c:v>
                </c:pt>
                <c:pt idx="1151">
                  <c:v>81.886580000000009</c:v>
                </c:pt>
                <c:pt idx="1152">
                  <c:v>81.890470000000008</c:v>
                </c:pt>
                <c:pt idx="1153">
                  <c:v>81.888750000000002</c:v>
                </c:pt>
                <c:pt idx="1154">
                  <c:v>81.857849999999999</c:v>
                </c:pt>
                <c:pt idx="1155">
                  <c:v>81.863399999999999</c:v>
                </c:pt>
                <c:pt idx="1156">
                  <c:v>81.871350000000007</c:v>
                </c:pt>
                <c:pt idx="1157">
                  <c:v>81.848280000000003</c:v>
                </c:pt>
                <c:pt idx="1158">
                  <c:v>81.871300000000005</c:v>
                </c:pt>
                <c:pt idx="1159">
                  <c:v>81.867429999999999</c:v>
                </c:pt>
                <c:pt idx="1160">
                  <c:v>81.850190000000012</c:v>
                </c:pt>
                <c:pt idx="1161">
                  <c:v>81.840440000000001</c:v>
                </c:pt>
                <c:pt idx="1162">
                  <c:v>81.852200000000011</c:v>
                </c:pt>
                <c:pt idx="1163">
                  <c:v>81.823390000000003</c:v>
                </c:pt>
                <c:pt idx="1164">
                  <c:v>81.825280000000006</c:v>
                </c:pt>
                <c:pt idx="1165">
                  <c:v>81.81759000000001</c:v>
                </c:pt>
                <c:pt idx="1166">
                  <c:v>81.806150000000002</c:v>
                </c:pt>
                <c:pt idx="1167">
                  <c:v>81.802180000000007</c:v>
                </c:pt>
                <c:pt idx="1168">
                  <c:v>81.800250000000005</c:v>
                </c:pt>
                <c:pt idx="1169">
                  <c:v>81.771510000000006</c:v>
                </c:pt>
                <c:pt idx="1170">
                  <c:v>81.792730000000006</c:v>
                </c:pt>
                <c:pt idx="1171">
                  <c:v>81.767589999999998</c:v>
                </c:pt>
                <c:pt idx="1172">
                  <c:v>81.763860000000008</c:v>
                </c:pt>
                <c:pt idx="1173">
                  <c:v>81.767650000000003</c:v>
                </c:pt>
                <c:pt idx="1174">
                  <c:v>81.760069999999999</c:v>
                </c:pt>
                <c:pt idx="1175">
                  <c:v>81.760050000000007</c:v>
                </c:pt>
                <c:pt idx="1176">
                  <c:v>81.744700000000009</c:v>
                </c:pt>
                <c:pt idx="1177">
                  <c:v>81.744800000000012</c:v>
                </c:pt>
                <c:pt idx="1178">
                  <c:v>81.727560000000011</c:v>
                </c:pt>
                <c:pt idx="1179">
                  <c:v>81.748460000000009</c:v>
                </c:pt>
                <c:pt idx="1180">
                  <c:v>81.72563000000001</c:v>
                </c:pt>
                <c:pt idx="1181">
                  <c:v>81.71584</c:v>
                </c:pt>
                <c:pt idx="1182">
                  <c:v>81.727400000000003</c:v>
                </c:pt>
                <c:pt idx="1183">
                  <c:v>81.713890000000006</c:v>
                </c:pt>
                <c:pt idx="1184">
                  <c:v>81.702340000000007</c:v>
                </c:pt>
                <c:pt idx="1185">
                  <c:v>81.691090000000003</c:v>
                </c:pt>
                <c:pt idx="1186">
                  <c:v>81.662559999999999</c:v>
                </c:pt>
                <c:pt idx="1187">
                  <c:v>81.689160000000001</c:v>
                </c:pt>
                <c:pt idx="1188">
                  <c:v>81.66031000000001</c:v>
                </c:pt>
                <c:pt idx="1189">
                  <c:v>81.662310000000005</c:v>
                </c:pt>
                <c:pt idx="1190">
                  <c:v>81.641230000000007</c:v>
                </c:pt>
                <c:pt idx="1191">
                  <c:v>81.643090000000001</c:v>
                </c:pt>
                <c:pt idx="1192">
                  <c:v>81.631489999999999</c:v>
                </c:pt>
                <c:pt idx="1193">
                  <c:v>81.635339999999999</c:v>
                </c:pt>
                <c:pt idx="1194">
                  <c:v>81.612560000000002</c:v>
                </c:pt>
                <c:pt idx="1195">
                  <c:v>81.618130000000008</c:v>
                </c:pt>
                <c:pt idx="1196">
                  <c:v>81.593389999999999</c:v>
                </c:pt>
                <c:pt idx="1197">
                  <c:v>81.600909999999999</c:v>
                </c:pt>
                <c:pt idx="1198">
                  <c:v>81.59329000000001</c:v>
                </c:pt>
                <c:pt idx="1199">
                  <c:v>81.585450000000009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24-9F4A-8B47-D382054F5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984592"/>
        <c:axId val="1637469599"/>
      </c:scatterChart>
      <c:valAx>
        <c:axId val="434984592"/>
        <c:scaling>
          <c:orientation val="minMax"/>
          <c:max val="6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37469599"/>
        <c:crosses val="autoZero"/>
        <c:crossBetween val="midCat"/>
      </c:valAx>
      <c:valAx>
        <c:axId val="1637469599"/>
        <c:scaling>
          <c:orientation val="minMax"/>
          <c:min val="7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434984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250C Odin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Data'!$AE$4:$AE$1203</c:f>
              <c:numCache>
                <c:formatCode>General</c:formatCode>
                <c:ptCount val="12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</c:numCache>
            </c:numRef>
          </c:xVal>
          <c:yVal>
            <c:numRef>
              <c:f>'All Data'!$AG$4:$AG$1203</c:f>
              <c:numCache>
                <c:formatCode>0.00000</c:formatCode>
                <c:ptCount val="1200"/>
                <c:pt idx="0">
                  <c:v>100</c:v>
                </c:pt>
                <c:pt idx="1">
                  <c:v>100.16745999999999</c:v>
                </c:pt>
                <c:pt idx="2">
                  <c:v>100.38521999999999</c:v>
                </c:pt>
                <c:pt idx="3">
                  <c:v>100.45992</c:v>
                </c:pt>
                <c:pt idx="4">
                  <c:v>100.41613</c:v>
                </c:pt>
                <c:pt idx="5">
                  <c:v>100.52878</c:v>
                </c:pt>
                <c:pt idx="6">
                  <c:v>100.37039999999999</c:v>
                </c:pt>
                <c:pt idx="7">
                  <c:v>100.40330999999999</c:v>
                </c:pt>
                <c:pt idx="8">
                  <c:v>100.51648</c:v>
                </c:pt>
                <c:pt idx="9">
                  <c:v>100.39946999999999</c:v>
                </c:pt>
                <c:pt idx="10">
                  <c:v>100.43297</c:v>
                </c:pt>
                <c:pt idx="11">
                  <c:v>100.41251</c:v>
                </c:pt>
                <c:pt idx="12">
                  <c:v>100.34058999999999</c:v>
                </c:pt>
                <c:pt idx="13">
                  <c:v>100.47059</c:v>
                </c:pt>
                <c:pt idx="14">
                  <c:v>100.33069999999999</c:v>
                </c:pt>
                <c:pt idx="15">
                  <c:v>100.37652</c:v>
                </c:pt>
                <c:pt idx="16">
                  <c:v>100.37814</c:v>
                </c:pt>
                <c:pt idx="17">
                  <c:v>100.29899999999999</c:v>
                </c:pt>
                <c:pt idx="18">
                  <c:v>100.38423999999999</c:v>
                </c:pt>
                <c:pt idx="19">
                  <c:v>100.34398</c:v>
                </c:pt>
                <c:pt idx="20">
                  <c:v>100.25300999999999</c:v>
                </c:pt>
                <c:pt idx="21">
                  <c:v>100.31518</c:v>
                </c:pt>
                <c:pt idx="22">
                  <c:v>100.28075</c:v>
                </c:pt>
                <c:pt idx="23">
                  <c:v>100.31251999999999</c:v>
                </c:pt>
                <c:pt idx="24">
                  <c:v>100.14219</c:v>
                </c:pt>
                <c:pt idx="25">
                  <c:v>100.22987999999999</c:v>
                </c:pt>
                <c:pt idx="26">
                  <c:v>100.18235</c:v>
                </c:pt>
                <c:pt idx="27">
                  <c:v>100.18432</c:v>
                </c:pt>
                <c:pt idx="28">
                  <c:v>100.22439999999999</c:v>
                </c:pt>
                <c:pt idx="29">
                  <c:v>100.15835</c:v>
                </c:pt>
                <c:pt idx="30">
                  <c:v>100.21445</c:v>
                </c:pt>
                <c:pt idx="31">
                  <c:v>100.13041</c:v>
                </c:pt>
                <c:pt idx="32">
                  <c:v>100.13019</c:v>
                </c:pt>
                <c:pt idx="33">
                  <c:v>100.14869</c:v>
                </c:pt>
                <c:pt idx="34">
                  <c:v>100.08756</c:v>
                </c:pt>
                <c:pt idx="35">
                  <c:v>100.09724</c:v>
                </c:pt>
                <c:pt idx="36">
                  <c:v>100.15094999999999</c:v>
                </c:pt>
                <c:pt idx="37">
                  <c:v>100.05494999999999</c:v>
                </c:pt>
                <c:pt idx="38">
                  <c:v>100.07965999999999</c:v>
                </c:pt>
                <c:pt idx="39">
                  <c:v>100.00578999999999</c:v>
                </c:pt>
                <c:pt idx="40">
                  <c:v>100.05875999999999</c:v>
                </c:pt>
                <c:pt idx="41">
                  <c:v>99.904929999999993</c:v>
                </c:pt>
                <c:pt idx="42">
                  <c:v>100.00327</c:v>
                </c:pt>
                <c:pt idx="43">
                  <c:v>99.852969999999999</c:v>
                </c:pt>
                <c:pt idx="44">
                  <c:v>99.951679999999996</c:v>
                </c:pt>
                <c:pt idx="45">
                  <c:v>99.929829999999995</c:v>
                </c:pt>
                <c:pt idx="46">
                  <c:v>99.93513999999999</c:v>
                </c:pt>
                <c:pt idx="47">
                  <c:v>99.915599999999998</c:v>
                </c:pt>
                <c:pt idx="48">
                  <c:v>99.890039999999999</c:v>
                </c:pt>
                <c:pt idx="49">
                  <c:v>99.796909999999997</c:v>
                </c:pt>
                <c:pt idx="50">
                  <c:v>99.754390000000001</c:v>
                </c:pt>
                <c:pt idx="51">
                  <c:v>99.765229999999988</c:v>
                </c:pt>
                <c:pt idx="52">
                  <c:v>99.738609999999994</c:v>
                </c:pt>
                <c:pt idx="53">
                  <c:v>99.806439999999995</c:v>
                </c:pt>
                <c:pt idx="54">
                  <c:v>99.745559999999998</c:v>
                </c:pt>
                <c:pt idx="55">
                  <c:v>99.677430000000001</c:v>
                </c:pt>
                <c:pt idx="56">
                  <c:v>99.727679999999992</c:v>
                </c:pt>
                <c:pt idx="57">
                  <c:v>99.729459999999989</c:v>
                </c:pt>
                <c:pt idx="58">
                  <c:v>99.673289999999994</c:v>
                </c:pt>
                <c:pt idx="59">
                  <c:v>99.601209999999995</c:v>
                </c:pt>
                <c:pt idx="60">
                  <c:v>99.599489999999989</c:v>
                </c:pt>
                <c:pt idx="61">
                  <c:v>99.632959999999997</c:v>
                </c:pt>
                <c:pt idx="62">
                  <c:v>99.604949999999988</c:v>
                </c:pt>
                <c:pt idx="63">
                  <c:v>99.620599999999996</c:v>
                </c:pt>
                <c:pt idx="64">
                  <c:v>99.587399999999988</c:v>
                </c:pt>
                <c:pt idx="65">
                  <c:v>99.590059999999994</c:v>
                </c:pt>
                <c:pt idx="66">
                  <c:v>99.60857</c:v>
                </c:pt>
                <c:pt idx="67">
                  <c:v>99.565439999999995</c:v>
                </c:pt>
                <c:pt idx="68">
                  <c:v>99.519799999999989</c:v>
                </c:pt>
                <c:pt idx="69">
                  <c:v>99.513959999999997</c:v>
                </c:pt>
                <c:pt idx="70">
                  <c:v>99.587639999999993</c:v>
                </c:pt>
                <c:pt idx="71">
                  <c:v>99.534999999999997</c:v>
                </c:pt>
                <c:pt idx="72">
                  <c:v>99.473609999999994</c:v>
                </c:pt>
                <c:pt idx="73">
                  <c:v>99.516829999999999</c:v>
                </c:pt>
                <c:pt idx="74">
                  <c:v>99.473119999999994</c:v>
                </c:pt>
                <c:pt idx="75">
                  <c:v>99.51867</c:v>
                </c:pt>
                <c:pt idx="76">
                  <c:v>99.271979999999999</c:v>
                </c:pt>
                <c:pt idx="77">
                  <c:v>99.306489999999997</c:v>
                </c:pt>
                <c:pt idx="78">
                  <c:v>99.389799999999994</c:v>
                </c:pt>
                <c:pt idx="79">
                  <c:v>99.30552999999999</c:v>
                </c:pt>
                <c:pt idx="80">
                  <c:v>99.252319999999997</c:v>
                </c:pt>
                <c:pt idx="81">
                  <c:v>99.378969999999995</c:v>
                </c:pt>
                <c:pt idx="82">
                  <c:v>99.295349999999999</c:v>
                </c:pt>
                <c:pt idx="83">
                  <c:v>99.307459999999992</c:v>
                </c:pt>
                <c:pt idx="84">
                  <c:v>99.194849999999988</c:v>
                </c:pt>
                <c:pt idx="85">
                  <c:v>99.214649999999992</c:v>
                </c:pt>
                <c:pt idx="86">
                  <c:v>99.257459999999995</c:v>
                </c:pt>
                <c:pt idx="87">
                  <c:v>99.200419999999994</c:v>
                </c:pt>
                <c:pt idx="88">
                  <c:v>99.23411999999999</c:v>
                </c:pt>
                <c:pt idx="89">
                  <c:v>99.128189999999989</c:v>
                </c:pt>
                <c:pt idx="90">
                  <c:v>99.1738</c:v>
                </c:pt>
                <c:pt idx="91">
                  <c:v>99.163889999999995</c:v>
                </c:pt>
                <c:pt idx="92">
                  <c:v>99.19395999999999</c:v>
                </c:pt>
                <c:pt idx="93">
                  <c:v>99.123459999999994</c:v>
                </c:pt>
                <c:pt idx="94">
                  <c:v>99.203579999999988</c:v>
                </c:pt>
                <c:pt idx="95">
                  <c:v>99.110489999999999</c:v>
                </c:pt>
                <c:pt idx="96">
                  <c:v>99.069629999999989</c:v>
                </c:pt>
                <c:pt idx="97">
                  <c:v>99.125589999999988</c:v>
                </c:pt>
                <c:pt idx="98">
                  <c:v>99.014379999999989</c:v>
                </c:pt>
                <c:pt idx="99">
                  <c:v>98.996919999999989</c:v>
                </c:pt>
                <c:pt idx="100">
                  <c:v>98.979479999999995</c:v>
                </c:pt>
                <c:pt idx="101">
                  <c:v>99.028309999999991</c:v>
                </c:pt>
                <c:pt idx="102">
                  <c:v>98.941029999999998</c:v>
                </c:pt>
                <c:pt idx="103">
                  <c:v>99.015499999999989</c:v>
                </c:pt>
                <c:pt idx="104">
                  <c:v>99.048779999999994</c:v>
                </c:pt>
                <c:pt idx="105">
                  <c:v>99.016329999999996</c:v>
                </c:pt>
                <c:pt idx="106">
                  <c:v>98.906559999999999</c:v>
                </c:pt>
                <c:pt idx="107">
                  <c:v>98.930689999999998</c:v>
                </c:pt>
                <c:pt idx="108">
                  <c:v>98.893389999999997</c:v>
                </c:pt>
                <c:pt idx="109">
                  <c:v>98.871729999999999</c:v>
                </c:pt>
                <c:pt idx="110">
                  <c:v>98.887929999999997</c:v>
                </c:pt>
                <c:pt idx="111">
                  <c:v>98.891959999999997</c:v>
                </c:pt>
                <c:pt idx="112">
                  <c:v>98.746159999999989</c:v>
                </c:pt>
                <c:pt idx="113">
                  <c:v>98.836649999999992</c:v>
                </c:pt>
                <c:pt idx="114">
                  <c:v>98.783499999999989</c:v>
                </c:pt>
                <c:pt idx="115">
                  <c:v>98.758369999999999</c:v>
                </c:pt>
                <c:pt idx="116">
                  <c:v>98.741679999999988</c:v>
                </c:pt>
                <c:pt idx="117">
                  <c:v>98.758510000000001</c:v>
                </c:pt>
                <c:pt idx="118">
                  <c:v>98.812999999999988</c:v>
                </c:pt>
                <c:pt idx="119">
                  <c:v>98.698430000000002</c:v>
                </c:pt>
                <c:pt idx="120">
                  <c:v>98.79392</c:v>
                </c:pt>
                <c:pt idx="121">
                  <c:v>98.792389999999997</c:v>
                </c:pt>
                <c:pt idx="122">
                  <c:v>98.611729999999994</c:v>
                </c:pt>
                <c:pt idx="123">
                  <c:v>98.658209999999997</c:v>
                </c:pt>
                <c:pt idx="124">
                  <c:v>98.674899999999994</c:v>
                </c:pt>
                <c:pt idx="125">
                  <c:v>98.590219999999988</c:v>
                </c:pt>
                <c:pt idx="126">
                  <c:v>98.628919999999994</c:v>
                </c:pt>
                <c:pt idx="127">
                  <c:v>98.638589999999994</c:v>
                </c:pt>
                <c:pt idx="128">
                  <c:v>98.660619999999994</c:v>
                </c:pt>
                <c:pt idx="129">
                  <c:v>98.594110000000001</c:v>
                </c:pt>
                <c:pt idx="130">
                  <c:v>98.58435999999999</c:v>
                </c:pt>
                <c:pt idx="131">
                  <c:v>98.533249999999995</c:v>
                </c:pt>
                <c:pt idx="132">
                  <c:v>98.563859999999991</c:v>
                </c:pt>
                <c:pt idx="133">
                  <c:v>98.575400000000002</c:v>
                </c:pt>
                <c:pt idx="134">
                  <c:v>98.48536</c:v>
                </c:pt>
                <c:pt idx="135">
                  <c:v>98.460209999999989</c:v>
                </c:pt>
                <c:pt idx="136">
                  <c:v>98.468509999999995</c:v>
                </c:pt>
                <c:pt idx="137">
                  <c:v>98.431029999999993</c:v>
                </c:pt>
                <c:pt idx="138">
                  <c:v>98.475259999999992</c:v>
                </c:pt>
                <c:pt idx="139">
                  <c:v>98.454899999999995</c:v>
                </c:pt>
                <c:pt idx="140">
                  <c:v>98.45675</c:v>
                </c:pt>
                <c:pt idx="141">
                  <c:v>98.482019999999991</c:v>
                </c:pt>
                <c:pt idx="142">
                  <c:v>98.362629999999996</c:v>
                </c:pt>
                <c:pt idx="143">
                  <c:v>98.397289999999998</c:v>
                </c:pt>
                <c:pt idx="144">
                  <c:v>98.385930000000002</c:v>
                </c:pt>
                <c:pt idx="145">
                  <c:v>98.368159999999989</c:v>
                </c:pt>
                <c:pt idx="146">
                  <c:v>98.37827999999999</c:v>
                </c:pt>
                <c:pt idx="147">
                  <c:v>98.245519999999999</c:v>
                </c:pt>
                <c:pt idx="148">
                  <c:v>98.258289999999988</c:v>
                </c:pt>
                <c:pt idx="149">
                  <c:v>98.35029999999999</c:v>
                </c:pt>
                <c:pt idx="150">
                  <c:v>98.331109999999995</c:v>
                </c:pt>
                <c:pt idx="151">
                  <c:v>98.277109999999993</c:v>
                </c:pt>
                <c:pt idx="152">
                  <c:v>98.22824</c:v>
                </c:pt>
                <c:pt idx="153">
                  <c:v>98.231279999999998</c:v>
                </c:pt>
                <c:pt idx="154">
                  <c:v>98.219849999999994</c:v>
                </c:pt>
                <c:pt idx="155">
                  <c:v>98.166359999999997</c:v>
                </c:pt>
                <c:pt idx="156">
                  <c:v>98.238829999999993</c:v>
                </c:pt>
                <c:pt idx="157">
                  <c:v>98.151929999999993</c:v>
                </c:pt>
                <c:pt idx="158">
                  <c:v>98.157139999999998</c:v>
                </c:pt>
                <c:pt idx="159">
                  <c:v>98.127399999999994</c:v>
                </c:pt>
                <c:pt idx="160">
                  <c:v>98.118719999999996</c:v>
                </c:pt>
                <c:pt idx="161">
                  <c:v>98.067639999999997</c:v>
                </c:pt>
                <c:pt idx="162">
                  <c:v>98.144970000000001</c:v>
                </c:pt>
                <c:pt idx="163">
                  <c:v>97.965170000000001</c:v>
                </c:pt>
                <c:pt idx="164">
                  <c:v>98.10848</c:v>
                </c:pt>
                <c:pt idx="165">
                  <c:v>98.170249999999996</c:v>
                </c:pt>
                <c:pt idx="166">
                  <c:v>98.016509999999997</c:v>
                </c:pt>
                <c:pt idx="167">
                  <c:v>98.060379999999995</c:v>
                </c:pt>
                <c:pt idx="168">
                  <c:v>98.016499999999994</c:v>
                </c:pt>
                <c:pt idx="169">
                  <c:v>97.963119999999989</c:v>
                </c:pt>
                <c:pt idx="170">
                  <c:v>97.993889999999993</c:v>
                </c:pt>
                <c:pt idx="171">
                  <c:v>98.024709999999999</c:v>
                </c:pt>
                <c:pt idx="172">
                  <c:v>97.982219999999998</c:v>
                </c:pt>
                <c:pt idx="173">
                  <c:v>97.977649999999997</c:v>
                </c:pt>
                <c:pt idx="174">
                  <c:v>97.970050000000001</c:v>
                </c:pt>
                <c:pt idx="175">
                  <c:v>97.932699999999997</c:v>
                </c:pt>
                <c:pt idx="176">
                  <c:v>97.871889999999993</c:v>
                </c:pt>
                <c:pt idx="177">
                  <c:v>97.912319999999994</c:v>
                </c:pt>
                <c:pt idx="178">
                  <c:v>97.842119999999994</c:v>
                </c:pt>
                <c:pt idx="179">
                  <c:v>97.88646</c:v>
                </c:pt>
                <c:pt idx="180">
                  <c:v>97.92962</c:v>
                </c:pt>
                <c:pt idx="181">
                  <c:v>97.786459999999991</c:v>
                </c:pt>
                <c:pt idx="182">
                  <c:v>97.802869999999999</c:v>
                </c:pt>
                <c:pt idx="183">
                  <c:v>97.780760000000001</c:v>
                </c:pt>
                <c:pt idx="184">
                  <c:v>97.856039999999993</c:v>
                </c:pt>
                <c:pt idx="185">
                  <c:v>97.805889999999991</c:v>
                </c:pt>
                <c:pt idx="186">
                  <c:v>97.724469999999997</c:v>
                </c:pt>
                <c:pt idx="187">
                  <c:v>97.718989999999991</c:v>
                </c:pt>
                <c:pt idx="188">
                  <c:v>97.716650000000001</c:v>
                </c:pt>
                <c:pt idx="189">
                  <c:v>97.74602999999999</c:v>
                </c:pt>
                <c:pt idx="190">
                  <c:v>97.69135</c:v>
                </c:pt>
                <c:pt idx="191">
                  <c:v>97.680070000000001</c:v>
                </c:pt>
                <c:pt idx="192">
                  <c:v>97.544599999999988</c:v>
                </c:pt>
                <c:pt idx="193">
                  <c:v>97.627529999999993</c:v>
                </c:pt>
                <c:pt idx="194">
                  <c:v>97.701629999999994</c:v>
                </c:pt>
                <c:pt idx="195">
                  <c:v>97.56765</c:v>
                </c:pt>
                <c:pt idx="196">
                  <c:v>97.531169999999989</c:v>
                </c:pt>
                <c:pt idx="197">
                  <c:v>97.659749999999988</c:v>
                </c:pt>
                <c:pt idx="198">
                  <c:v>97.580339999999993</c:v>
                </c:pt>
                <c:pt idx="199">
                  <c:v>97.571280000000002</c:v>
                </c:pt>
                <c:pt idx="200">
                  <c:v>97.341359999999995</c:v>
                </c:pt>
                <c:pt idx="201">
                  <c:v>97.58050999999999</c:v>
                </c:pt>
                <c:pt idx="202">
                  <c:v>97.54343999999999</c:v>
                </c:pt>
                <c:pt idx="203">
                  <c:v>97.532910000000001</c:v>
                </c:pt>
                <c:pt idx="204">
                  <c:v>97.49996999999999</c:v>
                </c:pt>
                <c:pt idx="205">
                  <c:v>97.5364</c:v>
                </c:pt>
                <c:pt idx="206">
                  <c:v>97.388229999999993</c:v>
                </c:pt>
                <c:pt idx="207">
                  <c:v>97.420819999999992</c:v>
                </c:pt>
                <c:pt idx="208">
                  <c:v>97.42192</c:v>
                </c:pt>
                <c:pt idx="209">
                  <c:v>97.407399999999996</c:v>
                </c:pt>
                <c:pt idx="210">
                  <c:v>97.473549999999989</c:v>
                </c:pt>
                <c:pt idx="211">
                  <c:v>97.395600000000002</c:v>
                </c:pt>
                <c:pt idx="212">
                  <c:v>97.416069999999991</c:v>
                </c:pt>
                <c:pt idx="213">
                  <c:v>97.349019999999996</c:v>
                </c:pt>
                <c:pt idx="214">
                  <c:v>97.416029999999992</c:v>
                </c:pt>
                <c:pt idx="215">
                  <c:v>97.299229999999994</c:v>
                </c:pt>
                <c:pt idx="216">
                  <c:v>97.246829999999989</c:v>
                </c:pt>
                <c:pt idx="217">
                  <c:v>97.38136999999999</c:v>
                </c:pt>
                <c:pt idx="218">
                  <c:v>97.270219999999995</c:v>
                </c:pt>
                <c:pt idx="219">
                  <c:v>97.242149999999995</c:v>
                </c:pt>
                <c:pt idx="220">
                  <c:v>97.269449999999992</c:v>
                </c:pt>
                <c:pt idx="221">
                  <c:v>97.198299999999989</c:v>
                </c:pt>
                <c:pt idx="222">
                  <c:v>97.204219999999992</c:v>
                </c:pt>
                <c:pt idx="223">
                  <c:v>97.327159999999992</c:v>
                </c:pt>
                <c:pt idx="224">
                  <c:v>97.225009999999997</c:v>
                </c:pt>
                <c:pt idx="225">
                  <c:v>97.196709999999996</c:v>
                </c:pt>
                <c:pt idx="226">
                  <c:v>97.272769999999994</c:v>
                </c:pt>
                <c:pt idx="227">
                  <c:v>97.13946</c:v>
                </c:pt>
                <c:pt idx="228">
                  <c:v>97.038419999999988</c:v>
                </c:pt>
                <c:pt idx="229">
                  <c:v>97.213679999999997</c:v>
                </c:pt>
                <c:pt idx="230">
                  <c:v>97.147289999999998</c:v>
                </c:pt>
                <c:pt idx="231">
                  <c:v>97.134529999999998</c:v>
                </c:pt>
                <c:pt idx="232">
                  <c:v>97.131540000000001</c:v>
                </c:pt>
                <c:pt idx="233">
                  <c:v>97.066400000000002</c:v>
                </c:pt>
                <c:pt idx="234">
                  <c:v>97.069980000000001</c:v>
                </c:pt>
                <c:pt idx="235">
                  <c:v>97.09662999999999</c:v>
                </c:pt>
                <c:pt idx="236">
                  <c:v>97.078969999999998</c:v>
                </c:pt>
                <c:pt idx="237">
                  <c:v>97.017089999999996</c:v>
                </c:pt>
                <c:pt idx="238">
                  <c:v>97.07047</c:v>
                </c:pt>
                <c:pt idx="239">
                  <c:v>97.00197</c:v>
                </c:pt>
                <c:pt idx="240">
                  <c:v>97.017569999999992</c:v>
                </c:pt>
                <c:pt idx="241">
                  <c:v>96.997119999999995</c:v>
                </c:pt>
                <c:pt idx="242">
                  <c:v>96.940669999999997</c:v>
                </c:pt>
                <c:pt idx="243">
                  <c:v>96.951499999999996</c:v>
                </c:pt>
                <c:pt idx="244">
                  <c:v>96.93889999999999</c:v>
                </c:pt>
                <c:pt idx="245">
                  <c:v>96.86954999999999</c:v>
                </c:pt>
                <c:pt idx="246">
                  <c:v>97.015339999999995</c:v>
                </c:pt>
                <c:pt idx="247">
                  <c:v>96.898619999999994</c:v>
                </c:pt>
                <c:pt idx="248">
                  <c:v>96.86999999999999</c:v>
                </c:pt>
                <c:pt idx="249">
                  <c:v>96.863669999999999</c:v>
                </c:pt>
                <c:pt idx="250">
                  <c:v>96.909300000000002</c:v>
                </c:pt>
                <c:pt idx="251">
                  <c:v>96.827719999999999</c:v>
                </c:pt>
                <c:pt idx="252">
                  <c:v>96.83829999999999</c:v>
                </c:pt>
                <c:pt idx="253">
                  <c:v>96.914829999999995</c:v>
                </c:pt>
                <c:pt idx="254">
                  <c:v>96.78586</c:v>
                </c:pt>
                <c:pt idx="255">
                  <c:v>96.74951999999999</c:v>
                </c:pt>
                <c:pt idx="256">
                  <c:v>96.725579999999994</c:v>
                </c:pt>
                <c:pt idx="257">
                  <c:v>96.754619999999989</c:v>
                </c:pt>
                <c:pt idx="258">
                  <c:v>96.694849999999988</c:v>
                </c:pt>
                <c:pt idx="259">
                  <c:v>96.779049999999998</c:v>
                </c:pt>
                <c:pt idx="260">
                  <c:v>96.711789999999993</c:v>
                </c:pt>
                <c:pt idx="261">
                  <c:v>96.700839999999999</c:v>
                </c:pt>
                <c:pt idx="262">
                  <c:v>96.70841999999999</c:v>
                </c:pt>
                <c:pt idx="263">
                  <c:v>96.635019999999997</c:v>
                </c:pt>
                <c:pt idx="264">
                  <c:v>96.623419999999996</c:v>
                </c:pt>
                <c:pt idx="265">
                  <c:v>96.580879999999993</c:v>
                </c:pt>
                <c:pt idx="266">
                  <c:v>96.620279999999994</c:v>
                </c:pt>
                <c:pt idx="267">
                  <c:v>96.637469999999993</c:v>
                </c:pt>
                <c:pt idx="268">
                  <c:v>96.604569999999995</c:v>
                </c:pt>
                <c:pt idx="269">
                  <c:v>96.529889999999995</c:v>
                </c:pt>
                <c:pt idx="270">
                  <c:v>96.59662999999999</c:v>
                </c:pt>
                <c:pt idx="271">
                  <c:v>96.619489999999999</c:v>
                </c:pt>
                <c:pt idx="272">
                  <c:v>96.632059999999996</c:v>
                </c:pt>
                <c:pt idx="273">
                  <c:v>96.54867999999999</c:v>
                </c:pt>
                <c:pt idx="274">
                  <c:v>96.543169999999989</c:v>
                </c:pt>
                <c:pt idx="275">
                  <c:v>96.548369999999991</c:v>
                </c:pt>
                <c:pt idx="276">
                  <c:v>96.496569999999991</c:v>
                </c:pt>
                <c:pt idx="277">
                  <c:v>96.419519999999991</c:v>
                </c:pt>
                <c:pt idx="278">
                  <c:v>96.46150999999999</c:v>
                </c:pt>
                <c:pt idx="279">
                  <c:v>96.53403999999999</c:v>
                </c:pt>
                <c:pt idx="280">
                  <c:v>96.409509999999997</c:v>
                </c:pt>
                <c:pt idx="281">
                  <c:v>96.505420000000001</c:v>
                </c:pt>
                <c:pt idx="282">
                  <c:v>96.424939999999992</c:v>
                </c:pt>
                <c:pt idx="283">
                  <c:v>96.431069999999991</c:v>
                </c:pt>
                <c:pt idx="284">
                  <c:v>96.433139999999995</c:v>
                </c:pt>
                <c:pt idx="285">
                  <c:v>96.413449999999997</c:v>
                </c:pt>
                <c:pt idx="286">
                  <c:v>96.32535</c:v>
                </c:pt>
                <c:pt idx="287">
                  <c:v>96.419150000000002</c:v>
                </c:pt>
                <c:pt idx="288">
                  <c:v>96.343789999999998</c:v>
                </c:pt>
                <c:pt idx="289">
                  <c:v>96.348709999999997</c:v>
                </c:pt>
                <c:pt idx="290">
                  <c:v>96.301259999999999</c:v>
                </c:pt>
                <c:pt idx="291">
                  <c:v>96.283169999999998</c:v>
                </c:pt>
                <c:pt idx="292">
                  <c:v>96.338129999999992</c:v>
                </c:pt>
                <c:pt idx="293">
                  <c:v>96.316459999999992</c:v>
                </c:pt>
                <c:pt idx="294">
                  <c:v>96.350819999999999</c:v>
                </c:pt>
                <c:pt idx="295">
                  <c:v>96.270979999999994</c:v>
                </c:pt>
                <c:pt idx="296">
                  <c:v>96.247050000000002</c:v>
                </c:pt>
                <c:pt idx="297">
                  <c:v>96.348159999999993</c:v>
                </c:pt>
                <c:pt idx="298">
                  <c:v>96.224609999999998</c:v>
                </c:pt>
                <c:pt idx="299">
                  <c:v>96.23872999999999</c:v>
                </c:pt>
                <c:pt idx="300">
                  <c:v>96.174269999999993</c:v>
                </c:pt>
                <c:pt idx="301">
                  <c:v>96.073489999999993</c:v>
                </c:pt>
                <c:pt idx="302">
                  <c:v>96.145119999999991</c:v>
                </c:pt>
                <c:pt idx="303">
                  <c:v>96.063279999999992</c:v>
                </c:pt>
                <c:pt idx="304">
                  <c:v>96.165520000000001</c:v>
                </c:pt>
                <c:pt idx="305">
                  <c:v>96.107320000000001</c:v>
                </c:pt>
                <c:pt idx="306">
                  <c:v>96.137319999999988</c:v>
                </c:pt>
                <c:pt idx="307">
                  <c:v>96.058299999999988</c:v>
                </c:pt>
                <c:pt idx="308">
                  <c:v>96.010639999999995</c:v>
                </c:pt>
                <c:pt idx="309">
                  <c:v>96.034399999999991</c:v>
                </c:pt>
                <c:pt idx="310">
                  <c:v>96.110529999999997</c:v>
                </c:pt>
                <c:pt idx="311">
                  <c:v>96.04097999999999</c:v>
                </c:pt>
                <c:pt idx="312">
                  <c:v>96.024760000000001</c:v>
                </c:pt>
                <c:pt idx="313">
                  <c:v>96.001469999999998</c:v>
                </c:pt>
                <c:pt idx="314">
                  <c:v>96.076309999999992</c:v>
                </c:pt>
                <c:pt idx="315">
                  <c:v>96.003189999999989</c:v>
                </c:pt>
                <c:pt idx="316">
                  <c:v>95.933129999999991</c:v>
                </c:pt>
                <c:pt idx="317">
                  <c:v>96.001589999999993</c:v>
                </c:pt>
                <c:pt idx="318">
                  <c:v>95.932220000000001</c:v>
                </c:pt>
                <c:pt idx="319">
                  <c:v>95.841290000000001</c:v>
                </c:pt>
                <c:pt idx="320">
                  <c:v>95.927589999999995</c:v>
                </c:pt>
                <c:pt idx="321">
                  <c:v>95.951009999999997</c:v>
                </c:pt>
                <c:pt idx="322">
                  <c:v>95.93477</c:v>
                </c:pt>
                <c:pt idx="323">
                  <c:v>95.887999999999991</c:v>
                </c:pt>
                <c:pt idx="324">
                  <c:v>95.90849</c:v>
                </c:pt>
                <c:pt idx="325">
                  <c:v>95.806049999999999</c:v>
                </c:pt>
                <c:pt idx="326">
                  <c:v>95.922199999999989</c:v>
                </c:pt>
                <c:pt idx="327">
                  <c:v>95.799309999999991</c:v>
                </c:pt>
                <c:pt idx="328">
                  <c:v>95.849059999999994</c:v>
                </c:pt>
                <c:pt idx="329">
                  <c:v>95.76142999999999</c:v>
                </c:pt>
                <c:pt idx="330">
                  <c:v>95.785269999999997</c:v>
                </c:pt>
                <c:pt idx="331">
                  <c:v>95.756929999999997</c:v>
                </c:pt>
                <c:pt idx="332">
                  <c:v>95.892189999999999</c:v>
                </c:pt>
                <c:pt idx="333">
                  <c:v>95.806079999999994</c:v>
                </c:pt>
                <c:pt idx="334">
                  <c:v>95.7684</c:v>
                </c:pt>
                <c:pt idx="335">
                  <c:v>95.706149999999994</c:v>
                </c:pt>
                <c:pt idx="336">
                  <c:v>95.637169999999998</c:v>
                </c:pt>
                <c:pt idx="337">
                  <c:v>95.655019999999993</c:v>
                </c:pt>
                <c:pt idx="338">
                  <c:v>95.733739999999997</c:v>
                </c:pt>
                <c:pt idx="339">
                  <c:v>95.708089999999999</c:v>
                </c:pt>
                <c:pt idx="340">
                  <c:v>95.739629999999991</c:v>
                </c:pt>
                <c:pt idx="341">
                  <c:v>95.684559999999991</c:v>
                </c:pt>
                <c:pt idx="342">
                  <c:v>95.631649999999993</c:v>
                </c:pt>
                <c:pt idx="343">
                  <c:v>95.703869999999995</c:v>
                </c:pt>
                <c:pt idx="344">
                  <c:v>95.601839999999996</c:v>
                </c:pt>
                <c:pt idx="345">
                  <c:v>95.667529999999999</c:v>
                </c:pt>
                <c:pt idx="346">
                  <c:v>95.60705999999999</c:v>
                </c:pt>
                <c:pt idx="347">
                  <c:v>95.580399999999997</c:v>
                </c:pt>
                <c:pt idx="348">
                  <c:v>95.490529999999993</c:v>
                </c:pt>
                <c:pt idx="349">
                  <c:v>95.528359999999992</c:v>
                </c:pt>
                <c:pt idx="350">
                  <c:v>95.553319999999999</c:v>
                </c:pt>
                <c:pt idx="351">
                  <c:v>95.496069999999989</c:v>
                </c:pt>
                <c:pt idx="352">
                  <c:v>95.624479999999991</c:v>
                </c:pt>
                <c:pt idx="353">
                  <c:v>95.481629999999996</c:v>
                </c:pt>
                <c:pt idx="354">
                  <c:v>95.511479999999992</c:v>
                </c:pt>
                <c:pt idx="355">
                  <c:v>95.596329999999995</c:v>
                </c:pt>
                <c:pt idx="356">
                  <c:v>95.458539999999999</c:v>
                </c:pt>
                <c:pt idx="357">
                  <c:v>95.427799999999991</c:v>
                </c:pt>
                <c:pt idx="358">
                  <c:v>95.444449999999989</c:v>
                </c:pt>
                <c:pt idx="359">
                  <c:v>95.409199999999998</c:v>
                </c:pt>
                <c:pt idx="360">
                  <c:v>95.391719999999992</c:v>
                </c:pt>
                <c:pt idx="361">
                  <c:v>95.439229999999995</c:v>
                </c:pt>
                <c:pt idx="362">
                  <c:v>95.44001999999999</c:v>
                </c:pt>
                <c:pt idx="363">
                  <c:v>95.261979999999994</c:v>
                </c:pt>
                <c:pt idx="364">
                  <c:v>95.278390000000002</c:v>
                </c:pt>
                <c:pt idx="365">
                  <c:v>95.285289999999989</c:v>
                </c:pt>
                <c:pt idx="366">
                  <c:v>95.32795999999999</c:v>
                </c:pt>
                <c:pt idx="367">
                  <c:v>95.21047999999999</c:v>
                </c:pt>
                <c:pt idx="368">
                  <c:v>95.337479999999999</c:v>
                </c:pt>
                <c:pt idx="369">
                  <c:v>95.436149999999998</c:v>
                </c:pt>
                <c:pt idx="370">
                  <c:v>95.343279999999993</c:v>
                </c:pt>
                <c:pt idx="371">
                  <c:v>95.378599999999992</c:v>
                </c:pt>
                <c:pt idx="372">
                  <c:v>95.197569999999999</c:v>
                </c:pt>
                <c:pt idx="373">
                  <c:v>95.258799999999994</c:v>
                </c:pt>
                <c:pt idx="374">
                  <c:v>95.278009999999995</c:v>
                </c:pt>
                <c:pt idx="375">
                  <c:v>95.204650000000001</c:v>
                </c:pt>
                <c:pt idx="376">
                  <c:v>95.12124</c:v>
                </c:pt>
                <c:pt idx="377">
                  <c:v>95.242249999999999</c:v>
                </c:pt>
                <c:pt idx="378">
                  <c:v>95.127169999999992</c:v>
                </c:pt>
                <c:pt idx="379">
                  <c:v>95.139129999999994</c:v>
                </c:pt>
                <c:pt idx="380">
                  <c:v>95.17577</c:v>
                </c:pt>
                <c:pt idx="381">
                  <c:v>95.146090000000001</c:v>
                </c:pt>
                <c:pt idx="382">
                  <c:v>95.11627</c:v>
                </c:pt>
                <c:pt idx="383">
                  <c:v>95.126989999999992</c:v>
                </c:pt>
                <c:pt idx="384">
                  <c:v>95.031849999999991</c:v>
                </c:pt>
                <c:pt idx="385">
                  <c:v>95.096289999999996</c:v>
                </c:pt>
                <c:pt idx="386">
                  <c:v>95.06143999999999</c:v>
                </c:pt>
                <c:pt idx="387">
                  <c:v>95.040109999999999</c:v>
                </c:pt>
                <c:pt idx="388">
                  <c:v>95.146829999999994</c:v>
                </c:pt>
                <c:pt idx="389">
                  <c:v>95.000309999999999</c:v>
                </c:pt>
                <c:pt idx="390">
                  <c:v>95.072669999999988</c:v>
                </c:pt>
                <c:pt idx="391">
                  <c:v>95.092489999999998</c:v>
                </c:pt>
                <c:pt idx="392">
                  <c:v>94.983319999999992</c:v>
                </c:pt>
                <c:pt idx="393">
                  <c:v>95.01733999999999</c:v>
                </c:pt>
                <c:pt idx="394">
                  <c:v>94.879779999999997</c:v>
                </c:pt>
                <c:pt idx="395">
                  <c:v>94.999319999999997</c:v>
                </c:pt>
                <c:pt idx="396">
                  <c:v>94.91167999999999</c:v>
                </c:pt>
                <c:pt idx="397">
                  <c:v>94.918169999999989</c:v>
                </c:pt>
                <c:pt idx="398">
                  <c:v>95.05064999999999</c:v>
                </c:pt>
                <c:pt idx="399">
                  <c:v>94.95989999999999</c:v>
                </c:pt>
                <c:pt idx="400">
                  <c:v>94.988219999999998</c:v>
                </c:pt>
                <c:pt idx="401">
                  <c:v>94.954369999999997</c:v>
                </c:pt>
                <c:pt idx="402">
                  <c:v>94.957539999999995</c:v>
                </c:pt>
                <c:pt idx="403">
                  <c:v>94.923400000000001</c:v>
                </c:pt>
                <c:pt idx="404">
                  <c:v>94.776319999999998</c:v>
                </c:pt>
                <c:pt idx="405">
                  <c:v>94.874439999999993</c:v>
                </c:pt>
                <c:pt idx="406">
                  <c:v>95.00179</c:v>
                </c:pt>
                <c:pt idx="407">
                  <c:v>94.709309999999988</c:v>
                </c:pt>
                <c:pt idx="408">
                  <c:v>94.859819999999999</c:v>
                </c:pt>
                <c:pt idx="409">
                  <c:v>94.792619999999999</c:v>
                </c:pt>
                <c:pt idx="410">
                  <c:v>94.874449999999996</c:v>
                </c:pt>
                <c:pt idx="411">
                  <c:v>94.770349999999993</c:v>
                </c:pt>
                <c:pt idx="412">
                  <c:v>94.91391999999999</c:v>
                </c:pt>
                <c:pt idx="413">
                  <c:v>94.621290000000002</c:v>
                </c:pt>
                <c:pt idx="414">
                  <c:v>94.780249999999995</c:v>
                </c:pt>
                <c:pt idx="415">
                  <c:v>94.6952</c:v>
                </c:pt>
                <c:pt idx="416">
                  <c:v>94.80149999999999</c:v>
                </c:pt>
                <c:pt idx="417">
                  <c:v>94.643609999999995</c:v>
                </c:pt>
                <c:pt idx="418">
                  <c:v>94.758889999999994</c:v>
                </c:pt>
                <c:pt idx="419">
                  <c:v>94.540239999999997</c:v>
                </c:pt>
                <c:pt idx="420">
                  <c:v>94.696839999999995</c:v>
                </c:pt>
                <c:pt idx="421">
                  <c:v>94.68835</c:v>
                </c:pt>
                <c:pt idx="422">
                  <c:v>94.647289999999998</c:v>
                </c:pt>
                <c:pt idx="423">
                  <c:v>94.574370000000002</c:v>
                </c:pt>
                <c:pt idx="424">
                  <c:v>94.536909999999992</c:v>
                </c:pt>
                <c:pt idx="425">
                  <c:v>94.556449999999998</c:v>
                </c:pt>
                <c:pt idx="426">
                  <c:v>94.629729999999995</c:v>
                </c:pt>
                <c:pt idx="427">
                  <c:v>94.536409999999989</c:v>
                </c:pt>
                <c:pt idx="428">
                  <c:v>94.50269999999999</c:v>
                </c:pt>
                <c:pt idx="429">
                  <c:v>94.606960000000001</c:v>
                </c:pt>
                <c:pt idx="430">
                  <c:v>94.623260000000002</c:v>
                </c:pt>
                <c:pt idx="431">
                  <c:v>94.530929999999998</c:v>
                </c:pt>
                <c:pt idx="432">
                  <c:v>94.509839999999997</c:v>
                </c:pt>
                <c:pt idx="433">
                  <c:v>94.521339999999995</c:v>
                </c:pt>
                <c:pt idx="434">
                  <c:v>94.478269999999995</c:v>
                </c:pt>
                <c:pt idx="435">
                  <c:v>94.57486999999999</c:v>
                </c:pt>
                <c:pt idx="436">
                  <c:v>94.50112</c:v>
                </c:pt>
                <c:pt idx="437">
                  <c:v>94.43168</c:v>
                </c:pt>
                <c:pt idx="438">
                  <c:v>94.480629999999991</c:v>
                </c:pt>
                <c:pt idx="439">
                  <c:v>94.490979999999993</c:v>
                </c:pt>
                <c:pt idx="440">
                  <c:v>94.479109999999991</c:v>
                </c:pt>
                <c:pt idx="441">
                  <c:v>94.401179999999997</c:v>
                </c:pt>
                <c:pt idx="442">
                  <c:v>94.417349999999999</c:v>
                </c:pt>
                <c:pt idx="443">
                  <c:v>94.423869999999994</c:v>
                </c:pt>
                <c:pt idx="444">
                  <c:v>94.360320000000002</c:v>
                </c:pt>
                <c:pt idx="445">
                  <c:v>94.424039999999991</c:v>
                </c:pt>
                <c:pt idx="446">
                  <c:v>94.360759999999999</c:v>
                </c:pt>
                <c:pt idx="447">
                  <c:v>94.434069999999991</c:v>
                </c:pt>
                <c:pt idx="448">
                  <c:v>94.289670000000001</c:v>
                </c:pt>
                <c:pt idx="449">
                  <c:v>94.415229999999994</c:v>
                </c:pt>
                <c:pt idx="450">
                  <c:v>94.195539999999994</c:v>
                </c:pt>
                <c:pt idx="451">
                  <c:v>94.325579999999988</c:v>
                </c:pt>
                <c:pt idx="452">
                  <c:v>94.208979999999997</c:v>
                </c:pt>
                <c:pt idx="453">
                  <c:v>94.309309999999996</c:v>
                </c:pt>
                <c:pt idx="454">
                  <c:v>94.272409999999994</c:v>
                </c:pt>
                <c:pt idx="455">
                  <c:v>94.282789999999991</c:v>
                </c:pt>
                <c:pt idx="456">
                  <c:v>94.207579999999993</c:v>
                </c:pt>
                <c:pt idx="457">
                  <c:v>94.202100000000002</c:v>
                </c:pt>
                <c:pt idx="458">
                  <c:v>94.211639999999989</c:v>
                </c:pt>
                <c:pt idx="459">
                  <c:v>94.14497999999999</c:v>
                </c:pt>
                <c:pt idx="460">
                  <c:v>94.180119999999988</c:v>
                </c:pt>
                <c:pt idx="461">
                  <c:v>94.213009999999997</c:v>
                </c:pt>
                <c:pt idx="462">
                  <c:v>94.086369999999988</c:v>
                </c:pt>
                <c:pt idx="463">
                  <c:v>94.126309999999989</c:v>
                </c:pt>
                <c:pt idx="464">
                  <c:v>94.191040000000001</c:v>
                </c:pt>
                <c:pt idx="465">
                  <c:v>94.114359999999991</c:v>
                </c:pt>
                <c:pt idx="466">
                  <c:v>94.12115</c:v>
                </c:pt>
                <c:pt idx="467">
                  <c:v>94.019349999999989</c:v>
                </c:pt>
                <c:pt idx="468">
                  <c:v>94.132639999999995</c:v>
                </c:pt>
                <c:pt idx="469">
                  <c:v>94.137900000000002</c:v>
                </c:pt>
                <c:pt idx="470">
                  <c:v>94.173119999999997</c:v>
                </c:pt>
                <c:pt idx="471">
                  <c:v>94.01343</c:v>
                </c:pt>
                <c:pt idx="472">
                  <c:v>94.035979999999995</c:v>
                </c:pt>
                <c:pt idx="473">
                  <c:v>94.101639999999989</c:v>
                </c:pt>
                <c:pt idx="474">
                  <c:v>93.913379999999989</c:v>
                </c:pt>
                <c:pt idx="475">
                  <c:v>93.991859999999988</c:v>
                </c:pt>
                <c:pt idx="476">
                  <c:v>93.966279999999998</c:v>
                </c:pt>
                <c:pt idx="477">
                  <c:v>94.021329999999992</c:v>
                </c:pt>
                <c:pt idx="478">
                  <c:v>93.982889999999998</c:v>
                </c:pt>
                <c:pt idx="479">
                  <c:v>94.05077</c:v>
                </c:pt>
                <c:pt idx="480">
                  <c:v>93.975819999999999</c:v>
                </c:pt>
                <c:pt idx="481">
                  <c:v>93.960119999999989</c:v>
                </c:pt>
                <c:pt idx="482">
                  <c:v>93.941339999999997</c:v>
                </c:pt>
                <c:pt idx="483">
                  <c:v>93.956429999999997</c:v>
                </c:pt>
                <c:pt idx="484">
                  <c:v>93.997450000000001</c:v>
                </c:pt>
                <c:pt idx="485">
                  <c:v>93.884959999999992</c:v>
                </c:pt>
                <c:pt idx="486">
                  <c:v>93.988829999999993</c:v>
                </c:pt>
                <c:pt idx="487">
                  <c:v>93.820399999999992</c:v>
                </c:pt>
                <c:pt idx="488">
                  <c:v>93.839010000000002</c:v>
                </c:pt>
                <c:pt idx="489">
                  <c:v>93.809640000000002</c:v>
                </c:pt>
                <c:pt idx="490">
                  <c:v>93.815849999999998</c:v>
                </c:pt>
                <c:pt idx="491">
                  <c:v>93.874799999999993</c:v>
                </c:pt>
                <c:pt idx="492">
                  <c:v>93.789279999999991</c:v>
                </c:pt>
                <c:pt idx="493">
                  <c:v>93.833299999999994</c:v>
                </c:pt>
                <c:pt idx="494">
                  <c:v>93.82692999999999</c:v>
                </c:pt>
                <c:pt idx="495">
                  <c:v>93.867979999999989</c:v>
                </c:pt>
                <c:pt idx="496">
                  <c:v>93.829609999999988</c:v>
                </c:pt>
                <c:pt idx="497">
                  <c:v>93.885249999999999</c:v>
                </c:pt>
                <c:pt idx="498">
                  <c:v>93.829740000000001</c:v>
                </c:pt>
                <c:pt idx="499">
                  <c:v>93.675809999999998</c:v>
                </c:pt>
                <c:pt idx="500">
                  <c:v>93.73151</c:v>
                </c:pt>
                <c:pt idx="501">
                  <c:v>93.687730000000002</c:v>
                </c:pt>
                <c:pt idx="502">
                  <c:v>93.626559999999998</c:v>
                </c:pt>
                <c:pt idx="503">
                  <c:v>93.694019999999995</c:v>
                </c:pt>
                <c:pt idx="504">
                  <c:v>93.688629999999989</c:v>
                </c:pt>
                <c:pt idx="505">
                  <c:v>93.576629999999994</c:v>
                </c:pt>
                <c:pt idx="506">
                  <c:v>93.742829999999998</c:v>
                </c:pt>
                <c:pt idx="507">
                  <c:v>93.626179999999991</c:v>
                </c:pt>
                <c:pt idx="508">
                  <c:v>93.700509999999994</c:v>
                </c:pt>
                <c:pt idx="509">
                  <c:v>93.598799999999997</c:v>
                </c:pt>
                <c:pt idx="510">
                  <c:v>93.615169999999992</c:v>
                </c:pt>
                <c:pt idx="511">
                  <c:v>93.559359999999998</c:v>
                </c:pt>
                <c:pt idx="512">
                  <c:v>93.78385999999999</c:v>
                </c:pt>
                <c:pt idx="513">
                  <c:v>93.537210000000002</c:v>
                </c:pt>
                <c:pt idx="514">
                  <c:v>93.607459999999989</c:v>
                </c:pt>
                <c:pt idx="515">
                  <c:v>93.509609999999995</c:v>
                </c:pt>
                <c:pt idx="516">
                  <c:v>93.476339999999993</c:v>
                </c:pt>
                <c:pt idx="517">
                  <c:v>93.533549999999991</c:v>
                </c:pt>
                <c:pt idx="518">
                  <c:v>93.497889999999998</c:v>
                </c:pt>
                <c:pt idx="519">
                  <c:v>93.563009999999991</c:v>
                </c:pt>
                <c:pt idx="520">
                  <c:v>93.494859999999989</c:v>
                </c:pt>
                <c:pt idx="521">
                  <c:v>93.533389999999997</c:v>
                </c:pt>
                <c:pt idx="522">
                  <c:v>93.524469999999994</c:v>
                </c:pt>
                <c:pt idx="523">
                  <c:v>93.455749999999995</c:v>
                </c:pt>
                <c:pt idx="524">
                  <c:v>93.412649999999999</c:v>
                </c:pt>
                <c:pt idx="525">
                  <c:v>93.438109999999995</c:v>
                </c:pt>
                <c:pt idx="526">
                  <c:v>93.393599999999992</c:v>
                </c:pt>
                <c:pt idx="527">
                  <c:v>93.452709999999996</c:v>
                </c:pt>
                <c:pt idx="528">
                  <c:v>93.399079999999998</c:v>
                </c:pt>
                <c:pt idx="529">
                  <c:v>93.403949999999995</c:v>
                </c:pt>
                <c:pt idx="530">
                  <c:v>93.344699999999989</c:v>
                </c:pt>
                <c:pt idx="531">
                  <c:v>93.343649999999997</c:v>
                </c:pt>
                <c:pt idx="532">
                  <c:v>93.460219999999993</c:v>
                </c:pt>
                <c:pt idx="533">
                  <c:v>93.248039999999989</c:v>
                </c:pt>
                <c:pt idx="534">
                  <c:v>93.313490000000002</c:v>
                </c:pt>
                <c:pt idx="535">
                  <c:v>93.313429999999997</c:v>
                </c:pt>
                <c:pt idx="536">
                  <c:v>93.277239999999992</c:v>
                </c:pt>
                <c:pt idx="537">
                  <c:v>93.270929999999993</c:v>
                </c:pt>
                <c:pt idx="538">
                  <c:v>93.156469999999999</c:v>
                </c:pt>
                <c:pt idx="539">
                  <c:v>93.209119999999999</c:v>
                </c:pt>
                <c:pt idx="540">
                  <c:v>93.235969999999995</c:v>
                </c:pt>
                <c:pt idx="541">
                  <c:v>93.167369999999991</c:v>
                </c:pt>
                <c:pt idx="542">
                  <c:v>93.210789999999989</c:v>
                </c:pt>
                <c:pt idx="543">
                  <c:v>93.24857999999999</c:v>
                </c:pt>
                <c:pt idx="544">
                  <c:v>93.286549999999991</c:v>
                </c:pt>
                <c:pt idx="545">
                  <c:v>93.299109999999999</c:v>
                </c:pt>
                <c:pt idx="546">
                  <c:v>93.146969999999996</c:v>
                </c:pt>
                <c:pt idx="547">
                  <c:v>93.248979999999989</c:v>
                </c:pt>
                <c:pt idx="548">
                  <c:v>93.178399999999996</c:v>
                </c:pt>
                <c:pt idx="549">
                  <c:v>93.186879999999988</c:v>
                </c:pt>
                <c:pt idx="550">
                  <c:v>93.208159999999992</c:v>
                </c:pt>
                <c:pt idx="551">
                  <c:v>93.12818</c:v>
                </c:pt>
                <c:pt idx="552">
                  <c:v>93.36985</c:v>
                </c:pt>
                <c:pt idx="553">
                  <c:v>93.171099999999996</c:v>
                </c:pt>
                <c:pt idx="554">
                  <c:v>93.101979999999998</c:v>
                </c:pt>
                <c:pt idx="555">
                  <c:v>93.095079999999996</c:v>
                </c:pt>
                <c:pt idx="556">
                  <c:v>93.033919999999995</c:v>
                </c:pt>
                <c:pt idx="557">
                  <c:v>93.104089999999999</c:v>
                </c:pt>
                <c:pt idx="558">
                  <c:v>93.049379999999999</c:v>
                </c:pt>
                <c:pt idx="559">
                  <c:v>93.055389999999989</c:v>
                </c:pt>
                <c:pt idx="560">
                  <c:v>92.973410000000001</c:v>
                </c:pt>
                <c:pt idx="561">
                  <c:v>92.913959999999989</c:v>
                </c:pt>
                <c:pt idx="562">
                  <c:v>93.012429999999995</c:v>
                </c:pt>
                <c:pt idx="563">
                  <c:v>93.058700000000002</c:v>
                </c:pt>
                <c:pt idx="564">
                  <c:v>92.911389999999997</c:v>
                </c:pt>
                <c:pt idx="565">
                  <c:v>92.909179999999992</c:v>
                </c:pt>
                <c:pt idx="566">
                  <c:v>92.887049999999988</c:v>
                </c:pt>
                <c:pt idx="567">
                  <c:v>92.996960000000001</c:v>
                </c:pt>
                <c:pt idx="568">
                  <c:v>92.890949999999989</c:v>
                </c:pt>
                <c:pt idx="569">
                  <c:v>92.82213999999999</c:v>
                </c:pt>
                <c:pt idx="570">
                  <c:v>92.94404999999999</c:v>
                </c:pt>
                <c:pt idx="571">
                  <c:v>92.913730000000001</c:v>
                </c:pt>
                <c:pt idx="572">
                  <c:v>93.00085</c:v>
                </c:pt>
                <c:pt idx="573">
                  <c:v>92.869019999999992</c:v>
                </c:pt>
                <c:pt idx="574">
                  <c:v>92.862309999999994</c:v>
                </c:pt>
                <c:pt idx="575">
                  <c:v>92.960929999999991</c:v>
                </c:pt>
                <c:pt idx="576">
                  <c:v>92.880229999999997</c:v>
                </c:pt>
                <c:pt idx="577">
                  <c:v>92.820679999999996</c:v>
                </c:pt>
                <c:pt idx="578">
                  <c:v>92.87827999999999</c:v>
                </c:pt>
                <c:pt idx="579">
                  <c:v>92.820909999999998</c:v>
                </c:pt>
                <c:pt idx="580">
                  <c:v>92.870189999999994</c:v>
                </c:pt>
                <c:pt idx="581">
                  <c:v>92.766239999999996</c:v>
                </c:pt>
                <c:pt idx="582">
                  <c:v>92.889289999999988</c:v>
                </c:pt>
                <c:pt idx="583">
                  <c:v>92.771409999999989</c:v>
                </c:pt>
                <c:pt idx="584">
                  <c:v>92.843969999999999</c:v>
                </c:pt>
                <c:pt idx="585">
                  <c:v>92.899199999999993</c:v>
                </c:pt>
                <c:pt idx="586">
                  <c:v>92.64555</c:v>
                </c:pt>
                <c:pt idx="587">
                  <c:v>92.753409999999988</c:v>
                </c:pt>
                <c:pt idx="588">
                  <c:v>92.723929999999996</c:v>
                </c:pt>
                <c:pt idx="589">
                  <c:v>92.69435</c:v>
                </c:pt>
                <c:pt idx="590">
                  <c:v>92.72202999999999</c:v>
                </c:pt>
                <c:pt idx="591">
                  <c:v>92.682509999999994</c:v>
                </c:pt>
                <c:pt idx="592">
                  <c:v>92.71208</c:v>
                </c:pt>
                <c:pt idx="593">
                  <c:v>92.713429999999988</c:v>
                </c:pt>
                <c:pt idx="594">
                  <c:v>92.672789999999992</c:v>
                </c:pt>
                <c:pt idx="595">
                  <c:v>92.697429999999997</c:v>
                </c:pt>
                <c:pt idx="596">
                  <c:v>92.602149999999995</c:v>
                </c:pt>
                <c:pt idx="597">
                  <c:v>92.651089999999996</c:v>
                </c:pt>
                <c:pt idx="598">
                  <c:v>92.703489999999988</c:v>
                </c:pt>
                <c:pt idx="599">
                  <c:v>92.570449999999994</c:v>
                </c:pt>
                <c:pt idx="600">
                  <c:v>92.673509999999993</c:v>
                </c:pt>
                <c:pt idx="601">
                  <c:v>92.556999999999988</c:v>
                </c:pt>
                <c:pt idx="602">
                  <c:v>92.551310000000001</c:v>
                </c:pt>
                <c:pt idx="603">
                  <c:v>92.567229999999995</c:v>
                </c:pt>
                <c:pt idx="604">
                  <c:v>92.511669999999995</c:v>
                </c:pt>
                <c:pt idx="605">
                  <c:v>92.603269999999995</c:v>
                </c:pt>
                <c:pt idx="606">
                  <c:v>92.490349999999992</c:v>
                </c:pt>
                <c:pt idx="607">
                  <c:v>92.529839999999993</c:v>
                </c:pt>
                <c:pt idx="608">
                  <c:v>92.45850999999999</c:v>
                </c:pt>
                <c:pt idx="609">
                  <c:v>92.509379999999993</c:v>
                </c:pt>
                <c:pt idx="610">
                  <c:v>92.52597999999999</c:v>
                </c:pt>
                <c:pt idx="611">
                  <c:v>92.583579999999998</c:v>
                </c:pt>
                <c:pt idx="612">
                  <c:v>92.503069999999994</c:v>
                </c:pt>
                <c:pt idx="613">
                  <c:v>92.544370000000001</c:v>
                </c:pt>
                <c:pt idx="614">
                  <c:v>92.488679999999988</c:v>
                </c:pt>
                <c:pt idx="615">
                  <c:v>92.520179999999996</c:v>
                </c:pt>
                <c:pt idx="616">
                  <c:v>92.433719999999994</c:v>
                </c:pt>
                <c:pt idx="617">
                  <c:v>92.452280000000002</c:v>
                </c:pt>
                <c:pt idx="618">
                  <c:v>92.331440000000001</c:v>
                </c:pt>
                <c:pt idx="619">
                  <c:v>92.310019999999994</c:v>
                </c:pt>
                <c:pt idx="620">
                  <c:v>92.397379999999998</c:v>
                </c:pt>
                <c:pt idx="621">
                  <c:v>92.404619999999994</c:v>
                </c:pt>
                <c:pt idx="622">
                  <c:v>92.290899999999993</c:v>
                </c:pt>
                <c:pt idx="623">
                  <c:v>92.32508</c:v>
                </c:pt>
                <c:pt idx="624">
                  <c:v>92.343589999999992</c:v>
                </c:pt>
                <c:pt idx="625">
                  <c:v>92.294029999999992</c:v>
                </c:pt>
                <c:pt idx="626">
                  <c:v>92.322199999999995</c:v>
                </c:pt>
                <c:pt idx="627">
                  <c:v>92.198070000000001</c:v>
                </c:pt>
                <c:pt idx="628">
                  <c:v>92.350619999999992</c:v>
                </c:pt>
                <c:pt idx="629">
                  <c:v>92.376069999999999</c:v>
                </c:pt>
                <c:pt idx="630">
                  <c:v>92.314700000000002</c:v>
                </c:pt>
                <c:pt idx="631">
                  <c:v>92.237449999999995</c:v>
                </c:pt>
                <c:pt idx="632">
                  <c:v>92.23178999999999</c:v>
                </c:pt>
                <c:pt idx="633">
                  <c:v>92.215609999999998</c:v>
                </c:pt>
                <c:pt idx="634">
                  <c:v>92.269139999999993</c:v>
                </c:pt>
                <c:pt idx="635">
                  <c:v>92.228549999999998</c:v>
                </c:pt>
                <c:pt idx="636">
                  <c:v>92.301549999999992</c:v>
                </c:pt>
                <c:pt idx="637">
                  <c:v>92.149999999999991</c:v>
                </c:pt>
                <c:pt idx="638">
                  <c:v>92.25009</c:v>
                </c:pt>
                <c:pt idx="639">
                  <c:v>92.195479999999989</c:v>
                </c:pt>
                <c:pt idx="640">
                  <c:v>92.166150000000002</c:v>
                </c:pt>
                <c:pt idx="641">
                  <c:v>92.248129999999989</c:v>
                </c:pt>
                <c:pt idx="642">
                  <c:v>92.194829999999996</c:v>
                </c:pt>
                <c:pt idx="643">
                  <c:v>92.035669999999996</c:v>
                </c:pt>
                <c:pt idx="644">
                  <c:v>91.964410000000001</c:v>
                </c:pt>
                <c:pt idx="645">
                  <c:v>92.060419999999993</c:v>
                </c:pt>
                <c:pt idx="646">
                  <c:v>92.131889999999999</c:v>
                </c:pt>
                <c:pt idx="647">
                  <c:v>92.067819999999998</c:v>
                </c:pt>
                <c:pt idx="648">
                  <c:v>92.052610000000001</c:v>
                </c:pt>
                <c:pt idx="649">
                  <c:v>91.961439999999996</c:v>
                </c:pt>
                <c:pt idx="650">
                  <c:v>92.077259999999995</c:v>
                </c:pt>
                <c:pt idx="651">
                  <c:v>92.117049999999992</c:v>
                </c:pt>
                <c:pt idx="652">
                  <c:v>91.977229999999992</c:v>
                </c:pt>
                <c:pt idx="653">
                  <c:v>92.055199999999999</c:v>
                </c:pt>
                <c:pt idx="654">
                  <c:v>91.94583999999999</c:v>
                </c:pt>
                <c:pt idx="655">
                  <c:v>91.969169999999991</c:v>
                </c:pt>
                <c:pt idx="656">
                  <c:v>92.033349999999999</c:v>
                </c:pt>
                <c:pt idx="657">
                  <c:v>92.0214</c:v>
                </c:pt>
                <c:pt idx="658">
                  <c:v>91.954939999999993</c:v>
                </c:pt>
                <c:pt idx="659">
                  <c:v>92.001819999999995</c:v>
                </c:pt>
                <c:pt idx="660">
                  <c:v>92.019089999999991</c:v>
                </c:pt>
                <c:pt idx="661">
                  <c:v>91.812479999999994</c:v>
                </c:pt>
                <c:pt idx="662">
                  <c:v>91.828310000000002</c:v>
                </c:pt>
                <c:pt idx="663">
                  <c:v>91.969560000000001</c:v>
                </c:pt>
                <c:pt idx="664">
                  <c:v>91.805329999999998</c:v>
                </c:pt>
                <c:pt idx="665">
                  <c:v>91.919359999999998</c:v>
                </c:pt>
                <c:pt idx="666">
                  <c:v>91.777419999999992</c:v>
                </c:pt>
                <c:pt idx="667">
                  <c:v>91.764889999999994</c:v>
                </c:pt>
                <c:pt idx="668">
                  <c:v>91.810299999999998</c:v>
                </c:pt>
                <c:pt idx="669">
                  <c:v>91.742149999999995</c:v>
                </c:pt>
                <c:pt idx="670">
                  <c:v>91.79777</c:v>
                </c:pt>
                <c:pt idx="671">
                  <c:v>91.869499999999988</c:v>
                </c:pt>
                <c:pt idx="672">
                  <c:v>91.91494999999999</c:v>
                </c:pt>
                <c:pt idx="673">
                  <c:v>91.834649999999996</c:v>
                </c:pt>
                <c:pt idx="674">
                  <c:v>91.775089999999992</c:v>
                </c:pt>
                <c:pt idx="675">
                  <c:v>91.780809999999988</c:v>
                </c:pt>
                <c:pt idx="676">
                  <c:v>91.887829999999994</c:v>
                </c:pt>
                <c:pt idx="677">
                  <c:v>91.71087</c:v>
                </c:pt>
                <c:pt idx="678">
                  <c:v>91.750050000000002</c:v>
                </c:pt>
                <c:pt idx="679">
                  <c:v>91.56841</c:v>
                </c:pt>
                <c:pt idx="680">
                  <c:v>91.687659999999994</c:v>
                </c:pt>
                <c:pt idx="681">
                  <c:v>91.701369999999997</c:v>
                </c:pt>
                <c:pt idx="682">
                  <c:v>91.602639999999994</c:v>
                </c:pt>
                <c:pt idx="683">
                  <c:v>91.72954</c:v>
                </c:pt>
                <c:pt idx="684">
                  <c:v>91.676189999999991</c:v>
                </c:pt>
                <c:pt idx="685">
                  <c:v>91.686389999999989</c:v>
                </c:pt>
                <c:pt idx="686">
                  <c:v>91.668449999999993</c:v>
                </c:pt>
                <c:pt idx="687">
                  <c:v>91.612470000000002</c:v>
                </c:pt>
                <c:pt idx="688">
                  <c:v>91.567889999999991</c:v>
                </c:pt>
                <c:pt idx="689">
                  <c:v>91.555979999999991</c:v>
                </c:pt>
                <c:pt idx="690">
                  <c:v>91.567049999999995</c:v>
                </c:pt>
                <c:pt idx="691">
                  <c:v>91.665989999999994</c:v>
                </c:pt>
                <c:pt idx="692">
                  <c:v>91.704129999999992</c:v>
                </c:pt>
                <c:pt idx="693">
                  <c:v>91.688379999999995</c:v>
                </c:pt>
                <c:pt idx="694">
                  <c:v>91.524529999999999</c:v>
                </c:pt>
                <c:pt idx="695">
                  <c:v>91.634699999999995</c:v>
                </c:pt>
                <c:pt idx="696">
                  <c:v>91.495039999999989</c:v>
                </c:pt>
                <c:pt idx="697">
                  <c:v>91.61466999999999</c:v>
                </c:pt>
                <c:pt idx="698">
                  <c:v>91.57692999999999</c:v>
                </c:pt>
                <c:pt idx="699">
                  <c:v>91.610859999999988</c:v>
                </c:pt>
                <c:pt idx="700">
                  <c:v>91.5732</c:v>
                </c:pt>
                <c:pt idx="701">
                  <c:v>91.478829999999988</c:v>
                </c:pt>
                <c:pt idx="702">
                  <c:v>91.506739999999994</c:v>
                </c:pt>
                <c:pt idx="703">
                  <c:v>91.386089999999996</c:v>
                </c:pt>
                <c:pt idx="704">
                  <c:v>91.513279999999995</c:v>
                </c:pt>
                <c:pt idx="705">
                  <c:v>91.430769999999995</c:v>
                </c:pt>
                <c:pt idx="706">
                  <c:v>91.454599999999999</c:v>
                </c:pt>
                <c:pt idx="707">
                  <c:v>91.520659999999992</c:v>
                </c:pt>
                <c:pt idx="708">
                  <c:v>91.380989999999997</c:v>
                </c:pt>
                <c:pt idx="709">
                  <c:v>91.286000000000001</c:v>
                </c:pt>
                <c:pt idx="710">
                  <c:v>91.398399999999995</c:v>
                </c:pt>
                <c:pt idx="711">
                  <c:v>91.344560000000001</c:v>
                </c:pt>
                <c:pt idx="712">
                  <c:v>91.352099999999993</c:v>
                </c:pt>
                <c:pt idx="713">
                  <c:v>91.409669999999991</c:v>
                </c:pt>
                <c:pt idx="714">
                  <c:v>91.387619999999998</c:v>
                </c:pt>
                <c:pt idx="715">
                  <c:v>91.24866999999999</c:v>
                </c:pt>
                <c:pt idx="716">
                  <c:v>91.311389999999989</c:v>
                </c:pt>
                <c:pt idx="717">
                  <c:v>91.424889999999991</c:v>
                </c:pt>
                <c:pt idx="718">
                  <c:v>91.324239999999989</c:v>
                </c:pt>
                <c:pt idx="719">
                  <c:v>91.350639999999999</c:v>
                </c:pt>
                <c:pt idx="720">
                  <c:v>91.252589999999998</c:v>
                </c:pt>
                <c:pt idx="721">
                  <c:v>91.354729999999989</c:v>
                </c:pt>
                <c:pt idx="722">
                  <c:v>91.34420999999999</c:v>
                </c:pt>
                <c:pt idx="723">
                  <c:v>91.278359999999992</c:v>
                </c:pt>
                <c:pt idx="724">
                  <c:v>91.31716999999999</c:v>
                </c:pt>
                <c:pt idx="725">
                  <c:v>91.281099999999995</c:v>
                </c:pt>
                <c:pt idx="726">
                  <c:v>91.304469999999995</c:v>
                </c:pt>
                <c:pt idx="727">
                  <c:v>91.205619999999996</c:v>
                </c:pt>
                <c:pt idx="728">
                  <c:v>91.260639999999995</c:v>
                </c:pt>
                <c:pt idx="729">
                  <c:v>91.033809999999988</c:v>
                </c:pt>
                <c:pt idx="730">
                  <c:v>91.144449999999992</c:v>
                </c:pt>
                <c:pt idx="731">
                  <c:v>91.176509999999993</c:v>
                </c:pt>
                <c:pt idx="732">
                  <c:v>91.159689999999998</c:v>
                </c:pt>
                <c:pt idx="733">
                  <c:v>91.14403999999999</c:v>
                </c:pt>
                <c:pt idx="734">
                  <c:v>91.089349999999996</c:v>
                </c:pt>
                <c:pt idx="735">
                  <c:v>91.187059999999988</c:v>
                </c:pt>
                <c:pt idx="736">
                  <c:v>91.17277</c:v>
                </c:pt>
                <c:pt idx="737">
                  <c:v>91.185130000000001</c:v>
                </c:pt>
                <c:pt idx="738">
                  <c:v>91.143069999999994</c:v>
                </c:pt>
                <c:pt idx="739">
                  <c:v>91.067119999999989</c:v>
                </c:pt>
                <c:pt idx="740">
                  <c:v>91.152360000000002</c:v>
                </c:pt>
                <c:pt idx="741">
                  <c:v>91.071659999999994</c:v>
                </c:pt>
                <c:pt idx="742">
                  <c:v>91.134799999999998</c:v>
                </c:pt>
                <c:pt idx="743">
                  <c:v>91.01549</c:v>
                </c:pt>
                <c:pt idx="744">
                  <c:v>91.11793999999999</c:v>
                </c:pt>
                <c:pt idx="745">
                  <c:v>91.08883999999999</c:v>
                </c:pt>
                <c:pt idx="746">
                  <c:v>91.04365</c:v>
                </c:pt>
                <c:pt idx="747">
                  <c:v>90.96647999999999</c:v>
                </c:pt>
                <c:pt idx="748">
                  <c:v>90.911760000000001</c:v>
                </c:pt>
                <c:pt idx="749">
                  <c:v>91.02834</c:v>
                </c:pt>
                <c:pt idx="750">
                  <c:v>91.020879999999991</c:v>
                </c:pt>
                <c:pt idx="751">
                  <c:v>90.875029999999995</c:v>
                </c:pt>
                <c:pt idx="752">
                  <c:v>90.940329999999989</c:v>
                </c:pt>
                <c:pt idx="753">
                  <c:v>90.920729999999992</c:v>
                </c:pt>
                <c:pt idx="754">
                  <c:v>91.144259999999989</c:v>
                </c:pt>
                <c:pt idx="755">
                  <c:v>90.912049999999994</c:v>
                </c:pt>
                <c:pt idx="756">
                  <c:v>90.845879999999994</c:v>
                </c:pt>
                <c:pt idx="757">
                  <c:v>90.987349999999992</c:v>
                </c:pt>
                <c:pt idx="758">
                  <c:v>90.84554</c:v>
                </c:pt>
                <c:pt idx="759">
                  <c:v>90.959440000000001</c:v>
                </c:pt>
                <c:pt idx="760">
                  <c:v>90.980629999999991</c:v>
                </c:pt>
                <c:pt idx="761">
                  <c:v>90.798779999999994</c:v>
                </c:pt>
                <c:pt idx="762">
                  <c:v>90.873919999999998</c:v>
                </c:pt>
                <c:pt idx="763">
                  <c:v>90.892859999999999</c:v>
                </c:pt>
                <c:pt idx="764">
                  <c:v>90.764259999999993</c:v>
                </c:pt>
                <c:pt idx="765">
                  <c:v>90.837049999999991</c:v>
                </c:pt>
                <c:pt idx="766">
                  <c:v>90.823499999999996</c:v>
                </c:pt>
                <c:pt idx="767">
                  <c:v>90.80346999999999</c:v>
                </c:pt>
                <c:pt idx="768">
                  <c:v>90.655090000000001</c:v>
                </c:pt>
                <c:pt idx="769">
                  <c:v>90.769849999999991</c:v>
                </c:pt>
                <c:pt idx="770">
                  <c:v>90.689700000000002</c:v>
                </c:pt>
                <c:pt idx="771">
                  <c:v>90.785319999999999</c:v>
                </c:pt>
                <c:pt idx="772">
                  <c:v>90.78586</c:v>
                </c:pt>
                <c:pt idx="773">
                  <c:v>90.774169999999998</c:v>
                </c:pt>
                <c:pt idx="774">
                  <c:v>90.72444999999999</c:v>
                </c:pt>
                <c:pt idx="775">
                  <c:v>90.673429999999996</c:v>
                </c:pt>
                <c:pt idx="776">
                  <c:v>90.816009999999991</c:v>
                </c:pt>
                <c:pt idx="777">
                  <c:v>90.613050000000001</c:v>
                </c:pt>
                <c:pt idx="778">
                  <c:v>90.671599999999998</c:v>
                </c:pt>
                <c:pt idx="779">
                  <c:v>90.675460000000001</c:v>
                </c:pt>
                <c:pt idx="780">
                  <c:v>90.76249</c:v>
                </c:pt>
                <c:pt idx="781">
                  <c:v>90.565989999999999</c:v>
                </c:pt>
                <c:pt idx="782">
                  <c:v>90.66583</c:v>
                </c:pt>
                <c:pt idx="783">
                  <c:v>90.523359999999997</c:v>
                </c:pt>
                <c:pt idx="784">
                  <c:v>90.646909999999991</c:v>
                </c:pt>
                <c:pt idx="785">
                  <c:v>90.653019999999998</c:v>
                </c:pt>
                <c:pt idx="786">
                  <c:v>90.653819999999996</c:v>
                </c:pt>
                <c:pt idx="787">
                  <c:v>90.638559999999998</c:v>
                </c:pt>
                <c:pt idx="788">
                  <c:v>90.573709999999991</c:v>
                </c:pt>
                <c:pt idx="789">
                  <c:v>90.761619999999994</c:v>
                </c:pt>
                <c:pt idx="790">
                  <c:v>90.629179999999991</c:v>
                </c:pt>
                <c:pt idx="791">
                  <c:v>90.625019999999992</c:v>
                </c:pt>
                <c:pt idx="792">
                  <c:v>90.423269999999988</c:v>
                </c:pt>
                <c:pt idx="793">
                  <c:v>90.43258999999999</c:v>
                </c:pt>
                <c:pt idx="794">
                  <c:v>90.481290000000001</c:v>
                </c:pt>
                <c:pt idx="795">
                  <c:v>90.520519999999991</c:v>
                </c:pt>
                <c:pt idx="796">
                  <c:v>90.58489999999999</c:v>
                </c:pt>
                <c:pt idx="797">
                  <c:v>90.498660000000001</c:v>
                </c:pt>
                <c:pt idx="798">
                  <c:v>90.548259999999999</c:v>
                </c:pt>
                <c:pt idx="799">
                  <c:v>90.497779999999992</c:v>
                </c:pt>
                <c:pt idx="800">
                  <c:v>90.39555</c:v>
                </c:pt>
                <c:pt idx="801">
                  <c:v>90.538820000000001</c:v>
                </c:pt>
                <c:pt idx="802">
                  <c:v>90.427379999999999</c:v>
                </c:pt>
                <c:pt idx="803">
                  <c:v>90.488619999999997</c:v>
                </c:pt>
                <c:pt idx="804">
                  <c:v>90.467590000000001</c:v>
                </c:pt>
                <c:pt idx="805">
                  <c:v>90.402479999999997</c:v>
                </c:pt>
                <c:pt idx="806">
                  <c:v>90.319549999999992</c:v>
                </c:pt>
                <c:pt idx="807">
                  <c:v>90.467500000000001</c:v>
                </c:pt>
                <c:pt idx="808">
                  <c:v>90.27046</c:v>
                </c:pt>
                <c:pt idx="809">
                  <c:v>90.373379999999997</c:v>
                </c:pt>
                <c:pt idx="810">
                  <c:v>90.325149999999994</c:v>
                </c:pt>
                <c:pt idx="811">
                  <c:v>90.36614999999999</c:v>
                </c:pt>
                <c:pt idx="812">
                  <c:v>90.408169999999998</c:v>
                </c:pt>
                <c:pt idx="813">
                  <c:v>90.265079999999998</c:v>
                </c:pt>
                <c:pt idx="814">
                  <c:v>90.226799999999997</c:v>
                </c:pt>
                <c:pt idx="815">
                  <c:v>90.349789999999999</c:v>
                </c:pt>
                <c:pt idx="816">
                  <c:v>90.301869999999994</c:v>
                </c:pt>
                <c:pt idx="817">
                  <c:v>90.195899999999995</c:v>
                </c:pt>
                <c:pt idx="818">
                  <c:v>90.175269999999998</c:v>
                </c:pt>
                <c:pt idx="819">
                  <c:v>90.256979999999999</c:v>
                </c:pt>
                <c:pt idx="820">
                  <c:v>90.259239999999991</c:v>
                </c:pt>
                <c:pt idx="821">
                  <c:v>90.172579999999996</c:v>
                </c:pt>
                <c:pt idx="822">
                  <c:v>90.173259999999999</c:v>
                </c:pt>
                <c:pt idx="823">
                  <c:v>90.262649999999994</c:v>
                </c:pt>
                <c:pt idx="824">
                  <c:v>90.263210000000001</c:v>
                </c:pt>
                <c:pt idx="825">
                  <c:v>90.190079999999995</c:v>
                </c:pt>
                <c:pt idx="826">
                  <c:v>90.213149999999999</c:v>
                </c:pt>
                <c:pt idx="827">
                  <c:v>90.166370000000001</c:v>
                </c:pt>
                <c:pt idx="828">
                  <c:v>90.095749999999995</c:v>
                </c:pt>
                <c:pt idx="829">
                  <c:v>90.084350000000001</c:v>
                </c:pt>
                <c:pt idx="830">
                  <c:v>90.107339999999994</c:v>
                </c:pt>
                <c:pt idx="831">
                  <c:v>90.103960000000001</c:v>
                </c:pt>
                <c:pt idx="832">
                  <c:v>90.116419999999991</c:v>
                </c:pt>
                <c:pt idx="833">
                  <c:v>90.068849999999998</c:v>
                </c:pt>
                <c:pt idx="834">
                  <c:v>90.148409999999998</c:v>
                </c:pt>
                <c:pt idx="835">
                  <c:v>90.120419999999996</c:v>
                </c:pt>
                <c:pt idx="836">
                  <c:v>90.156099999999995</c:v>
                </c:pt>
                <c:pt idx="837">
                  <c:v>90.118690000000001</c:v>
                </c:pt>
                <c:pt idx="838">
                  <c:v>90.043989999999994</c:v>
                </c:pt>
                <c:pt idx="839">
                  <c:v>90.015819999999991</c:v>
                </c:pt>
                <c:pt idx="840">
                  <c:v>90.006059999999991</c:v>
                </c:pt>
                <c:pt idx="841">
                  <c:v>89.89394999999999</c:v>
                </c:pt>
                <c:pt idx="842">
                  <c:v>90.165779999999998</c:v>
                </c:pt>
                <c:pt idx="843">
                  <c:v>89.873099999999994</c:v>
                </c:pt>
                <c:pt idx="844">
                  <c:v>90.013949999999994</c:v>
                </c:pt>
                <c:pt idx="845">
                  <c:v>90.004709999999989</c:v>
                </c:pt>
                <c:pt idx="846">
                  <c:v>89.886420000000001</c:v>
                </c:pt>
                <c:pt idx="847">
                  <c:v>90.065699999999993</c:v>
                </c:pt>
                <c:pt idx="848">
                  <c:v>89.901749999999993</c:v>
                </c:pt>
                <c:pt idx="849">
                  <c:v>90.00551999999999</c:v>
                </c:pt>
                <c:pt idx="850">
                  <c:v>89.891139999999993</c:v>
                </c:pt>
                <c:pt idx="851">
                  <c:v>89.903790000000001</c:v>
                </c:pt>
                <c:pt idx="852">
                  <c:v>89.860079999999996</c:v>
                </c:pt>
                <c:pt idx="853">
                  <c:v>89.910659999999993</c:v>
                </c:pt>
                <c:pt idx="854">
                  <c:v>89.837980000000002</c:v>
                </c:pt>
                <c:pt idx="855">
                  <c:v>89.886679999999998</c:v>
                </c:pt>
                <c:pt idx="856">
                  <c:v>89.736379999999997</c:v>
                </c:pt>
                <c:pt idx="857">
                  <c:v>89.838359999999994</c:v>
                </c:pt>
                <c:pt idx="858">
                  <c:v>89.825800000000001</c:v>
                </c:pt>
                <c:pt idx="859">
                  <c:v>89.81210999999999</c:v>
                </c:pt>
                <c:pt idx="860">
                  <c:v>89.78085999999999</c:v>
                </c:pt>
                <c:pt idx="861">
                  <c:v>89.83395999999999</c:v>
                </c:pt>
                <c:pt idx="862">
                  <c:v>89.931449999999998</c:v>
                </c:pt>
                <c:pt idx="863">
                  <c:v>89.84648</c:v>
                </c:pt>
                <c:pt idx="864">
                  <c:v>89.834029999999998</c:v>
                </c:pt>
                <c:pt idx="865">
                  <c:v>89.840199999999996</c:v>
                </c:pt>
                <c:pt idx="866">
                  <c:v>89.799769999999995</c:v>
                </c:pt>
                <c:pt idx="867">
                  <c:v>89.799790000000002</c:v>
                </c:pt>
                <c:pt idx="868">
                  <c:v>89.765159999999995</c:v>
                </c:pt>
                <c:pt idx="869">
                  <c:v>89.72757</c:v>
                </c:pt>
                <c:pt idx="870">
                  <c:v>89.698529999999991</c:v>
                </c:pt>
                <c:pt idx="871">
                  <c:v>89.776399999999995</c:v>
                </c:pt>
                <c:pt idx="872">
                  <c:v>89.768879999999996</c:v>
                </c:pt>
                <c:pt idx="873">
                  <c:v>89.69144</c:v>
                </c:pt>
                <c:pt idx="874">
                  <c:v>89.79343999999999</c:v>
                </c:pt>
                <c:pt idx="875">
                  <c:v>89.630849999999995</c:v>
                </c:pt>
                <c:pt idx="876">
                  <c:v>89.74942999999999</c:v>
                </c:pt>
                <c:pt idx="877">
                  <c:v>89.584710000000001</c:v>
                </c:pt>
                <c:pt idx="878">
                  <c:v>89.634079999999997</c:v>
                </c:pt>
                <c:pt idx="879">
                  <c:v>89.562299999999993</c:v>
                </c:pt>
                <c:pt idx="880">
                  <c:v>89.653120000000001</c:v>
                </c:pt>
                <c:pt idx="881">
                  <c:v>89.571370000000002</c:v>
                </c:pt>
                <c:pt idx="882">
                  <c:v>89.544659999999993</c:v>
                </c:pt>
                <c:pt idx="883">
                  <c:v>89.51343</c:v>
                </c:pt>
                <c:pt idx="884">
                  <c:v>89.566629999999989</c:v>
                </c:pt>
                <c:pt idx="885">
                  <c:v>89.629369999999994</c:v>
                </c:pt>
                <c:pt idx="886">
                  <c:v>89.729099999999988</c:v>
                </c:pt>
                <c:pt idx="887">
                  <c:v>89.629369999999994</c:v>
                </c:pt>
                <c:pt idx="888">
                  <c:v>89.398309999999995</c:v>
                </c:pt>
                <c:pt idx="889">
                  <c:v>89.542739999999995</c:v>
                </c:pt>
                <c:pt idx="890">
                  <c:v>89.543129999999991</c:v>
                </c:pt>
                <c:pt idx="891">
                  <c:v>89.470019999999991</c:v>
                </c:pt>
                <c:pt idx="892">
                  <c:v>89.55816999999999</c:v>
                </c:pt>
                <c:pt idx="893">
                  <c:v>89.497839999999997</c:v>
                </c:pt>
                <c:pt idx="894">
                  <c:v>89.444859999999991</c:v>
                </c:pt>
                <c:pt idx="895">
                  <c:v>89.502510000000001</c:v>
                </c:pt>
                <c:pt idx="896">
                  <c:v>89.429209999999998</c:v>
                </c:pt>
                <c:pt idx="897">
                  <c:v>89.424329999999998</c:v>
                </c:pt>
                <c:pt idx="898">
                  <c:v>89.409759999999991</c:v>
                </c:pt>
                <c:pt idx="899">
                  <c:v>89.456229999999991</c:v>
                </c:pt>
                <c:pt idx="900">
                  <c:v>89.478560000000002</c:v>
                </c:pt>
                <c:pt idx="901">
                  <c:v>89.487560000000002</c:v>
                </c:pt>
                <c:pt idx="902">
                  <c:v>89.384139999999988</c:v>
                </c:pt>
                <c:pt idx="903">
                  <c:v>89.439759999999993</c:v>
                </c:pt>
                <c:pt idx="904">
                  <c:v>89.412819999999996</c:v>
                </c:pt>
                <c:pt idx="905">
                  <c:v>89.365989999999996</c:v>
                </c:pt>
                <c:pt idx="906">
                  <c:v>89.42689</c:v>
                </c:pt>
                <c:pt idx="907">
                  <c:v>89.327919999999992</c:v>
                </c:pt>
                <c:pt idx="908">
                  <c:v>89.314589999999995</c:v>
                </c:pt>
                <c:pt idx="909">
                  <c:v>89.300339999999991</c:v>
                </c:pt>
                <c:pt idx="910">
                  <c:v>89.357399999999998</c:v>
                </c:pt>
                <c:pt idx="911">
                  <c:v>89.369169999999997</c:v>
                </c:pt>
                <c:pt idx="912">
                  <c:v>89.283719999999988</c:v>
                </c:pt>
                <c:pt idx="913">
                  <c:v>89.360009999999988</c:v>
                </c:pt>
                <c:pt idx="914">
                  <c:v>89.295090000000002</c:v>
                </c:pt>
                <c:pt idx="915">
                  <c:v>89.336929999999995</c:v>
                </c:pt>
                <c:pt idx="916">
                  <c:v>89.187599999999989</c:v>
                </c:pt>
                <c:pt idx="917">
                  <c:v>89.300799999999995</c:v>
                </c:pt>
                <c:pt idx="918">
                  <c:v>89.177669999999992</c:v>
                </c:pt>
                <c:pt idx="919">
                  <c:v>89.273240000000001</c:v>
                </c:pt>
                <c:pt idx="920">
                  <c:v>89.35615</c:v>
                </c:pt>
                <c:pt idx="921">
                  <c:v>89.306039999999996</c:v>
                </c:pt>
                <c:pt idx="922">
                  <c:v>89.123959999999997</c:v>
                </c:pt>
                <c:pt idx="923">
                  <c:v>89.272660000000002</c:v>
                </c:pt>
                <c:pt idx="924">
                  <c:v>89.240489999999994</c:v>
                </c:pt>
                <c:pt idx="925">
                  <c:v>89.288089999999997</c:v>
                </c:pt>
                <c:pt idx="926">
                  <c:v>89.258569999999992</c:v>
                </c:pt>
                <c:pt idx="927">
                  <c:v>89.162189999999995</c:v>
                </c:pt>
                <c:pt idx="928">
                  <c:v>89.22117999999999</c:v>
                </c:pt>
                <c:pt idx="929">
                  <c:v>89.290089999999992</c:v>
                </c:pt>
                <c:pt idx="930">
                  <c:v>89.293449999999993</c:v>
                </c:pt>
                <c:pt idx="931">
                  <c:v>89.213769999999997</c:v>
                </c:pt>
                <c:pt idx="932">
                  <c:v>89.114679999999993</c:v>
                </c:pt>
                <c:pt idx="933">
                  <c:v>89.15952999999999</c:v>
                </c:pt>
                <c:pt idx="934">
                  <c:v>89.048899999999989</c:v>
                </c:pt>
                <c:pt idx="935">
                  <c:v>89.070689999999999</c:v>
                </c:pt>
                <c:pt idx="936">
                  <c:v>89.020150000000001</c:v>
                </c:pt>
                <c:pt idx="937">
                  <c:v>89.032889999999995</c:v>
                </c:pt>
                <c:pt idx="938">
                  <c:v>89.074219999999997</c:v>
                </c:pt>
                <c:pt idx="939">
                  <c:v>88.947620000000001</c:v>
                </c:pt>
                <c:pt idx="940">
                  <c:v>89.091200000000001</c:v>
                </c:pt>
                <c:pt idx="941">
                  <c:v>88.998699999999999</c:v>
                </c:pt>
                <c:pt idx="942">
                  <c:v>89.052509999999998</c:v>
                </c:pt>
                <c:pt idx="943">
                  <c:v>89.112089999999995</c:v>
                </c:pt>
                <c:pt idx="944">
                  <c:v>89.01961</c:v>
                </c:pt>
                <c:pt idx="945">
                  <c:v>88.915689999999998</c:v>
                </c:pt>
                <c:pt idx="946">
                  <c:v>89.061879999999988</c:v>
                </c:pt>
                <c:pt idx="947">
                  <c:v>88.940770000000001</c:v>
                </c:pt>
                <c:pt idx="948">
                  <c:v>88.898579999999995</c:v>
                </c:pt>
                <c:pt idx="949">
                  <c:v>88.877279999999999</c:v>
                </c:pt>
                <c:pt idx="950">
                  <c:v>89.054179999999988</c:v>
                </c:pt>
                <c:pt idx="951">
                  <c:v>88.922599999999989</c:v>
                </c:pt>
                <c:pt idx="952">
                  <c:v>88.944369999999992</c:v>
                </c:pt>
                <c:pt idx="953">
                  <c:v>88.902699999999996</c:v>
                </c:pt>
                <c:pt idx="954">
                  <c:v>88.898769999999999</c:v>
                </c:pt>
                <c:pt idx="955">
                  <c:v>88.837179999999989</c:v>
                </c:pt>
                <c:pt idx="956">
                  <c:v>88.848410000000001</c:v>
                </c:pt>
                <c:pt idx="957">
                  <c:v>88.776769999999999</c:v>
                </c:pt>
                <c:pt idx="958">
                  <c:v>88.832809999999995</c:v>
                </c:pt>
                <c:pt idx="959">
                  <c:v>88.941509999999994</c:v>
                </c:pt>
                <c:pt idx="960">
                  <c:v>88.912719999999993</c:v>
                </c:pt>
                <c:pt idx="961">
                  <c:v>88.835349999999991</c:v>
                </c:pt>
                <c:pt idx="962">
                  <c:v>88.83238999999999</c:v>
                </c:pt>
                <c:pt idx="963">
                  <c:v>88.900529999999989</c:v>
                </c:pt>
                <c:pt idx="964">
                  <c:v>88.843379999999996</c:v>
                </c:pt>
                <c:pt idx="965">
                  <c:v>88.843279999999993</c:v>
                </c:pt>
                <c:pt idx="966">
                  <c:v>88.700569999999999</c:v>
                </c:pt>
                <c:pt idx="967">
                  <c:v>88.838329999999999</c:v>
                </c:pt>
                <c:pt idx="968">
                  <c:v>88.761749999999992</c:v>
                </c:pt>
                <c:pt idx="969">
                  <c:v>88.790649999999999</c:v>
                </c:pt>
                <c:pt idx="970">
                  <c:v>88.77</c:v>
                </c:pt>
                <c:pt idx="971">
                  <c:v>88.74378999999999</c:v>
                </c:pt>
                <c:pt idx="972">
                  <c:v>88.74481999999999</c:v>
                </c:pt>
                <c:pt idx="973">
                  <c:v>88.674019999999999</c:v>
                </c:pt>
                <c:pt idx="974">
                  <c:v>88.782499999999999</c:v>
                </c:pt>
                <c:pt idx="975">
                  <c:v>88.614039999999989</c:v>
                </c:pt>
                <c:pt idx="976">
                  <c:v>88.746749999999992</c:v>
                </c:pt>
                <c:pt idx="977">
                  <c:v>88.682809999999989</c:v>
                </c:pt>
                <c:pt idx="978">
                  <c:v>88.644759999999991</c:v>
                </c:pt>
                <c:pt idx="979">
                  <c:v>88.581220000000002</c:v>
                </c:pt>
                <c:pt idx="980">
                  <c:v>88.605739999999997</c:v>
                </c:pt>
                <c:pt idx="981">
                  <c:v>88.805869999999999</c:v>
                </c:pt>
                <c:pt idx="982">
                  <c:v>88.563449999999989</c:v>
                </c:pt>
                <c:pt idx="983">
                  <c:v>88.653049999999993</c:v>
                </c:pt>
                <c:pt idx="984">
                  <c:v>88.565939999999998</c:v>
                </c:pt>
                <c:pt idx="985">
                  <c:v>88.58453999999999</c:v>
                </c:pt>
                <c:pt idx="986">
                  <c:v>88.638419999999996</c:v>
                </c:pt>
                <c:pt idx="987">
                  <c:v>88.686669999999992</c:v>
                </c:pt>
                <c:pt idx="988">
                  <c:v>88.626269999999991</c:v>
                </c:pt>
                <c:pt idx="989">
                  <c:v>88.567509999999999</c:v>
                </c:pt>
                <c:pt idx="990">
                  <c:v>88.588859999999997</c:v>
                </c:pt>
                <c:pt idx="991">
                  <c:v>88.622159999999994</c:v>
                </c:pt>
                <c:pt idx="992">
                  <c:v>88.598299999999995</c:v>
                </c:pt>
                <c:pt idx="993">
                  <c:v>88.57495999999999</c:v>
                </c:pt>
                <c:pt idx="994">
                  <c:v>88.508459999999999</c:v>
                </c:pt>
                <c:pt idx="995">
                  <c:v>88.49691</c:v>
                </c:pt>
                <c:pt idx="996">
                  <c:v>88.53161999999999</c:v>
                </c:pt>
                <c:pt idx="997">
                  <c:v>88.488659999999996</c:v>
                </c:pt>
                <c:pt idx="998">
                  <c:v>88.45411</c:v>
                </c:pt>
                <c:pt idx="999">
                  <c:v>88.562749999999994</c:v>
                </c:pt>
                <c:pt idx="1000">
                  <c:v>88.540059999999997</c:v>
                </c:pt>
                <c:pt idx="1001">
                  <c:v>88.401569999999992</c:v>
                </c:pt>
                <c:pt idx="1002">
                  <c:v>88.500569999999996</c:v>
                </c:pt>
                <c:pt idx="1003">
                  <c:v>88.360579999999999</c:v>
                </c:pt>
                <c:pt idx="1004">
                  <c:v>88.530450000000002</c:v>
                </c:pt>
                <c:pt idx="1005">
                  <c:v>88.45089999999999</c:v>
                </c:pt>
                <c:pt idx="1006">
                  <c:v>88.395949999999999</c:v>
                </c:pt>
                <c:pt idx="1007">
                  <c:v>88.38082</c:v>
                </c:pt>
                <c:pt idx="1008">
                  <c:v>88.400869999999998</c:v>
                </c:pt>
                <c:pt idx="1009">
                  <c:v>88.374459999999999</c:v>
                </c:pt>
                <c:pt idx="1010">
                  <c:v>88.289819999999992</c:v>
                </c:pt>
                <c:pt idx="1011">
                  <c:v>88.318539999999999</c:v>
                </c:pt>
                <c:pt idx="1012">
                  <c:v>88.264579999999995</c:v>
                </c:pt>
                <c:pt idx="1013">
                  <c:v>88.387789999999995</c:v>
                </c:pt>
                <c:pt idx="1014">
                  <c:v>88.359539999999996</c:v>
                </c:pt>
                <c:pt idx="1015">
                  <c:v>88.372959999999992</c:v>
                </c:pt>
                <c:pt idx="1016">
                  <c:v>88.250349999999997</c:v>
                </c:pt>
                <c:pt idx="1017">
                  <c:v>88.369450000000001</c:v>
                </c:pt>
                <c:pt idx="1018">
                  <c:v>88.149450000000002</c:v>
                </c:pt>
                <c:pt idx="1019">
                  <c:v>88.239930000000001</c:v>
                </c:pt>
                <c:pt idx="1020">
                  <c:v>88.296509999999998</c:v>
                </c:pt>
                <c:pt idx="1021">
                  <c:v>88.139769999999999</c:v>
                </c:pt>
                <c:pt idx="1022">
                  <c:v>88.321349999999995</c:v>
                </c:pt>
                <c:pt idx="1023">
                  <c:v>88.302019999999999</c:v>
                </c:pt>
                <c:pt idx="1024">
                  <c:v>88.308329999999998</c:v>
                </c:pt>
                <c:pt idx="1025">
                  <c:v>88.250799999999998</c:v>
                </c:pt>
                <c:pt idx="1026">
                  <c:v>88.285910000000001</c:v>
                </c:pt>
                <c:pt idx="1027">
                  <c:v>88.15200999999999</c:v>
                </c:pt>
                <c:pt idx="1028">
                  <c:v>88.211919999999992</c:v>
                </c:pt>
                <c:pt idx="1029">
                  <c:v>88.288179999999997</c:v>
                </c:pt>
                <c:pt idx="1030">
                  <c:v>88.212899999999991</c:v>
                </c:pt>
                <c:pt idx="1031">
                  <c:v>88.15795</c:v>
                </c:pt>
                <c:pt idx="1032">
                  <c:v>88.15021999999999</c:v>
                </c:pt>
                <c:pt idx="1033">
                  <c:v>88.26303999999999</c:v>
                </c:pt>
                <c:pt idx="1034">
                  <c:v>88.093429999999998</c:v>
                </c:pt>
                <c:pt idx="1035">
                  <c:v>88.132080000000002</c:v>
                </c:pt>
                <c:pt idx="1036">
                  <c:v>88.104939999999999</c:v>
                </c:pt>
                <c:pt idx="1037">
                  <c:v>88.03797999999999</c:v>
                </c:pt>
                <c:pt idx="1038">
                  <c:v>88.177599999999998</c:v>
                </c:pt>
                <c:pt idx="1039">
                  <c:v>88.016390000000001</c:v>
                </c:pt>
                <c:pt idx="1040">
                  <c:v>87.991879999999995</c:v>
                </c:pt>
                <c:pt idx="1041">
                  <c:v>87.947369999999992</c:v>
                </c:pt>
                <c:pt idx="1042">
                  <c:v>88.102589999999992</c:v>
                </c:pt>
                <c:pt idx="1043">
                  <c:v>88.097699999999989</c:v>
                </c:pt>
                <c:pt idx="1044">
                  <c:v>87.89255</c:v>
                </c:pt>
                <c:pt idx="1045">
                  <c:v>88.096419999999995</c:v>
                </c:pt>
                <c:pt idx="1046">
                  <c:v>88.023769999999999</c:v>
                </c:pt>
                <c:pt idx="1047">
                  <c:v>88.052669999999992</c:v>
                </c:pt>
                <c:pt idx="1048">
                  <c:v>87.915769999999995</c:v>
                </c:pt>
                <c:pt idx="1049">
                  <c:v>88.03331</c:v>
                </c:pt>
                <c:pt idx="1050">
                  <c:v>88.075119999999998</c:v>
                </c:pt>
                <c:pt idx="1051">
                  <c:v>87.905659999999997</c:v>
                </c:pt>
                <c:pt idx="1052">
                  <c:v>87.890589999999989</c:v>
                </c:pt>
                <c:pt idx="1053">
                  <c:v>87.879689999999997</c:v>
                </c:pt>
                <c:pt idx="1054">
                  <c:v>87.924409999999995</c:v>
                </c:pt>
                <c:pt idx="1055">
                  <c:v>87.940709999999996</c:v>
                </c:pt>
                <c:pt idx="1056">
                  <c:v>87.850949999999997</c:v>
                </c:pt>
                <c:pt idx="1057">
                  <c:v>87.929119999999998</c:v>
                </c:pt>
                <c:pt idx="1058">
                  <c:v>87.962489999999988</c:v>
                </c:pt>
                <c:pt idx="1059">
                  <c:v>87.863209999999995</c:v>
                </c:pt>
                <c:pt idx="1060">
                  <c:v>87.920029999999997</c:v>
                </c:pt>
                <c:pt idx="1061">
                  <c:v>87.947089999999989</c:v>
                </c:pt>
                <c:pt idx="1062">
                  <c:v>87.926310000000001</c:v>
                </c:pt>
                <c:pt idx="1063">
                  <c:v>87.872519999999994</c:v>
                </c:pt>
                <c:pt idx="1064">
                  <c:v>87.697849999999988</c:v>
                </c:pt>
                <c:pt idx="1065">
                  <c:v>87.884709999999998</c:v>
                </c:pt>
                <c:pt idx="1066">
                  <c:v>87.830889999999997</c:v>
                </c:pt>
                <c:pt idx="1067">
                  <c:v>87.733379999999997</c:v>
                </c:pt>
                <c:pt idx="1068">
                  <c:v>87.802229999999994</c:v>
                </c:pt>
                <c:pt idx="1069">
                  <c:v>87.870049999999992</c:v>
                </c:pt>
                <c:pt idx="1070">
                  <c:v>87.743429999999989</c:v>
                </c:pt>
                <c:pt idx="1071">
                  <c:v>87.725219999999993</c:v>
                </c:pt>
                <c:pt idx="1072">
                  <c:v>87.74593999999999</c:v>
                </c:pt>
                <c:pt idx="1073">
                  <c:v>87.71132999999999</c:v>
                </c:pt>
                <c:pt idx="1074">
                  <c:v>87.743529999999993</c:v>
                </c:pt>
                <c:pt idx="1075">
                  <c:v>87.788669999999996</c:v>
                </c:pt>
                <c:pt idx="1076">
                  <c:v>87.8185</c:v>
                </c:pt>
                <c:pt idx="1077">
                  <c:v>87.826070000000001</c:v>
                </c:pt>
                <c:pt idx="1078">
                  <c:v>87.701619999999991</c:v>
                </c:pt>
                <c:pt idx="1079">
                  <c:v>87.624439999999993</c:v>
                </c:pt>
                <c:pt idx="1080">
                  <c:v>87.725369999999998</c:v>
                </c:pt>
                <c:pt idx="1081">
                  <c:v>87.711500000000001</c:v>
                </c:pt>
                <c:pt idx="1082">
                  <c:v>87.678359999999998</c:v>
                </c:pt>
                <c:pt idx="1083">
                  <c:v>87.558479999999989</c:v>
                </c:pt>
                <c:pt idx="1084">
                  <c:v>87.681759999999997</c:v>
                </c:pt>
                <c:pt idx="1085">
                  <c:v>87.734960000000001</c:v>
                </c:pt>
                <c:pt idx="1086">
                  <c:v>87.52982999999999</c:v>
                </c:pt>
                <c:pt idx="1087">
                  <c:v>87.777259999999998</c:v>
                </c:pt>
                <c:pt idx="1088">
                  <c:v>87.672389999999993</c:v>
                </c:pt>
                <c:pt idx="1089">
                  <c:v>87.637349999999998</c:v>
                </c:pt>
                <c:pt idx="1090">
                  <c:v>87.673179999999988</c:v>
                </c:pt>
                <c:pt idx="1091">
                  <c:v>87.639849999999996</c:v>
                </c:pt>
                <c:pt idx="1092">
                  <c:v>87.65034</c:v>
                </c:pt>
                <c:pt idx="1093">
                  <c:v>87.682609999999997</c:v>
                </c:pt>
                <c:pt idx="1094">
                  <c:v>87.570639999999997</c:v>
                </c:pt>
                <c:pt idx="1095">
                  <c:v>87.499069999999989</c:v>
                </c:pt>
                <c:pt idx="1096">
                  <c:v>87.655419999999992</c:v>
                </c:pt>
                <c:pt idx="1097">
                  <c:v>87.620959999999997</c:v>
                </c:pt>
                <c:pt idx="1098">
                  <c:v>87.56138</c:v>
                </c:pt>
                <c:pt idx="1099">
                  <c:v>87.555509999999998</c:v>
                </c:pt>
                <c:pt idx="1100">
                  <c:v>87.555139999999994</c:v>
                </c:pt>
                <c:pt idx="1101">
                  <c:v>87.422849999999997</c:v>
                </c:pt>
                <c:pt idx="1102">
                  <c:v>87.451149999999998</c:v>
                </c:pt>
                <c:pt idx="1103">
                  <c:v>87.53201</c:v>
                </c:pt>
                <c:pt idx="1104">
                  <c:v>87.357639999999989</c:v>
                </c:pt>
                <c:pt idx="1105">
                  <c:v>87.495779999999996</c:v>
                </c:pt>
                <c:pt idx="1106">
                  <c:v>87.434460000000001</c:v>
                </c:pt>
                <c:pt idx="1107">
                  <c:v>87.56626</c:v>
                </c:pt>
                <c:pt idx="1108">
                  <c:v>87.491959999999992</c:v>
                </c:pt>
                <c:pt idx="1109">
                  <c:v>87.481319999999997</c:v>
                </c:pt>
                <c:pt idx="1110">
                  <c:v>87.399439999999998</c:v>
                </c:pt>
                <c:pt idx="1111">
                  <c:v>87.410959999999989</c:v>
                </c:pt>
                <c:pt idx="1112">
                  <c:v>87.419609999999992</c:v>
                </c:pt>
                <c:pt idx="1113">
                  <c:v>87.421359999999993</c:v>
                </c:pt>
                <c:pt idx="1114">
                  <c:v>87.400089999999992</c:v>
                </c:pt>
                <c:pt idx="1115">
                  <c:v>87.414659999999998</c:v>
                </c:pt>
                <c:pt idx="1116">
                  <c:v>87.4529</c:v>
                </c:pt>
                <c:pt idx="1117">
                  <c:v>87.321519999999992</c:v>
                </c:pt>
                <c:pt idx="1118">
                  <c:v>87.314939999999993</c:v>
                </c:pt>
                <c:pt idx="1119">
                  <c:v>87.326909999999998</c:v>
                </c:pt>
                <c:pt idx="1120">
                  <c:v>87.305819999999997</c:v>
                </c:pt>
                <c:pt idx="1121">
                  <c:v>87.340530000000001</c:v>
                </c:pt>
                <c:pt idx="1122">
                  <c:v>87.317689999999999</c:v>
                </c:pt>
                <c:pt idx="1123">
                  <c:v>87.271270000000001</c:v>
                </c:pt>
                <c:pt idx="1124">
                  <c:v>87.278970000000001</c:v>
                </c:pt>
                <c:pt idx="1125">
                  <c:v>87.411229999999989</c:v>
                </c:pt>
                <c:pt idx="1126">
                  <c:v>87.277529999999999</c:v>
                </c:pt>
                <c:pt idx="1127">
                  <c:v>87.340199999999996</c:v>
                </c:pt>
                <c:pt idx="1128">
                  <c:v>87.193579999999997</c:v>
                </c:pt>
                <c:pt idx="1129">
                  <c:v>87.2714</c:v>
                </c:pt>
                <c:pt idx="1130">
                  <c:v>87.299970000000002</c:v>
                </c:pt>
                <c:pt idx="1131">
                  <c:v>87.17170999999999</c:v>
                </c:pt>
                <c:pt idx="1132">
                  <c:v>87.26921999999999</c:v>
                </c:pt>
                <c:pt idx="1133">
                  <c:v>87.305689999999998</c:v>
                </c:pt>
                <c:pt idx="1134">
                  <c:v>87.19229</c:v>
                </c:pt>
                <c:pt idx="1135">
                  <c:v>87.194549999999992</c:v>
                </c:pt>
                <c:pt idx="1136">
                  <c:v>87.173069999999996</c:v>
                </c:pt>
                <c:pt idx="1137">
                  <c:v>87.306209999999993</c:v>
                </c:pt>
                <c:pt idx="1138">
                  <c:v>87.112939999999995</c:v>
                </c:pt>
                <c:pt idx="1139">
                  <c:v>87.303190000000001</c:v>
                </c:pt>
                <c:pt idx="1140">
                  <c:v>87.167699999999996</c:v>
                </c:pt>
                <c:pt idx="1141">
                  <c:v>87.065079999999995</c:v>
                </c:pt>
                <c:pt idx="1142">
                  <c:v>87.139690000000002</c:v>
                </c:pt>
                <c:pt idx="1143">
                  <c:v>87.162259999999989</c:v>
                </c:pt>
                <c:pt idx="1144">
                  <c:v>87.073029999999989</c:v>
                </c:pt>
                <c:pt idx="1145">
                  <c:v>87.067969999999988</c:v>
                </c:pt>
                <c:pt idx="1146">
                  <c:v>87.053899999999999</c:v>
                </c:pt>
                <c:pt idx="1147">
                  <c:v>87.01021999999999</c:v>
                </c:pt>
                <c:pt idx="1148">
                  <c:v>87.06286999999999</c:v>
                </c:pt>
                <c:pt idx="1149">
                  <c:v>87.085899999999995</c:v>
                </c:pt>
                <c:pt idx="1150">
                  <c:v>86.972650000000002</c:v>
                </c:pt>
                <c:pt idx="1151">
                  <c:v>86.956710000000001</c:v>
                </c:pt>
                <c:pt idx="1152">
                  <c:v>86.99391</c:v>
                </c:pt>
                <c:pt idx="1153">
                  <c:v>87.082099999999997</c:v>
                </c:pt>
                <c:pt idx="1154">
                  <c:v>87.043189999999996</c:v>
                </c:pt>
                <c:pt idx="1155">
                  <c:v>87.004239999999996</c:v>
                </c:pt>
                <c:pt idx="1156">
                  <c:v>87.061089999999993</c:v>
                </c:pt>
                <c:pt idx="1157">
                  <c:v>86.944339999999997</c:v>
                </c:pt>
                <c:pt idx="1158">
                  <c:v>87.126149999999996</c:v>
                </c:pt>
                <c:pt idx="1159">
                  <c:v>86.961579999999998</c:v>
                </c:pt>
                <c:pt idx="1160">
                  <c:v>86.88561</c:v>
                </c:pt>
                <c:pt idx="1161">
                  <c:v>86.906559999999999</c:v>
                </c:pt>
                <c:pt idx="1162">
                  <c:v>86.927119999999988</c:v>
                </c:pt>
                <c:pt idx="1163">
                  <c:v>86.851649999999992</c:v>
                </c:pt>
                <c:pt idx="1164">
                  <c:v>86.896999999999991</c:v>
                </c:pt>
                <c:pt idx="1165">
                  <c:v>86.916509999999988</c:v>
                </c:pt>
                <c:pt idx="1166">
                  <c:v>86.965409999999991</c:v>
                </c:pt>
                <c:pt idx="1167">
                  <c:v>86.859529999999992</c:v>
                </c:pt>
                <c:pt idx="1168">
                  <c:v>86.957999999999998</c:v>
                </c:pt>
                <c:pt idx="1169">
                  <c:v>86.860439999999997</c:v>
                </c:pt>
                <c:pt idx="1170">
                  <c:v>86.947409999999991</c:v>
                </c:pt>
                <c:pt idx="1171">
                  <c:v>86.939369999999997</c:v>
                </c:pt>
                <c:pt idx="1172">
                  <c:v>86.903809999999993</c:v>
                </c:pt>
                <c:pt idx="1173">
                  <c:v>86.850819999999999</c:v>
                </c:pt>
                <c:pt idx="1174">
                  <c:v>86.749039999999994</c:v>
                </c:pt>
                <c:pt idx="1175">
                  <c:v>86.793389999999988</c:v>
                </c:pt>
                <c:pt idx="1176">
                  <c:v>86.669979999999995</c:v>
                </c:pt>
                <c:pt idx="1177">
                  <c:v>86.798090000000002</c:v>
                </c:pt>
                <c:pt idx="1178">
                  <c:v>86.694479999999999</c:v>
                </c:pt>
                <c:pt idx="1179">
                  <c:v>86.783229999999989</c:v>
                </c:pt>
                <c:pt idx="1180">
                  <c:v>86.829699999999988</c:v>
                </c:pt>
                <c:pt idx="1181">
                  <c:v>86.833359999999999</c:v>
                </c:pt>
                <c:pt idx="1182">
                  <c:v>86.806259999999995</c:v>
                </c:pt>
                <c:pt idx="1183">
                  <c:v>86.787880000000001</c:v>
                </c:pt>
                <c:pt idx="1184">
                  <c:v>86.70796</c:v>
                </c:pt>
                <c:pt idx="1185">
                  <c:v>86.667659999999998</c:v>
                </c:pt>
                <c:pt idx="1186">
                  <c:v>86.763899999999992</c:v>
                </c:pt>
                <c:pt idx="1187">
                  <c:v>86.64085</c:v>
                </c:pt>
                <c:pt idx="1188">
                  <c:v>86.67855999999999</c:v>
                </c:pt>
                <c:pt idx="1189">
                  <c:v>86.697310000000002</c:v>
                </c:pt>
                <c:pt idx="1190">
                  <c:v>86.590339999999998</c:v>
                </c:pt>
                <c:pt idx="1191">
                  <c:v>86.670259999999999</c:v>
                </c:pt>
                <c:pt idx="1192">
                  <c:v>86.637409999999988</c:v>
                </c:pt>
                <c:pt idx="1193">
                  <c:v>86.638919999999999</c:v>
                </c:pt>
                <c:pt idx="1194">
                  <c:v>86.629089999999991</c:v>
                </c:pt>
                <c:pt idx="1195">
                  <c:v>86.592169999999996</c:v>
                </c:pt>
                <c:pt idx="1196">
                  <c:v>86.624369999999999</c:v>
                </c:pt>
                <c:pt idx="1197">
                  <c:v>86.575559999999996</c:v>
                </c:pt>
                <c:pt idx="1198">
                  <c:v>86.574629999999999</c:v>
                </c:pt>
                <c:pt idx="1199">
                  <c:v>86.62379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C6-1440-AB8E-23CA01CAB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0951327"/>
        <c:axId val="411389152"/>
      </c:scatterChart>
      <c:valAx>
        <c:axId val="2020951327"/>
        <c:scaling>
          <c:orientation val="minMax"/>
          <c:max val="6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411389152"/>
        <c:crosses val="autoZero"/>
        <c:crossBetween val="midCat"/>
      </c:valAx>
      <c:valAx>
        <c:axId val="41138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020951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225C Corrected</a:t>
            </a:r>
            <a:r>
              <a:rPr lang="en-US" baseline="0"/>
              <a:t> mass% vs time (Sif)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Sif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Data'!$J$4:$J$483</c:f>
              <c:numCache>
                <c:formatCode>General</c:formatCode>
                <c:ptCount val="48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</c:numCache>
            </c:numRef>
          </c:xVal>
          <c:yVal>
            <c:numRef>
              <c:f>'All Data'!$L$4:$L$483</c:f>
              <c:numCache>
                <c:formatCode>0.00000</c:formatCode>
                <c:ptCount val="480"/>
                <c:pt idx="0">
                  <c:v>100</c:v>
                </c:pt>
                <c:pt idx="1">
                  <c:v>100.07646</c:v>
                </c:pt>
                <c:pt idx="2">
                  <c:v>100.23093</c:v>
                </c:pt>
                <c:pt idx="3">
                  <c:v>100.31434</c:v>
                </c:pt>
                <c:pt idx="4">
                  <c:v>100.39111</c:v>
                </c:pt>
                <c:pt idx="5">
                  <c:v>100.42195</c:v>
                </c:pt>
                <c:pt idx="6">
                  <c:v>100.42564</c:v>
                </c:pt>
                <c:pt idx="7">
                  <c:v>100.47351999999999</c:v>
                </c:pt>
                <c:pt idx="8">
                  <c:v>100.49309</c:v>
                </c:pt>
                <c:pt idx="9">
                  <c:v>100.48724</c:v>
                </c:pt>
                <c:pt idx="10">
                  <c:v>100.48958999999999</c:v>
                </c:pt>
                <c:pt idx="11">
                  <c:v>100.51752999999999</c:v>
                </c:pt>
                <c:pt idx="12">
                  <c:v>100.4949</c:v>
                </c:pt>
                <c:pt idx="13">
                  <c:v>100.47865999999999</c:v>
                </c:pt>
                <c:pt idx="14">
                  <c:v>100.51151</c:v>
                </c:pt>
                <c:pt idx="15">
                  <c:v>100.48985</c:v>
                </c:pt>
                <c:pt idx="16">
                  <c:v>100.48371</c:v>
                </c:pt>
                <c:pt idx="17">
                  <c:v>100.45693</c:v>
                </c:pt>
                <c:pt idx="18">
                  <c:v>100.47315</c:v>
                </c:pt>
                <c:pt idx="19">
                  <c:v>100.43292</c:v>
                </c:pt>
                <c:pt idx="20">
                  <c:v>100.43544</c:v>
                </c:pt>
                <c:pt idx="21">
                  <c:v>100.42411</c:v>
                </c:pt>
                <c:pt idx="22">
                  <c:v>100.41226</c:v>
                </c:pt>
                <c:pt idx="23">
                  <c:v>100.39417</c:v>
                </c:pt>
                <c:pt idx="24">
                  <c:v>100.36509</c:v>
                </c:pt>
                <c:pt idx="25">
                  <c:v>100.36218</c:v>
                </c:pt>
                <c:pt idx="26">
                  <c:v>100.34137</c:v>
                </c:pt>
                <c:pt idx="27">
                  <c:v>100.35069</c:v>
                </c:pt>
                <c:pt idx="28">
                  <c:v>100.34326</c:v>
                </c:pt>
                <c:pt idx="29">
                  <c:v>100.30530999999999</c:v>
                </c:pt>
                <c:pt idx="30">
                  <c:v>100.29227</c:v>
                </c:pt>
                <c:pt idx="31">
                  <c:v>100.2833</c:v>
                </c:pt>
                <c:pt idx="32">
                  <c:v>100.26418</c:v>
                </c:pt>
                <c:pt idx="33">
                  <c:v>100.26515999999999</c:v>
                </c:pt>
                <c:pt idx="34">
                  <c:v>100.24652</c:v>
                </c:pt>
                <c:pt idx="35">
                  <c:v>100.23204</c:v>
                </c:pt>
                <c:pt idx="36">
                  <c:v>100.21419999999999</c:v>
                </c:pt>
                <c:pt idx="37">
                  <c:v>100.20501</c:v>
                </c:pt>
                <c:pt idx="38">
                  <c:v>100.18096</c:v>
                </c:pt>
                <c:pt idx="39">
                  <c:v>100.17502999999999</c:v>
                </c:pt>
                <c:pt idx="40">
                  <c:v>100.14746</c:v>
                </c:pt>
                <c:pt idx="41">
                  <c:v>100.1396</c:v>
                </c:pt>
                <c:pt idx="42">
                  <c:v>100.11739</c:v>
                </c:pt>
                <c:pt idx="43">
                  <c:v>100.09975</c:v>
                </c:pt>
                <c:pt idx="44">
                  <c:v>100.08037999999999</c:v>
                </c:pt>
                <c:pt idx="45">
                  <c:v>100.06019999999999</c:v>
                </c:pt>
                <c:pt idx="46">
                  <c:v>100.03122999999999</c:v>
                </c:pt>
                <c:pt idx="47">
                  <c:v>100.03157999999999</c:v>
                </c:pt>
                <c:pt idx="48">
                  <c:v>99.99503</c:v>
                </c:pt>
                <c:pt idx="49">
                  <c:v>99.991469999999993</c:v>
                </c:pt>
                <c:pt idx="50">
                  <c:v>99.97139</c:v>
                </c:pt>
                <c:pt idx="51">
                  <c:v>99.955849999999998</c:v>
                </c:pt>
                <c:pt idx="52">
                  <c:v>99.97963</c:v>
                </c:pt>
                <c:pt idx="53">
                  <c:v>99.918949999999995</c:v>
                </c:pt>
                <c:pt idx="54">
                  <c:v>99.906779999999998</c:v>
                </c:pt>
                <c:pt idx="55">
                  <c:v>99.890529999999998</c:v>
                </c:pt>
                <c:pt idx="56">
                  <c:v>99.867099999999994</c:v>
                </c:pt>
                <c:pt idx="57">
                  <c:v>99.861130000000003</c:v>
                </c:pt>
                <c:pt idx="58">
                  <c:v>99.842190000000002</c:v>
                </c:pt>
                <c:pt idx="59">
                  <c:v>99.813850000000002</c:v>
                </c:pt>
                <c:pt idx="60">
                  <c:v>99.783339999999995</c:v>
                </c:pt>
                <c:pt idx="61">
                  <c:v>99.799160000000001</c:v>
                </c:pt>
                <c:pt idx="62">
                  <c:v>99.774029999999996</c:v>
                </c:pt>
                <c:pt idx="63">
                  <c:v>99.736629999999991</c:v>
                </c:pt>
                <c:pt idx="64">
                  <c:v>99.718829999999997</c:v>
                </c:pt>
                <c:pt idx="65">
                  <c:v>99.711359999999999</c:v>
                </c:pt>
                <c:pt idx="66">
                  <c:v>99.676479999999998</c:v>
                </c:pt>
                <c:pt idx="67">
                  <c:v>99.662210000000002</c:v>
                </c:pt>
                <c:pt idx="68">
                  <c:v>99.649509999999992</c:v>
                </c:pt>
                <c:pt idx="69">
                  <c:v>99.623429999999999</c:v>
                </c:pt>
                <c:pt idx="70">
                  <c:v>99.609459999999999</c:v>
                </c:pt>
                <c:pt idx="71">
                  <c:v>99.618729999999999</c:v>
                </c:pt>
                <c:pt idx="72">
                  <c:v>99.569540000000003</c:v>
                </c:pt>
                <c:pt idx="73">
                  <c:v>99.552419999999998</c:v>
                </c:pt>
                <c:pt idx="74">
                  <c:v>99.527000000000001</c:v>
                </c:pt>
                <c:pt idx="75">
                  <c:v>99.517719999999997</c:v>
                </c:pt>
                <c:pt idx="76">
                  <c:v>99.522769999999994</c:v>
                </c:pt>
                <c:pt idx="77">
                  <c:v>99.480539999999991</c:v>
                </c:pt>
                <c:pt idx="78">
                  <c:v>99.455629999999999</c:v>
                </c:pt>
                <c:pt idx="79">
                  <c:v>99.430179999999993</c:v>
                </c:pt>
                <c:pt idx="80">
                  <c:v>99.407619999999994</c:v>
                </c:pt>
                <c:pt idx="81">
                  <c:v>99.409689999999998</c:v>
                </c:pt>
                <c:pt idx="82">
                  <c:v>99.378739999999993</c:v>
                </c:pt>
                <c:pt idx="83">
                  <c:v>99.382679999999993</c:v>
                </c:pt>
                <c:pt idx="84">
                  <c:v>99.340959999999995</c:v>
                </c:pt>
                <c:pt idx="85">
                  <c:v>99.331589999999991</c:v>
                </c:pt>
                <c:pt idx="86">
                  <c:v>99.315699999999993</c:v>
                </c:pt>
                <c:pt idx="87">
                  <c:v>99.281819999999996</c:v>
                </c:pt>
                <c:pt idx="88">
                  <c:v>99.249520000000004</c:v>
                </c:pt>
                <c:pt idx="89">
                  <c:v>99.23657</c:v>
                </c:pt>
                <c:pt idx="90">
                  <c:v>99.238029999999995</c:v>
                </c:pt>
                <c:pt idx="91">
                  <c:v>99.210700000000003</c:v>
                </c:pt>
                <c:pt idx="92">
                  <c:v>99.178049999999999</c:v>
                </c:pt>
                <c:pt idx="93">
                  <c:v>99.169359999999998</c:v>
                </c:pt>
                <c:pt idx="94">
                  <c:v>99.157699999999991</c:v>
                </c:pt>
                <c:pt idx="95">
                  <c:v>99.117949999999993</c:v>
                </c:pt>
                <c:pt idx="96">
                  <c:v>99.106709999999993</c:v>
                </c:pt>
                <c:pt idx="97">
                  <c:v>99.104939999999999</c:v>
                </c:pt>
                <c:pt idx="98">
                  <c:v>99.072310000000002</c:v>
                </c:pt>
                <c:pt idx="99">
                  <c:v>99.062550000000002</c:v>
                </c:pt>
                <c:pt idx="100">
                  <c:v>99.040679999999995</c:v>
                </c:pt>
                <c:pt idx="101">
                  <c:v>99.044780000000003</c:v>
                </c:pt>
                <c:pt idx="102">
                  <c:v>98.995580000000004</c:v>
                </c:pt>
                <c:pt idx="103">
                  <c:v>98.982779999999991</c:v>
                </c:pt>
                <c:pt idx="104">
                  <c:v>98.973389999999995</c:v>
                </c:pt>
                <c:pt idx="105">
                  <c:v>98.942340000000002</c:v>
                </c:pt>
                <c:pt idx="106">
                  <c:v>98.913539999999998</c:v>
                </c:pt>
                <c:pt idx="107">
                  <c:v>98.89636999999999</c:v>
                </c:pt>
                <c:pt idx="108">
                  <c:v>98.886240000000001</c:v>
                </c:pt>
                <c:pt idx="109">
                  <c:v>98.858710000000002</c:v>
                </c:pt>
                <c:pt idx="110">
                  <c:v>98.841549999999998</c:v>
                </c:pt>
                <c:pt idx="111">
                  <c:v>98.794600000000003</c:v>
                </c:pt>
                <c:pt idx="112">
                  <c:v>98.811099999999996</c:v>
                </c:pt>
                <c:pt idx="113">
                  <c:v>98.775769999999994</c:v>
                </c:pt>
                <c:pt idx="114">
                  <c:v>98.780019999999993</c:v>
                </c:pt>
                <c:pt idx="115">
                  <c:v>98.74006</c:v>
                </c:pt>
                <c:pt idx="116">
                  <c:v>98.712609999999998</c:v>
                </c:pt>
                <c:pt idx="117">
                  <c:v>98.677250000000001</c:v>
                </c:pt>
                <c:pt idx="118">
                  <c:v>98.666979999999995</c:v>
                </c:pt>
                <c:pt idx="119">
                  <c:v>98.654219999999995</c:v>
                </c:pt>
                <c:pt idx="120">
                  <c:v>98.634289999999993</c:v>
                </c:pt>
                <c:pt idx="121">
                  <c:v>98.626329999999996</c:v>
                </c:pt>
                <c:pt idx="122">
                  <c:v>98.577259999999995</c:v>
                </c:pt>
                <c:pt idx="123">
                  <c:v>98.560679999999991</c:v>
                </c:pt>
                <c:pt idx="124">
                  <c:v>98.555120000000002</c:v>
                </c:pt>
                <c:pt idx="125">
                  <c:v>98.52373</c:v>
                </c:pt>
                <c:pt idx="126">
                  <c:v>98.489620000000002</c:v>
                </c:pt>
                <c:pt idx="127">
                  <c:v>98.462999999999994</c:v>
                </c:pt>
                <c:pt idx="128">
                  <c:v>98.473249999999993</c:v>
                </c:pt>
                <c:pt idx="129">
                  <c:v>98.42747</c:v>
                </c:pt>
                <c:pt idx="130">
                  <c:v>98.416529999999995</c:v>
                </c:pt>
                <c:pt idx="131">
                  <c:v>98.40737</c:v>
                </c:pt>
                <c:pt idx="132">
                  <c:v>98.389330000000001</c:v>
                </c:pt>
                <c:pt idx="133">
                  <c:v>98.349339999999998</c:v>
                </c:pt>
                <c:pt idx="134">
                  <c:v>98.338049999999996</c:v>
                </c:pt>
                <c:pt idx="135">
                  <c:v>98.33180999999999</c:v>
                </c:pt>
                <c:pt idx="136">
                  <c:v>98.279479999999992</c:v>
                </c:pt>
                <c:pt idx="137">
                  <c:v>98.275499999999994</c:v>
                </c:pt>
                <c:pt idx="138">
                  <c:v>98.232579999999999</c:v>
                </c:pt>
                <c:pt idx="139">
                  <c:v>98.228679999999997</c:v>
                </c:pt>
                <c:pt idx="140">
                  <c:v>98.189909999999998</c:v>
                </c:pt>
                <c:pt idx="141">
                  <c:v>98.197149999999993</c:v>
                </c:pt>
                <c:pt idx="142">
                  <c:v>98.142629999999997</c:v>
                </c:pt>
                <c:pt idx="143">
                  <c:v>98.151079999999993</c:v>
                </c:pt>
                <c:pt idx="144">
                  <c:v>98.110370000000003</c:v>
                </c:pt>
                <c:pt idx="145">
                  <c:v>98.094999999999999</c:v>
                </c:pt>
                <c:pt idx="146">
                  <c:v>98.097139999999996</c:v>
                </c:pt>
                <c:pt idx="147">
                  <c:v>98.049599999999998</c:v>
                </c:pt>
                <c:pt idx="148">
                  <c:v>98.01773</c:v>
                </c:pt>
                <c:pt idx="149">
                  <c:v>98.02709999999999</c:v>
                </c:pt>
                <c:pt idx="150">
                  <c:v>97.998549999999994</c:v>
                </c:pt>
                <c:pt idx="151">
                  <c:v>97.981939999999994</c:v>
                </c:pt>
                <c:pt idx="152">
                  <c:v>97.962940000000003</c:v>
                </c:pt>
                <c:pt idx="153">
                  <c:v>97.936520000000002</c:v>
                </c:pt>
                <c:pt idx="154">
                  <c:v>97.929130000000001</c:v>
                </c:pt>
                <c:pt idx="155">
                  <c:v>97.931659999999994</c:v>
                </c:pt>
                <c:pt idx="156">
                  <c:v>97.890789999999996</c:v>
                </c:pt>
                <c:pt idx="157">
                  <c:v>97.87008999999999</c:v>
                </c:pt>
                <c:pt idx="158">
                  <c:v>97.826619999999991</c:v>
                </c:pt>
                <c:pt idx="159">
                  <c:v>97.839320000000001</c:v>
                </c:pt>
                <c:pt idx="160">
                  <c:v>97.788309999999996</c:v>
                </c:pt>
                <c:pt idx="161">
                  <c:v>97.795540000000003</c:v>
                </c:pt>
                <c:pt idx="162">
                  <c:v>97.771810000000002</c:v>
                </c:pt>
                <c:pt idx="163">
                  <c:v>97.751589999999993</c:v>
                </c:pt>
                <c:pt idx="164">
                  <c:v>97.73017999999999</c:v>
                </c:pt>
                <c:pt idx="165">
                  <c:v>97.704340000000002</c:v>
                </c:pt>
                <c:pt idx="166">
                  <c:v>97.691540000000003</c:v>
                </c:pt>
                <c:pt idx="167">
                  <c:v>97.671109999999999</c:v>
                </c:pt>
                <c:pt idx="168">
                  <c:v>97.652799999999999</c:v>
                </c:pt>
                <c:pt idx="169">
                  <c:v>97.645399999999995</c:v>
                </c:pt>
                <c:pt idx="170">
                  <c:v>97.641739999999999</c:v>
                </c:pt>
                <c:pt idx="171">
                  <c:v>97.62012</c:v>
                </c:pt>
                <c:pt idx="172">
                  <c:v>97.609110000000001</c:v>
                </c:pt>
                <c:pt idx="173">
                  <c:v>97.589619999999996</c:v>
                </c:pt>
                <c:pt idx="174">
                  <c:v>97.572639999999993</c:v>
                </c:pt>
                <c:pt idx="175">
                  <c:v>97.563980000000001</c:v>
                </c:pt>
                <c:pt idx="176">
                  <c:v>97.534719999999993</c:v>
                </c:pt>
                <c:pt idx="177">
                  <c:v>97.508499999999998</c:v>
                </c:pt>
                <c:pt idx="178">
                  <c:v>97.490340000000003</c:v>
                </c:pt>
                <c:pt idx="179">
                  <c:v>97.47381</c:v>
                </c:pt>
                <c:pt idx="180">
                  <c:v>97.450029999999998</c:v>
                </c:pt>
                <c:pt idx="181">
                  <c:v>97.437349999999995</c:v>
                </c:pt>
                <c:pt idx="182">
                  <c:v>97.430329999999998</c:v>
                </c:pt>
                <c:pt idx="183">
                  <c:v>97.406649999999999</c:v>
                </c:pt>
                <c:pt idx="184">
                  <c:v>97.406409999999994</c:v>
                </c:pt>
                <c:pt idx="185">
                  <c:v>97.38073</c:v>
                </c:pt>
                <c:pt idx="186">
                  <c:v>97.350679999999997</c:v>
                </c:pt>
                <c:pt idx="187">
                  <c:v>97.333349999999996</c:v>
                </c:pt>
                <c:pt idx="188">
                  <c:v>97.340479999999999</c:v>
                </c:pt>
                <c:pt idx="189">
                  <c:v>97.304180000000002</c:v>
                </c:pt>
                <c:pt idx="190">
                  <c:v>97.314520000000002</c:v>
                </c:pt>
                <c:pt idx="191">
                  <c:v>97.29486</c:v>
                </c:pt>
                <c:pt idx="192">
                  <c:v>97.277159999999995</c:v>
                </c:pt>
                <c:pt idx="193">
                  <c:v>97.251519999999999</c:v>
                </c:pt>
                <c:pt idx="194">
                  <c:v>97.243870000000001</c:v>
                </c:pt>
                <c:pt idx="195">
                  <c:v>97.222219999999993</c:v>
                </c:pt>
                <c:pt idx="196">
                  <c:v>97.220569999999995</c:v>
                </c:pt>
                <c:pt idx="197">
                  <c:v>97.189059999999998</c:v>
                </c:pt>
                <c:pt idx="198">
                  <c:v>97.176239999999993</c:v>
                </c:pt>
                <c:pt idx="199">
                  <c:v>97.155940000000001</c:v>
                </c:pt>
                <c:pt idx="200">
                  <c:v>97.141829999999999</c:v>
                </c:pt>
                <c:pt idx="201">
                  <c:v>97.123199999999997</c:v>
                </c:pt>
                <c:pt idx="202">
                  <c:v>97.13109</c:v>
                </c:pt>
                <c:pt idx="203">
                  <c:v>97.105040000000002</c:v>
                </c:pt>
                <c:pt idx="204">
                  <c:v>97.081090000000003</c:v>
                </c:pt>
                <c:pt idx="205">
                  <c:v>97.068929999999995</c:v>
                </c:pt>
                <c:pt idx="206">
                  <c:v>97.053349999999995</c:v>
                </c:pt>
                <c:pt idx="207">
                  <c:v>97.029979999999995</c:v>
                </c:pt>
                <c:pt idx="208">
                  <c:v>97.026499999999999</c:v>
                </c:pt>
                <c:pt idx="209">
                  <c:v>97.00672999999999</c:v>
                </c:pt>
                <c:pt idx="210">
                  <c:v>96.990160000000003</c:v>
                </c:pt>
                <c:pt idx="211">
                  <c:v>96.980800000000002</c:v>
                </c:pt>
                <c:pt idx="212">
                  <c:v>96.935019999999994</c:v>
                </c:pt>
                <c:pt idx="213">
                  <c:v>96.929869999999994</c:v>
                </c:pt>
                <c:pt idx="214">
                  <c:v>96.913519999999991</c:v>
                </c:pt>
                <c:pt idx="215">
                  <c:v>96.911450000000002</c:v>
                </c:pt>
                <c:pt idx="216">
                  <c:v>96.89452</c:v>
                </c:pt>
                <c:pt idx="217">
                  <c:v>96.889510000000001</c:v>
                </c:pt>
                <c:pt idx="218">
                  <c:v>96.876660000000001</c:v>
                </c:pt>
                <c:pt idx="219">
                  <c:v>96.841129999999993</c:v>
                </c:pt>
                <c:pt idx="220">
                  <c:v>96.851689999999991</c:v>
                </c:pt>
                <c:pt idx="221">
                  <c:v>96.847970000000004</c:v>
                </c:pt>
                <c:pt idx="222">
                  <c:v>96.818379999999991</c:v>
                </c:pt>
                <c:pt idx="223">
                  <c:v>96.796279999999996</c:v>
                </c:pt>
                <c:pt idx="224">
                  <c:v>96.778260000000003</c:v>
                </c:pt>
                <c:pt idx="225">
                  <c:v>96.776479999999992</c:v>
                </c:pt>
                <c:pt idx="226">
                  <c:v>96.749070000000003</c:v>
                </c:pt>
                <c:pt idx="227">
                  <c:v>96.746830000000003</c:v>
                </c:pt>
                <c:pt idx="228">
                  <c:v>96.712599999999995</c:v>
                </c:pt>
                <c:pt idx="229">
                  <c:v>96.717799999999997</c:v>
                </c:pt>
                <c:pt idx="230">
                  <c:v>96.692139999999995</c:v>
                </c:pt>
                <c:pt idx="231">
                  <c:v>96.690249999999992</c:v>
                </c:pt>
                <c:pt idx="232">
                  <c:v>96.672539999999998</c:v>
                </c:pt>
                <c:pt idx="233">
                  <c:v>96.645139999999998</c:v>
                </c:pt>
                <c:pt idx="234">
                  <c:v>96.620319999999992</c:v>
                </c:pt>
                <c:pt idx="235">
                  <c:v>96.639039999999994</c:v>
                </c:pt>
                <c:pt idx="236">
                  <c:v>96.618229999999997</c:v>
                </c:pt>
                <c:pt idx="237">
                  <c:v>96.60347999999999</c:v>
                </c:pt>
                <c:pt idx="238">
                  <c:v>96.575800000000001</c:v>
                </c:pt>
                <c:pt idx="239">
                  <c:v>96.584360000000004</c:v>
                </c:pt>
                <c:pt idx="240">
                  <c:v>96.571919999999992</c:v>
                </c:pt>
                <c:pt idx="241">
                  <c:v>96.550229999999999</c:v>
                </c:pt>
                <c:pt idx="242">
                  <c:v>96.532849999999996</c:v>
                </c:pt>
                <c:pt idx="243">
                  <c:v>96.504440000000002</c:v>
                </c:pt>
                <c:pt idx="244">
                  <c:v>96.498949999999994</c:v>
                </c:pt>
                <c:pt idx="245">
                  <c:v>96.47139</c:v>
                </c:pt>
                <c:pt idx="246">
                  <c:v>96.470929999999996</c:v>
                </c:pt>
                <c:pt idx="247">
                  <c:v>96.44941</c:v>
                </c:pt>
                <c:pt idx="248">
                  <c:v>96.422299999999993</c:v>
                </c:pt>
                <c:pt idx="249">
                  <c:v>96.399749999999997</c:v>
                </c:pt>
                <c:pt idx="250">
                  <c:v>96.409329999999997</c:v>
                </c:pt>
                <c:pt idx="251">
                  <c:v>96.411270000000002</c:v>
                </c:pt>
                <c:pt idx="252">
                  <c:v>96.391120000000001</c:v>
                </c:pt>
                <c:pt idx="253">
                  <c:v>96.391030000000001</c:v>
                </c:pt>
                <c:pt idx="254">
                  <c:v>96.370369999999994</c:v>
                </c:pt>
                <c:pt idx="255">
                  <c:v>96.345159999999993</c:v>
                </c:pt>
                <c:pt idx="256">
                  <c:v>96.345529999999997</c:v>
                </c:pt>
                <c:pt idx="257">
                  <c:v>96.325649999999996</c:v>
                </c:pt>
                <c:pt idx="258">
                  <c:v>96.294699999999992</c:v>
                </c:pt>
                <c:pt idx="259">
                  <c:v>96.284409999999994</c:v>
                </c:pt>
                <c:pt idx="260">
                  <c:v>96.27552</c:v>
                </c:pt>
                <c:pt idx="261">
                  <c:v>96.270960000000002</c:v>
                </c:pt>
                <c:pt idx="262">
                  <c:v>96.283329999999992</c:v>
                </c:pt>
                <c:pt idx="263">
                  <c:v>96.258780000000002</c:v>
                </c:pt>
                <c:pt idx="264">
                  <c:v>96.241640000000004</c:v>
                </c:pt>
                <c:pt idx="265">
                  <c:v>96.217410000000001</c:v>
                </c:pt>
                <c:pt idx="266">
                  <c:v>96.224869999999996</c:v>
                </c:pt>
                <c:pt idx="267">
                  <c:v>96.202860000000001</c:v>
                </c:pt>
                <c:pt idx="268">
                  <c:v>96.173220000000001</c:v>
                </c:pt>
                <c:pt idx="269">
                  <c:v>96.168170000000003</c:v>
                </c:pt>
                <c:pt idx="270">
                  <c:v>96.16279999999999</c:v>
                </c:pt>
                <c:pt idx="271">
                  <c:v>96.147949999999994</c:v>
                </c:pt>
                <c:pt idx="272">
                  <c:v>96.115139999999997</c:v>
                </c:pt>
                <c:pt idx="273">
                  <c:v>96.135179999999991</c:v>
                </c:pt>
                <c:pt idx="274">
                  <c:v>96.120570000000001</c:v>
                </c:pt>
                <c:pt idx="275">
                  <c:v>96.097830000000002</c:v>
                </c:pt>
                <c:pt idx="276">
                  <c:v>96.07889999999999</c:v>
                </c:pt>
                <c:pt idx="277">
                  <c:v>96.053370000000001</c:v>
                </c:pt>
                <c:pt idx="278">
                  <c:v>96.05498</c:v>
                </c:pt>
                <c:pt idx="279">
                  <c:v>96.029740000000004</c:v>
                </c:pt>
                <c:pt idx="280">
                  <c:v>96.027329999999992</c:v>
                </c:pt>
                <c:pt idx="281">
                  <c:v>96.022239999999996</c:v>
                </c:pt>
                <c:pt idx="282">
                  <c:v>95.992179999999991</c:v>
                </c:pt>
                <c:pt idx="283">
                  <c:v>95.999740000000003</c:v>
                </c:pt>
                <c:pt idx="284">
                  <c:v>95.988869999999991</c:v>
                </c:pt>
                <c:pt idx="285">
                  <c:v>95.951160000000002</c:v>
                </c:pt>
                <c:pt idx="286">
                  <c:v>95.969759999999994</c:v>
                </c:pt>
                <c:pt idx="287">
                  <c:v>95.936129999999991</c:v>
                </c:pt>
                <c:pt idx="288">
                  <c:v>95.937690000000003</c:v>
                </c:pt>
                <c:pt idx="289">
                  <c:v>95.911990000000003</c:v>
                </c:pt>
                <c:pt idx="290">
                  <c:v>95.916650000000004</c:v>
                </c:pt>
                <c:pt idx="291">
                  <c:v>95.896050000000002</c:v>
                </c:pt>
                <c:pt idx="292">
                  <c:v>95.881630000000001</c:v>
                </c:pt>
                <c:pt idx="293">
                  <c:v>95.874499999999998</c:v>
                </c:pt>
                <c:pt idx="294">
                  <c:v>95.850470000000001</c:v>
                </c:pt>
                <c:pt idx="295">
                  <c:v>95.822699999999998</c:v>
                </c:pt>
                <c:pt idx="296">
                  <c:v>95.827010000000001</c:v>
                </c:pt>
                <c:pt idx="297">
                  <c:v>95.850679999999997</c:v>
                </c:pt>
                <c:pt idx="298">
                  <c:v>95.799570000000003</c:v>
                </c:pt>
                <c:pt idx="299">
                  <c:v>95.808459999999997</c:v>
                </c:pt>
                <c:pt idx="300">
                  <c:v>95.783509999999993</c:v>
                </c:pt>
                <c:pt idx="301">
                  <c:v>95.766710000000003</c:v>
                </c:pt>
                <c:pt idx="302">
                  <c:v>95.763649999999998</c:v>
                </c:pt>
                <c:pt idx="303">
                  <c:v>95.748719999999992</c:v>
                </c:pt>
                <c:pt idx="304">
                  <c:v>95.726209999999995</c:v>
                </c:pt>
                <c:pt idx="305">
                  <c:v>95.731880000000004</c:v>
                </c:pt>
                <c:pt idx="306">
                  <c:v>95.722740000000002</c:v>
                </c:pt>
                <c:pt idx="307">
                  <c:v>95.722160000000002</c:v>
                </c:pt>
                <c:pt idx="308">
                  <c:v>95.697019999999995</c:v>
                </c:pt>
                <c:pt idx="309">
                  <c:v>95.682419999999993</c:v>
                </c:pt>
                <c:pt idx="310">
                  <c:v>95.684229999999999</c:v>
                </c:pt>
                <c:pt idx="311">
                  <c:v>95.677120000000002</c:v>
                </c:pt>
                <c:pt idx="312">
                  <c:v>95.649749999999997</c:v>
                </c:pt>
                <c:pt idx="313">
                  <c:v>95.638220000000004</c:v>
                </c:pt>
                <c:pt idx="314">
                  <c:v>95.636569999999992</c:v>
                </c:pt>
                <c:pt idx="315">
                  <c:v>95.620570000000001</c:v>
                </c:pt>
                <c:pt idx="316">
                  <c:v>95.603839999999991</c:v>
                </c:pt>
                <c:pt idx="317">
                  <c:v>95.602090000000004</c:v>
                </c:pt>
                <c:pt idx="318">
                  <c:v>95.567449999999994</c:v>
                </c:pt>
                <c:pt idx="319">
                  <c:v>95.57486999999999</c:v>
                </c:pt>
                <c:pt idx="320">
                  <c:v>95.567439999999991</c:v>
                </c:pt>
                <c:pt idx="321">
                  <c:v>95.556020000000004</c:v>
                </c:pt>
                <c:pt idx="322">
                  <c:v>95.550789999999992</c:v>
                </c:pt>
                <c:pt idx="323">
                  <c:v>95.550539999999998</c:v>
                </c:pt>
                <c:pt idx="324">
                  <c:v>95.517709999999994</c:v>
                </c:pt>
                <c:pt idx="325">
                  <c:v>95.495229999999992</c:v>
                </c:pt>
                <c:pt idx="326">
                  <c:v>95.507019999999997</c:v>
                </c:pt>
                <c:pt idx="327">
                  <c:v>95.521000000000001</c:v>
                </c:pt>
                <c:pt idx="328">
                  <c:v>95.462569999999999</c:v>
                </c:pt>
                <c:pt idx="329">
                  <c:v>95.483530000000002</c:v>
                </c:pt>
                <c:pt idx="330">
                  <c:v>95.47054</c:v>
                </c:pt>
                <c:pt idx="331">
                  <c:v>95.461100000000002</c:v>
                </c:pt>
                <c:pt idx="332">
                  <c:v>95.453949999999992</c:v>
                </c:pt>
                <c:pt idx="333">
                  <c:v>95.44905</c:v>
                </c:pt>
                <c:pt idx="334">
                  <c:v>95.417259999999999</c:v>
                </c:pt>
                <c:pt idx="335">
                  <c:v>95.430179999999993</c:v>
                </c:pt>
                <c:pt idx="336">
                  <c:v>95.421199999999999</c:v>
                </c:pt>
                <c:pt idx="337">
                  <c:v>95.392020000000002</c:v>
                </c:pt>
                <c:pt idx="338">
                  <c:v>95.395479999999992</c:v>
                </c:pt>
                <c:pt idx="339">
                  <c:v>95.39054999999999</c:v>
                </c:pt>
                <c:pt idx="340">
                  <c:v>95.379139999999992</c:v>
                </c:pt>
                <c:pt idx="341">
                  <c:v>95.349090000000004</c:v>
                </c:pt>
                <c:pt idx="342">
                  <c:v>95.338809999999995</c:v>
                </c:pt>
                <c:pt idx="343">
                  <c:v>95.34975</c:v>
                </c:pt>
                <c:pt idx="344">
                  <c:v>95.32978</c:v>
                </c:pt>
                <c:pt idx="345">
                  <c:v>95.313469999999995</c:v>
                </c:pt>
                <c:pt idx="346">
                  <c:v>95.320459999999997</c:v>
                </c:pt>
                <c:pt idx="347">
                  <c:v>95.284219999999991</c:v>
                </c:pt>
                <c:pt idx="348">
                  <c:v>95.284239999999997</c:v>
                </c:pt>
                <c:pt idx="349">
                  <c:v>95.267969999999991</c:v>
                </c:pt>
                <c:pt idx="350">
                  <c:v>95.268090000000001</c:v>
                </c:pt>
                <c:pt idx="351">
                  <c:v>95.249549999999999</c:v>
                </c:pt>
                <c:pt idx="352">
                  <c:v>95.251769999999993</c:v>
                </c:pt>
                <c:pt idx="353">
                  <c:v>95.242359999999991</c:v>
                </c:pt>
                <c:pt idx="354">
                  <c:v>95.198430000000002</c:v>
                </c:pt>
                <c:pt idx="355">
                  <c:v>95.218710000000002</c:v>
                </c:pt>
                <c:pt idx="356">
                  <c:v>95.180719999999994</c:v>
                </c:pt>
                <c:pt idx="357">
                  <c:v>95.191209999999998</c:v>
                </c:pt>
                <c:pt idx="358">
                  <c:v>95.159859999999995</c:v>
                </c:pt>
                <c:pt idx="359">
                  <c:v>95.147350000000003</c:v>
                </c:pt>
                <c:pt idx="360">
                  <c:v>95.147319999999993</c:v>
                </c:pt>
                <c:pt idx="361">
                  <c:v>95.132620000000003</c:v>
                </c:pt>
                <c:pt idx="362">
                  <c:v>95.108639999999994</c:v>
                </c:pt>
                <c:pt idx="363">
                  <c:v>95.123049999999992</c:v>
                </c:pt>
                <c:pt idx="364">
                  <c:v>95.108620000000002</c:v>
                </c:pt>
                <c:pt idx="365">
                  <c:v>95.091300000000004</c:v>
                </c:pt>
                <c:pt idx="366">
                  <c:v>95.076309999999992</c:v>
                </c:pt>
                <c:pt idx="367">
                  <c:v>95.063279999999992</c:v>
                </c:pt>
                <c:pt idx="368">
                  <c:v>95.048689999999993</c:v>
                </c:pt>
                <c:pt idx="369">
                  <c:v>95.017579999999995</c:v>
                </c:pt>
                <c:pt idx="370">
                  <c:v>95.024909999999991</c:v>
                </c:pt>
                <c:pt idx="371">
                  <c:v>94.990740000000002</c:v>
                </c:pt>
                <c:pt idx="372">
                  <c:v>94.999759999999995</c:v>
                </c:pt>
                <c:pt idx="373">
                  <c:v>94.985979999999998</c:v>
                </c:pt>
                <c:pt idx="374">
                  <c:v>94.981309999999993</c:v>
                </c:pt>
                <c:pt idx="375">
                  <c:v>94.96768999999999</c:v>
                </c:pt>
                <c:pt idx="376">
                  <c:v>94.940649999999991</c:v>
                </c:pt>
                <c:pt idx="377">
                  <c:v>94.916650000000004</c:v>
                </c:pt>
                <c:pt idx="378">
                  <c:v>94.940789999999993</c:v>
                </c:pt>
                <c:pt idx="379">
                  <c:v>94.887829999999994</c:v>
                </c:pt>
                <c:pt idx="380">
                  <c:v>94.891739999999999</c:v>
                </c:pt>
                <c:pt idx="381">
                  <c:v>94.873159999999999</c:v>
                </c:pt>
                <c:pt idx="382">
                  <c:v>94.891379999999998</c:v>
                </c:pt>
                <c:pt idx="383">
                  <c:v>94.860469999999992</c:v>
                </c:pt>
                <c:pt idx="384">
                  <c:v>94.843729999999994</c:v>
                </c:pt>
                <c:pt idx="385">
                  <c:v>94.842709999999997</c:v>
                </c:pt>
                <c:pt idx="386">
                  <c:v>94.81841</c:v>
                </c:pt>
                <c:pt idx="387">
                  <c:v>94.795969999999997</c:v>
                </c:pt>
                <c:pt idx="388">
                  <c:v>94.82347</c:v>
                </c:pt>
                <c:pt idx="389">
                  <c:v>94.771479999999997</c:v>
                </c:pt>
                <c:pt idx="390">
                  <c:v>94.774659999999997</c:v>
                </c:pt>
                <c:pt idx="391">
                  <c:v>94.757890000000003</c:v>
                </c:pt>
                <c:pt idx="392">
                  <c:v>94.767129999999995</c:v>
                </c:pt>
                <c:pt idx="393">
                  <c:v>94.739719999999991</c:v>
                </c:pt>
                <c:pt idx="394">
                  <c:v>94.712620000000001</c:v>
                </c:pt>
                <c:pt idx="395">
                  <c:v>94.722020000000001</c:v>
                </c:pt>
                <c:pt idx="396">
                  <c:v>94.685549999999992</c:v>
                </c:pt>
                <c:pt idx="397">
                  <c:v>94.690489999999997</c:v>
                </c:pt>
                <c:pt idx="398">
                  <c:v>94.697890000000001</c:v>
                </c:pt>
                <c:pt idx="399">
                  <c:v>94.680930000000004</c:v>
                </c:pt>
                <c:pt idx="400">
                  <c:v>94.672069999999991</c:v>
                </c:pt>
                <c:pt idx="401">
                  <c:v>94.659139999999994</c:v>
                </c:pt>
                <c:pt idx="402">
                  <c:v>94.627439999999993</c:v>
                </c:pt>
                <c:pt idx="403">
                  <c:v>94.655810000000002</c:v>
                </c:pt>
                <c:pt idx="404">
                  <c:v>94.609030000000004</c:v>
                </c:pt>
                <c:pt idx="405">
                  <c:v>94.613280000000003</c:v>
                </c:pt>
                <c:pt idx="406">
                  <c:v>94.608220000000003</c:v>
                </c:pt>
                <c:pt idx="407">
                  <c:v>94.602620000000002</c:v>
                </c:pt>
                <c:pt idx="408">
                  <c:v>94.592010000000002</c:v>
                </c:pt>
                <c:pt idx="409">
                  <c:v>94.586460000000002</c:v>
                </c:pt>
                <c:pt idx="410">
                  <c:v>94.574420000000003</c:v>
                </c:pt>
                <c:pt idx="411">
                  <c:v>94.535519999999991</c:v>
                </c:pt>
                <c:pt idx="412">
                  <c:v>94.555759999999992</c:v>
                </c:pt>
                <c:pt idx="413">
                  <c:v>94.517740000000003</c:v>
                </c:pt>
                <c:pt idx="414">
                  <c:v>94.529839999999993</c:v>
                </c:pt>
                <c:pt idx="415">
                  <c:v>94.537489999999991</c:v>
                </c:pt>
                <c:pt idx="416">
                  <c:v>94.51876</c:v>
                </c:pt>
                <c:pt idx="417">
                  <c:v>94.495049999999992</c:v>
                </c:pt>
                <c:pt idx="418">
                  <c:v>94.506540000000001</c:v>
                </c:pt>
                <c:pt idx="419">
                  <c:v>94.477409999999992</c:v>
                </c:pt>
                <c:pt idx="420">
                  <c:v>94.498390000000001</c:v>
                </c:pt>
                <c:pt idx="421">
                  <c:v>94.460799999999992</c:v>
                </c:pt>
                <c:pt idx="422">
                  <c:v>94.460629999999995</c:v>
                </c:pt>
                <c:pt idx="423">
                  <c:v>94.435090000000002</c:v>
                </c:pt>
                <c:pt idx="424">
                  <c:v>94.442039999999992</c:v>
                </c:pt>
                <c:pt idx="425">
                  <c:v>94.402349999999998</c:v>
                </c:pt>
                <c:pt idx="426">
                  <c:v>94.441839999999999</c:v>
                </c:pt>
                <c:pt idx="427">
                  <c:v>94.431209999999993</c:v>
                </c:pt>
                <c:pt idx="428">
                  <c:v>94.393159999999995</c:v>
                </c:pt>
                <c:pt idx="429">
                  <c:v>94.412809999999993</c:v>
                </c:pt>
                <c:pt idx="430">
                  <c:v>94.393029999999996</c:v>
                </c:pt>
                <c:pt idx="431">
                  <c:v>94.381149999999991</c:v>
                </c:pt>
                <c:pt idx="432">
                  <c:v>94.364279999999994</c:v>
                </c:pt>
                <c:pt idx="433">
                  <c:v>94.347250000000003</c:v>
                </c:pt>
                <c:pt idx="434">
                  <c:v>94.338319999999996</c:v>
                </c:pt>
                <c:pt idx="435">
                  <c:v>94.338740000000001</c:v>
                </c:pt>
                <c:pt idx="436">
                  <c:v>94.33959999999999</c:v>
                </c:pt>
                <c:pt idx="437">
                  <c:v>94.343389999999999</c:v>
                </c:pt>
                <c:pt idx="438">
                  <c:v>94.279409999999999</c:v>
                </c:pt>
                <c:pt idx="439">
                  <c:v>94.308840000000004</c:v>
                </c:pt>
                <c:pt idx="440">
                  <c:v>94.319000000000003</c:v>
                </c:pt>
                <c:pt idx="441">
                  <c:v>94.265289999999993</c:v>
                </c:pt>
                <c:pt idx="442">
                  <c:v>94.252969999999991</c:v>
                </c:pt>
                <c:pt idx="443">
                  <c:v>94.241280000000003</c:v>
                </c:pt>
                <c:pt idx="444">
                  <c:v>94.230400000000003</c:v>
                </c:pt>
                <c:pt idx="445">
                  <c:v>94.223129999999998</c:v>
                </c:pt>
                <c:pt idx="446">
                  <c:v>94.224819999999994</c:v>
                </c:pt>
                <c:pt idx="447">
                  <c:v>94.210309999999993</c:v>
                </c:pt>
                <c:pt idx="448">
                  <c:v>94.206369999999993</c:v>
                </c:pt>
                <c:pt idx="449">
                  <c:v>94.192009999999996</c:v>
                </c:pt>
                <c:pt idx="450">
                  <c:v>94.182559999999995</c:v>
                </c:pt>
                <c:pt idx="451">
                  <c:v>94.169809999999998</c:v>
                </c:pt>
                <c:pt idx="452">
                  <c:v>94.18074</c:v>
                </c:pt>
                <c:pt idx="453">
                  <c:v>94.157650000000004</c:v>
                </c:pt>
                <c:pt idx="454">
                  <c:v>94.159350000000003</c:v>
                </c:pt>
                <c:pt idx="455">
                  <c:v>94.111409999999992</c:v>
                </c:pt>
                <c:pt idx="456">
                  <c:v>94.109250000000003</c:v>
                </c:pt>
                <c:pt idx="457">
                  <c:v>94.135599999999997</c:v>
                </c:pt>
                <c:pt idx="458">
                  <c:v>94.102589999999992</c:v>
                </c:pt>
                <c:pt idx="459">
                  <c:v>94.124939999999995</c:v>
                </c:pt>
                <c:pt idx="460">
                  <c:v>94.06371</c:v>
                </c:pt>
                <c:pt idx="461">
                  <c:v>94.068049999999999</c:v>
                </c:pt>
                <c:pt idx="462">
                  <c:v>94.085999999999999</c:v>
                </c:pt>
                <c:pt idx="463">
                  <c:v>94.06617</c:v>
                </c:pt>
                <c:pt idx="464">
                  <c:v>94.051369999999991</c:v>
                </c:pt>
                <c:pt idx="465">
                  <c:v>94.033369999999991</c:v>
                </c:pt>
                <c:pt idx="466">
                  <c:v>94.038879999999992</c:v>
                </c:pt>
                <c:pt idx="467">
                  <c:v>94.028440000000003</c:v>
                </c:pt>
                <c:pt idx="468">
                  <c:v>94.016040000000004</c:v>
                </c:pt>
                <c:pt idx="469">
                  <c:v>94.007239999999996</c:v>
                </c:pt>
                <c:pt idx="470">
                  <c:v>93.996780000000001</c:v>
                </c:pt>
                <c:pt idx="471">
                  <c:v>94.00376</c:v>
                </c:pt>
                <c:pt idx="472">
                  <c:v>93.93822999999999</c:v>
                </c:pt>
                <c:pt idx="473">
                  <c:v>93.972610000000003</c:v>
                </c:pt>
                <c:pt idx="474">
                  <c:v>93.938699999999997</c:v>
                </c:pt>
                <c:pt idx="475">
                  <c:v>93.965299999999999</c:v>
                </c:pt>
                <c:pt idx="476">
                  <c:v>93.9619</c:v>
                </c:pt>
                <c:pt idx="477">
                  <c:v>93.943249999999992</c:v>
                </c:pt>
                <c:pt idx="478">
                  <c:v>93.936610000000002</c:v>
                </c:pt>
                <c:pt idx="479">
                  <c:v>93.946759999999998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D1-F04F-8F98-2400F5EBF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0925455"/>
        <c:axId val="1838487871"/>
      </c:scatterChart>
      <c:valAx>
        <c:axId val="2020925455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838487871"/>
        <c:crosses val="autoZero"/>
        <c:crossBetween val="midCat"/>
      </c:valAx>
      <c:valAx>
        <c:axId val="183848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020925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225C Corrected</a:t>
            </a:r>
            <a:r>
              <a:rPr lang="en-US" baseline="0"/>
              <a:t> mass% vs time (Odin)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Odin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Data'!$Q$4:$Q$483</c:f>
              <c:numCache>
                <c:formatCode>General</c:formatCode>
                <c:ptCount val="48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</c:numCache>
            </c:numRef>
          </c:xVal>
          <c:yVal>
            <c:numRef>
              <c:f>'All Data'!$S$4:$S$483</c:f>
              <c:numCache>
                <c:formatCode>0.00000</c:formatCode>
                <c:ptCount val="480"/>
                <c:pt idx="0">
                  <c:v>100</c:v>
                </c:pt>
                <c:pt idx="1">
                  <c:v>99.695520000000002</c:v>
                </c:pt>
                <c:pt idx="2">
                  <c:v>100.00800000000001</c:v>
                </c:pt>
                <c:pt idx="3">
                  <c:v>100.00539000000001</c:v>
                </c:pt>
                <c:pt idx="4">
                  <c:v>99.98884000000001</c:v>
                </c:pt>
                <c:pt idx="5">
                  <c:v>100.06920000000001</c:v>
                </c:pt>
                <c:pt idx="6">
                  <c:v>100.09937000000001</c:v>
                </c:pt>
                <c:pt idx="7">
                  <c:v>100.06128000000001</c:v>
                </c:pt>
                <c:pt idx="8">
                  <c:v>100.05458</c:v>
                </c:pt>
                <c:pt idx="9">
                  <c:v>100.16757000000001</c:v>
                </c:pt>
                <c:pt idx="10">
                  <c:v>99.886970000000005</c:v>
                </c:pt>
                <c:pt idx="11">
                  <c:v>99.973270000000014</c:v>
                </c:pt>
                <c:pt idx="12">
                  <c:v>100.05863000000001</c:v>
                </c:pt>
                <c:pt idx="13">
                  <c:v>99.924720000000008</c:v>
                </c:pt>
                <c:pt idx="14">
                  <c:v>100.11868000000001</c:v>
                </c:pt>
                <c:pt idx="15">
                  <c:v>100.02875</c:v>
                </c:pt>
                <c:pt idx="16">
                  <c:v>99.92</c:v>
                </c:pt>
                <c:pt idx="17">
                  <c:v>99.902250000000009</c:v>
                </c:pt>
                <c:pt idx="18">
                  <c:v>99.934100000000001</c:v>
                </c:pt>
                <c:pt idx="19">
                  <c:v>99.891190000000009</c:v>
                </c:pt>
                <c:pt idx="20">
                  <c:v>100.07783000000001</c:v>
                </c:pt>
                <c:pt idx="21">
                  <c:v>99.945000000000007</c:v>
                </c:pt>
                <c:pt idx="22">
                  <c:v>99.912350000000004</c:v>
                </c:pt>
                <c:pt idx="23">
                  <c:v>100.12344</c:v>
                </c:pt>
                <c:pt idx="24">
                  <c:v>100.03316000000001</c:v>
                </c:pt>
                <c:pt idx="25">
                  <c:v>99.923550000000006</c:v>
                </c:pt>
                <c:pt idx="26">
                  <c:v>99.822610000000012</c:v>
                </c:pt>
                <c:pt idx="27">
                  <c:v>100.00258000000001</c:v>
                </c:pt>
                <c:pt idx="28">
                  <c:v>99.993780000000001</c:v>
                </c:pt>
                <c:pt idx="29">
                  <c:v>99.761340000000004</c:v>
                </c:pt>
                <c:pt idx="30">
                  <c:v>99.897380000000013</c:v>
                </c:pt>
                <c:pt idx="31">
                  <c:v>100.02713000000001</c:v>
                </c:pt>
                <c:pt idx="32">
                  <c:v>100.01276</c:v>
                </c:pt>
                <c:pt idx="33">
                  <c:v>100.02867000000001</c:v>
                </c:pt>
                <c:pt idx="34">
                  <c:v>100.01177000000001</c:v>
                </c:pt>
                <c:pt idx="35">
                  <c:v>99.844860000000011</c:v>
                </c:pt>
                <c:pt idx="36">
                  <c:v>100.08651</c:v>
                </c:pt>
                <c:pt idx="37">
                  <c:v>99.919500000000014</c:v>
                </c:pt>
                <c:pt idx="38">
                  <c:v>100.03358</c:v>
                </c:pt>
                <c:pt idx="39">
                  <c:v>99.865520000000004</c:v>
                </c:pt>
                <c:pt idx="40">
                  <c:v>99.87848000000001</c:v>
                </c:pt>
                <c:pt idx="41">
                  <c:v>99.946200000000005</c:v>
                </c:pt>
                <c:pt idx="42">
                  <c:v>99.827150000000003</c:v>
                </c:pt>
                <c:pt idx="43">
                  <c:v>99.92765</c:v>
                </c:pt>
                <c:pt idx="44">
                  <c:v>99.860890000000012</c:v>
                </c:pt>
                <c:pt idx="45">
                  <c:v>99.986710000000002</c:v>
                </c:pt>
                <c:pt idx="46">
                  <c:v>99.925710000000009</c:v>
                </c:pt>
                <c:pt idx="47">
                  <c:v>99.788550000000001</c:v>
                </c:pt>
                <c:pt idx="48">
                  <c:v>99.942890000000006</c:v>
                </c:pt>
                <c:pt idx="49">
                  <c:v>99.800850000000011</c:v>
                </c:pt>
                <c:pt idx="50">
                  <c:v>99.673680000000004</c:v>
                </c:pt>
                <c:pt idx="51">
                  <c:v>99.834970000000013</c:v>
                </c:pt>
                <c:pt idx="52">
                  <c:v>99.82650000000001</c:v>
                </c:pt>
                <c:pt idx="53">
                  <c:v>99.845060000000004</c:v>
                </c:pt>
                <c:pt idx="54">
                  <c:v>99.837860000000006</c:v>
                </c:pt>
                <c:pt idx="55">
                  <c:v>99.790260000000004</c:v>
                </c:pt>
                <c:pt idx="56">
                  <c:v>99.849620000000002</c:v>
                </c:pt>
                <c:pt idx="57">
                  <c:v>99.774090000000001</c:v>
                </c:pt>
                <c:pt idx="58">
                  <c:v>99.786950000000004</c:v>
                </c:pt>
                <c:pt idx="59">
                  <c:v>99.851210000000009</c:v>
                </c:pt>
                <c:pt idx="60">
                  <c:v>99.786560000000009</c:v>
                </c:pt>
                <c:pt idx="61">
                  <c:v>99.904800000000009</c:v>
                </c:pt>
                <c:pt idx="62">
                  <c:v>99.808230000000009</c:v>
                </c:pt>
                <c:pt idx="63">
                  <c:v>99.772960000000012</c:v>
                </c:pt>
                <c:pt idx="64">
                  <c:v>99.88785</c:v>
                </c:pt>
                <c:pt idx="65">
                  <c:v>99.910290000000003</c:v>
                </c:pt>
                <c:pt idx="66">
                  <c:v>99.703830000000011</c:v>
                </c:pt>
                <c:pt idx="67">
                  <c:v>99.877340000000004</c:v>
                </c:pt>
                <c:pt idx="68">
                  <c:v>99.804390000000012</c:v>
                </c:pt>
                <c:pt idx="69">
                  <c:v>99.798680000000004</c:v>
                </c:pt>
                <c:pt idx="70">
                  <c:v>99.739770000000007</c:v>
                </c:pt>
                <c:pt idx="71">
                  <c:v>99.679990000000004</c:v>
                </c:pt>
                <c:pt idx="72">
                  <c:v>99.85954000000001</c:v>
                </c:pt>
                <c:pt idx="73">
                  <c:v>99.784930000000003</c:v>
                </c:pt>
                <c:pt idx="74">
                  <c:v>99.723680000000002</c:v>
                </c:pt>
                <c:pt idx="75">
                  <c:v>99.754770000000008</c:v>
                </c:pt>
                <c:pt idx="76">
                  <c:v>99.676400000000001</c:v>
                </c:pt>
                <c:pt idx="77">
                  <c:v>99.718540000000004</c:v>
                </c:pt>
                <c:pt idx="78">
                  <c:v>99.775600000000011</c:v>
                </c:pt>
                <c:pt idx="79">
                  <c:v>99.673580000000001</c:v>
                </c:pt>
                <c:pt idx="80">
                  <c:v>99.780040000000014</c:v>
                </c:pt>
                <c:pt idx="81">
                  <c:v>99.648320000000012</c:v>
                </c:pt>
                <c:pt idx="82">
                  <c:v>99.588240000000013</c:v>
                </c:pt>
                <c:pt idx="83">
                  <c:v>99.579740000000001</c:v>
                </c:pt>
                <c:pt idx="84">
                  <c:v>99.466790000000003</c:v>
                </c:pt>
                <c:pt idx="85">
                  <c:v>99.75912000000001</c:v>
                </c:pt>
                <c:pt idx="86">
                  <c:v>99.650790000000001</c:v>
                </c:pt>
                <c:pt idx="87">
                  <c:v>99.691690000000008</c:v>
                </c:pt>
                <c:pt idx="88">
                  <c:v>99.569850000000002</c:v>
                </c:pt>
                <c:pt idx="89">
                  <c:v>99.706970000000013</c:v>
                </c:pt>
                <c:pt idx="90">
                  <c:v>99.633750000000006</c:v>
                </c:pt>
                <c:pt idx="91">
                  <c:v>99.722410000000011</c:v>
                </c:pt>
                <c:pt idx="92">
                  <c:v>99.659240000000011</c:v>
                </c:pt>
                <c:pt idx="93">
                  <c:v>99.688520000000011</c:v>
                </c:pt>
                <c:pt idx="94">
                  <c:v>99.650390000000002</c:v>
                </c:pt>
                <c:pt idx="95">
                  <c:v>99.658570000000012</c:v>
                </c:pt>
                <c:pt idx="96">
                  <c:v>99.710350000000005</c:v>
                </c:pt>
                <c:pt idx="97">
                  <c:v>99.543000000000006</c:v>
                </c:pt>
                <c:pt idx="98">
                  <c:v>99.619060000000005</c:v>
                </c:pt>
                <c:pt idx="99">
                  <c:v>99.665840000000003</c:v>
                </c:pt>
                <c:pt idx="100">
                  <c:v>99.69004000000001</c:v>
                </c:pt>
                <c:pt idx="101">
                  <c:v>99.554310000000001</c:v>
                </c:pt>
                <c:pt idx="102">
                  <c:v>99.527740000000009</c:v>
                </c:pt>
                <c:pt idx="103">
                  <c:v>99.62951000000001</c:v>
                </c:pt>
                <c:pt idx="104">
                  <c:v>99.553140000000013</c:v>
                </c:pt>
                <c:pt idx="105">
                  <c:v>99.600420000000014</c:v>
                </c:pt>
                <c:pt idx="106">
                  <c:v>99.588530000000006</c:v>
                </c:pt>
                <c:pt idx="107">
                  <c:v>99.579780000000014</c:v>
                </c:pt>
                <c:pt idx="108">
                  <c:v>99.63188000000001</c:v>
                </c:pt>
                <c:pt idx="109">
                  <c:v>99.526520000000005</c:v>
                </c:pt>
                <c:pt idx="110">
                  <c:v>99.657250000000005</c:v>
                </c:pt>
                <c:pt idx="111">
                  <c:v>99.58899000000001</c:v>
                </c:pt>
                <c:pt idx="112">
                  <c:v>99.549840000000003</c:v>
                </c:pt>
                <c:pt idx="113">
                  <c:v>99.409130000000005</c:v>
                </c:pt>
                <c:pt idx="114">
                  <c:v>99.575850000000003</c:v>
                </c:pt>
                <c:pt idx="115">
                  <c:v>99.686720000000008</c:v>
                </c:pt>
                <c:pt idx="116">
                  <c:v>99.558400000000006</c:v>
                </c:pt>
                <c:pt idx="117">
                  <c:v>99.496030000000005</c:v>
                </c:pt>
                <c:pt idx="118">
                  <c:v>99.539760000000001</c:v>
                </c:pt>
                <c:pt idx="119">
                  <c:v>99.440260000000009</c:v>
                </c:pt>
                <c:pt idx="120">
                  <c:v>99.582710000000006</c:v>
                </c:pt>
                <c:pt idx="121">
                  <c:v>99.522090000000006</c:v>
                </c:pt>
                <c:pt idx="122">
                  <c:v>99.511530000000008</c:v>
                </c:pt>
                <c:pt idx="123">
                  <c:v>99.482270000000014</c:v>
                </c:pt>
                <c:pt idx="124">
                  <c:v>99.450720000000004</c:v>
                </c:pt>
                <c:pt idx="125">
                  <c:v>99.54131000000001</c:v>
                </c:pt>
                <c:pt idx="126">
                  <c:v>99.299350000000004</c:v>
                </c:pt>
                <c:pt idx="127">
                  <c:v>99.468530000000001</c:v>
                </c:pt>
                <c:pt idx="128">
                  <c:v>99.555120000000002</c:v>
                </c:pt>
                <c:pt idx="129">
                  <c:v>99.496470000000002</c:v>
                </c:pt>
                <c:pt idx="130">
                  <c:v>99.548080000000013</c:v>
                </c:pt>
                <c:pt idx="131">
                  <c:v>99.486890000000002</c:v>
                </c:pt>
                <c:pt idx="132">
                  <c:v>99.539900000000003</c:v>
                </c:pt>
                <c:pt idx="133">
                  <c:v>99.646090000000001</c:v>
                </c:pt>
                <c:pt idx="134">
                  <c:v>99.464610000000008</c:v>
                </c:pt>
                <c:pt idx="135">
                  <c:v>99.539970000000011</c:v>
                </c:pt>
                <c:pt idx="136">
                  <c:v>99.359130000000007</c:v>
                </c:pt>
                <c:pt idx="137">
                  <c:v>99.370530000000002</c:v>
                </c:pt>
                <c:pt idx="138">
                  <c:v>99.439290000000014</c:v>
                </c:pt>
                <c:pt idx="139">
                  <c:v>99.394110000000012</c:v>
                </c:pt>
                <c:pt idx="140">
                  <c:v>99.371700000000004</c:v>
                </c:pt>
                <c:pt idx="141">
                  <c:v>99.466300000000004</c:v>
                </c:pt>
                <c:pt idx="142">
                  <c:v>99.401060000000001</c:v>
                </c:pt>
                <c:pt idx="143">
                  <c:v>99.335070000000002</c:v>
                </c:pt>
                <c:pt idx="144">
                  <c:v>99.394120000000001</c:v>
                </c:pt>
                <c:pt idx="145">
                  <c:v>99.375430000000009</c:v>
                </c:pt>
                <c:pt idx="146">
                  <c:v>99.439090000000007</c:v>
                </c:pt>
                <c:pt idx="147">
                  <c:v>99.458390000000009</c:v>
                </c:pt>
                <c:pt idx="148">
                  <c:v>99.444020000000009</c:v>
                </c:pt>
                <c:pt idx="149">
                  <c:v>99.287560000000013</c:v>
                </c:pt>
                <c:pt idx="150">
                  <c:v>99.462990000000005</c:v>
                </c:pt>
                <c:pt idx="151">
                  <c:v>99.384770000000003</c:v>
                </c:pt>
                <c:pt idx="152">
                  <c:v>99.446140000000014</c:v>
                </c:pt>
                <c:pt idx="153">
                  <c:v>99.408080000000012</c:v>
                </c:pt>
                <c:pt idx="154">
                  <c:v>99.309570000000008</c:v>
                </c:pt>
                <c:pt idx="155">
                  <c:v>99.388950000000008</c:v>
                </c:pt>
                <c:pt idx="156">
                  <c:v>99.342870000000005</c:v>
                </c:pt>
                <c:pt idx="157">
                  <c:v>99.295200000000008</c:v>
                </c:pt>
                <c:pt idx="158">
                  <c:v>99.321980000000011</c:v>
                </c:pt>
                <c:pt idx="159">
                  <c:v>99.280780000000007</c:v>
                </c:pt>
                <c:pt idx="160">
                  <c:v>99.336420000000004</c:v>
                </c:pt>
                <c:pt idx="161">
                  <c:v>99.292790000000011</c:v>
                </c:pt>
                <c:pt idx="162">
                  <c:v>99.297000000000011</c:v>
                </c:pt>
                <c:pt idx="163">
                  <c:v>99.306530000000009</c:v>
                </c:pt>
                <c:pt idx="164">
                  <c:v>99.407750000000007</c:v>
                </c:pt>
                <c:pt idx="165">
                  <c:v>99.340940000000003</c:v>
                </c:pt>
                <c:pt idx="166">
                  <c:v>99.307780000000008</c:v>
                </c:pt>
                <c:pt idx="167">
                  <c:v>99.411940000000001</c:v>
                </c:pt>
                <c:pt idx="168">
                  <c:v>99.363100000000003</c:v>
                </c:pt>
                <c:pt idx="169">
                  <c:v>99.255200000000002</c:v>
                </c:pt>
                <c:pt idx="170">
                  <c:v>99.309510000000003</c:v>
                </c:pt>
                <c:pt idx="171">
                  <c:v>99.283820000000006</c:v>
                </c:pt>
                <c:pt idx="172">
                  <c:v>99.278270000000006</c:v>
                </c:pt>
                <c:pt idx="173">
                  <c:v>99.426850000000002</c:v>
                </c:pt>
                <c:pt idx="174">
                  <c:v>99.326220000000006</c:v>
                </c:pt>
                <c:pt idx="175">
                  <c:v>99.345560000000006</c:v>
                </c:pt>
                <c:pt idx="176">
                  <c:v>99.248760000000004</c:v>
                </c:pt>
                <c:pt idx="177">
                  <c:v>99.337530000000001</c:v>
                </c:pt>
                <c:pt idx="178">
                  <c:v>99.274190000000004</c:v>
                </c:pt>
                <c:pt idx="179">
                  <c:v>99.24278000000001</c:v>
                </c:pt>
                <c:pt idx="180">
                  <c:v>99.229530000000011</c:v>
                </c:pt>
                <c:pt idx="181">
                  <c:v>99.166930000000008</c:v>
                </c:pt>
                <c:pt idx="182">
                  <c:v>99.126260000000002</c:v>
                </c:pt>
                <c:pt idx="183">
                  <c:v>99.240580000000008</c:v>
                </c:pt>
                <c:pt idx="184">
                  <c:v>99.238510000000005</c:v>
                </c:pt>
                <c:pt idx="185">
                  <c:v>99.306100000000001</c:v>
                </c:pt>
                <c:pt idx="186">
                  <c:v>99.343430000000012</c:v>
                </c:pt>
                <c:pt idx="187">
                  <c:v>99.270520000000005</c:v>
                </c:pt>
                <c:pt idx="188">
                  <c:v>99.234880000000004</c:v>
                </c:pt>
                <c:pt idx="189">
                  <c:v>99.268710000000013</c:v>
                </c:pt>
                <c:pt idx="190">
                  <c:v>99.184160000000006</c:v>
                </c:pt>
                <c:pt idx="191">
                  <c:v>99.217410000000001</c:v>
                </c:pt>
                <c:pt idx="192">
                  <c:v>99.219720000000009</c:v>
                </c:pt>
                <c:pt idx="193">
                  <c:v>99.195580000000007</c:v>
                </c:pt>
                <c:pt idx="194">
                  <c:v>99.171140000000008</c:v>
                </c:pt>
                <c:pt idx="195">
                  <c:v>99.142890000000008</c:v>
                </c:pt>
                <c:pt idx="196">
                  <c:v>99.080880000000008</c:v>
                </c:pt>
                <c:pt idx="197">
                  <c:v>99.126220000000004</c:v>
                </c:pt>
                <c:pt idx="198">
                  <c:v>99.110720000000001</c:v>
                </c:pt>
                <c:pt idx="199">
                  <c:v>99.118460000000013</c:v>
                </c:pt>
                <c:pt idx="200">
                  <c:v>99.070120000000003</c:v>
                </c:pt>
                <c:pt idx="201">
                  <c:v>99.262620000000013</c:v>
                </c:pt>
                <c:pt idx="202">
                  <c:v>99.138270000000006</c:v>
                </c:pt>
                <c:pt idx="203">
                  <c:v>99.117100000000008</c:v>
                </c:pt>
                <c:pt idx="204">
                  <c:v>99.203890000000001</c:v>
                </c:pt>
                <c:pt idx="205">
                  <c:v>99.210240000000013</c:v>
                </c:pt>
                <c:pt idx="206">
                  <c:v>99.183490000000006</c:v>
                </c:pt>
                <c:pt idx="207">
                  <c:v>99.143920000000008</c:v>
                </c:pt>
                <c:pt idx="208">
                  <c:v>99.236660000000001</c:v>
                </c:pt>
                <c:pt idx="209">
                  <c:v>99.095580000000012</c:v>
                </c:pt>
                <c:pt idx="210">
                  <c:v>99.052340000000001</c:v>
                </c:pt>
                <c:pt idx="211">
                  <c:v>99.117230000000006</c:v>
                </c:pt>
                <c:pt idx="212">
                  <c:v>99.244600000000005</c:v>
                </c:pt>
                <c:pt idx="213">
                  <c:v>99.053370000000001</c:v>
                </c:pt>
                <c:pt idx="214">
                  <c:v>99.076870000000014</c:v>
                </c:pt>
                <c:pt idx="215">
                  <c:v>98.980620000000002</c:v>
                </c:pt>
                <c:pt idx="216">
                  <c:v>99.008430000000004</c:v>
                </c:pt>
                <c:pt idx="217">
                  <c:v>99.120280000000008</c:v>
                </c:pt>
                <c:pt idx="218">
                  <c:v>99.09478</c:v>
                </c:pt>
                <c:pt idx="219">
                  <c:v>99.06159000000001</c:v>
                </c:pt>
                <c:pt idx="220">
                  <c:v>99.030390000000011</c:v>
                </c:pt>
                <c:pt idx="221">
                  <c:v>99.085280000000012</c:v>
                </c:pt>
                <c:pt idx="222">
                  <c:v>99.104430000000008</c:v>
                </c:pt>
                <c:pt idx="223">
                  <c:v>99.10099000000001</c:v>
                </c:pt>
                <c:pt idx="224">
                  <c:v>99.044270000000012</c:v>
                </c:pt>
                <c:pt idx="225">
                  <c:v>99.062430000000006</c:v>
                </c:pt>
                <c:pt idx="226">
                  <c:v>99.13288</c:v>
                </c:pt>
                <c:pt idx="227">
                  <c:v>99.049050000000008</c:v>
                </c:pt>
                <c:pt idx="228">
                  <c:v>99.018260000000012</c:v>
                </c:pt>
                <c:pt idx="229">
                  <c:v>99.034020000000012</c:v>
                </c:pt>
                <c:pt idx="230">
                  <c:v>98.976980000000012</c:v>
                </c:pt>
                <c:pt idx="231">
                  <c:v>99.061240000000012</c:v>
                </c:pt>
                <c:pt idx="232">
                  <c:v>99.055260000000004</c:v>
                </c:pt>
                <c:pt idx="233">
                  <c:v>98.991790000000009</c:v>
                </c:pt>
                <c:pt idx="234">
                  <c:v>98.858030000000014</c:v>
                </c:pt>
                <c:pt idx="235">
                  <c:v>99.013380000000012</c:v>
                </c:pt>
                <c:pt idx="236">
                  <c:v>98.990580000000008</c:v>
                </c:pt>
                <c:pt idx="237">
                  <c:v>98.888120000000001</c:v>
                </c:pt>
                <c:pt idx="238">
                  <c:v>98.999370000000013</c:v>
                </c:pt>
                <c:pt idx="239">
                  <c:v>99.078600000000009</c:v>
                </c:pt>
                <c:pt idx="240">
                  <c:v>98.98387000000001</c:v>
                </c:pt>
                <c:pt idx="241">
                  <c:v>99.036820000000006</c:v>
                </c:pt>
                <c:pt idx="242">
                  <c:v>99.022110000000012</c:v>
                </c:pt>
                <c:pt idx="243">
                  <c:v>98.898880000000005</c:v>
                </c:pt>
                <c:pt idx="244">
                  <c:v>98.904950000000014</c:v>
                </c:pt>
                <c:pt idx="245">
                  <c:v>98.965310000000002</c:v>
                </c:pt>
                <c:pt idx="246">
                  <c:v>98.895930000000007</c:v>
                </c:pt>
                <c:pt idx="247">
                  <c:v>98.961640000000003</c:v>
                </c:pt>
                <c:pt idx="248">
                  <c:v>99.007520000000014</c:v>
                </c:pt>
                <c:pt idx="249">
                  <c:v>98.80228000000001</c:v>
                </c:pt>
                <c:pt idx="250">
                  <c:v>98.908600000000007</c:v>
                </c:pt>
                <c:pt idx="251">
                  <c:v>98.917110000000008</c:v>
                </c:pt>
                <c:pt idx="252">
                  <c:v>98.956330000000008</c:v>
                </c:pt>
                <c:pt idx="253">
                  <c:v>98.975910000000013</c:v>
                </c:pt>
                <c:pt idx="254">
                  <c:v>98.982640000000004</c:v>
                </c:pt>
                <c:pt idx="255">
                  <c:v>99.048480000000012</c:v>
                </c:pt>
                <c:pt idx="256">
                  <c:v>98.950830000000011</c:v>
                </c:pt>
                <c:pt idx="257">
                  <c:v>98.94914</c:v>
                </c:pt>
                <c:pt idx="258">
                  <c:v>98.945900000000009</c:v>
                </c:pt>
                <c:pt idx="259">
                  <c:v>98.880160000000004</c:v>
                </c:pt>
                <c:pt idx="260">
                  <c:v>98.932130000000001</c:v>
                </c:pt>
                <c:pt idx="261">
                  <c:v>98.889320000000012</c:v>
                </c:pt>
                <c:pt idx="262">
                  <c:v>98.777160000000009</c:v>
                </c:pt>
                <c:pt idx="263">
                  <c:v>98.90861000000001</c:v>
                </c:pt>
                <c:pt idx="264">
                  <c:v>98.921590000000009</c:v>
                </c:pt>
                <c:pt idx="265">
                  <c:v>98.882650000000012</c:v>
                </c:pt>
                <c:pt idx="266">
                  <c:v>98.838330000000013</c:v>
                </c:pt>
                <c:pt idx="267">
                  <c:v>98.777160000000009</c:v>
                </c:pt>
                <c:pt idx="268">
                  <c:v>98.932040000000001</c:v>
                </c:pt>
                <c:pt idx="269">
                  <c:v>98.826400000000007</c:v>
                </c:pt>
                <c:pt idx="270">
                  <c:v>98.831480000000013</c:v>
                </c:pt>
                <c:pt idx="271">
                  <c:v>98.872610000000009</c:v>
                </c:pt>
                <c:pt idx="272">
                  <c:v>98.940990000000014</c:v>
                </c:pt>
                <c:pt idx="273">
                  <c:v>98.831480000000013</c:v>
                </c:pt>
                <c:pt idx="274">
                  <c:v>98.80416000000001</c:v>
                </c:pt>
                <c:pt idx="275">
                  <c:v>98.87266000000001</c:v>
                </c:pt>
                <c:pt idx="276">
                  <c:v>98.752980000000008</c:v>
                </c:pt>
                <c:pt idx="277">
                  <c:v>98.807240000000007</c:v>
                </c:pt>
                <c:pt idx="278">
                  <c:v>98.798660000000012</c:v>
                </c:pt>
                <c:pt idx="279">
                  <c:v>98.800450000000012</c:v>
                </c:pt>
                <c:pt idx="280">
                  <c:v>98.955130000000011</c:v>
                </c:pt>
                <c:pt idx="281">
                  <c:v>98.747600000000006</c:v>
                </c:pt>
                <c:pt idx="282">
                  <c:v>98.799540000000007</c:v>
                </c:pt>
                <c:pt idx="283">
                  <c:v>98.924720000000008</c:v>
                </c:pt>
                <c:pt idx="284">
                  <c:v>98.802590000000009</c:v>
                </c:pt>
                <c:pt idx="285">
                  <c:v>98.640870000000007</c:v>
                </c:pt>
                <c:pt idx="286">
                  <c:v>98.779410000000013</c:v>
                </c:pt>
                <c:pt idx="287">
                  <c:v>98.723800000000011</c:v>
                </c:pt>
                <c:pt idx="288">
                  <c:v>98.785550000000001</c:v>
                </c:pt>
                <c:pt idx="289">
                  <c:v>98.738890000000012</c:v>
                </c:pt>
                <c:pt idx="290">
                  <c:v>98.806670000000011</c:v>
                </c:pt>
                <c:pt idx="291">
                  <c:v>98.781480000000002</c:v>
                </c:pt>
                <c:pt idx="292">
                  <c:v>98.724920000000012</c:v>
                </c:pt>
                <c:pt idx="293">
                  <c:v>98.840690000000009</c:v>
                </c:pt>
                <c:pt idx="294">
                  <c:v>98.687310000000011</c:v>
                </c:pt>
                <c:pt idx="295">
                  <c:v>98.784830000000014</c:v>
                </c:pt>
                <c:pt idx="296">
                  <c:v>98.649810000000002</c:v>
                </c:pt>
                <c:pt idx="297">
                  <c:v>98.833320000000001</c:v>
                </c:pt>
                <c:pt idx="298">
                  <c:v>98.624040000000008</c:v>
                </c:pt>
                <c:pt idx="299">
                  <c:v>98.700480000000013</c:v>
                </c:pt>
                <c:pt idx="300">
                  <c:v>98.720550000000003</c:v>
                </c:pt>
                <c:pt idx="301">
                  <c:v>98.79992</c:v>
                </c:pt>
                <c:pt idx="302">
                  <c:v>98.726760000000013</c:v>
                </c:pt>
                <c:pt idx="303">
                  <c:v>98.681180000000012</c:v>
                </c:pt>
                <c:pt idx="304">
                  <c:v>98.771550000000005</c:v>
                </c:pt>
                <c:pt idx="305">
                  <c:v>98.598280000000003</c:v>
                </c:pt>
                <c:pt idx="306">
                  <c:v>98.575320000000005</c:v>
                </c:pt>
                <c:pt idx="307">
                  <c:v>98.671510000000012</c:v>
                </c:pt>
                <c:pt idx="308">
                  <c:v>98.665860000000009</c:v>
                </c:pt>
                <c:pt idx="309">
                  <c:v>98.615860000000012</c:v>
                </c:pt>
                <c:pt idx="310">
                  <c:v>98.709570000000014</c:v>
                </c:pt>
                <c:pt idx="311">
                  <c:v>98.708860000000001</c:v>
                </c:pt>
                <c:pt idx="312">
                  <c:v>98.569660000000013</c:v>
                </c:pt>
                <c:pt idx="313">
                  <c:v>98.702090000000013</c:v>
                </c:pt>
                <c:pt idx="314">
                  <c:v>98.678320000000014</c:v>
                </c:pt>
                <c:pt idx="315">
                  <c:v>98.67783</c:v>
                </c:pt>
                <c:pt idx="316">
                  <c:v>98.696110000000004</c:v>
                </c:pt>
                <c:pt idx="317">
                  <c:v>98.76194000000001</c:v>
                </c:pt>
                <c:pt idx="318">
                  <c:v>98.583540000000013</c:v>
                </c:pt>
                <c:pt idx="319">
                  <c:v>98.58120000000001</c:v>
                </c:pt>
                <c:pt idx="320">
                  <c:v>98.570760000000007</c:v>
                </c:pt>
                <c:pt idx="321">
                  <c:v>98.598760000000013</c:v>
                </c:pt>
                <c:pt idx="322">
                  <c:v>98.532030000000006</c:v>
                </c:pt>
                <c:pt idx="323">
                  <c:v>98.510390000000001</c:v>
                </c:pt>
                <c:pt idx="324">
                  <c:v>98.621600000000001</c:v>
                </c:pt>
                <c:pt idx="325">
                  <c:v>98.636800000000008</c:v>
                </c:pt>
                <c:pt idx="326">
                  <c:v>98.608130000000003</c:v>
                </c:pt>
                <c:pt idx="327">
                  <c:v>98.553170000000009</c:v>
                </c:pt>
                <c:pt idx="328">
                  <c:v>98.520030000000006</c:v>
                </c:pt>
                <c:pt idx="329">
                  <c:v>98.60748000000001</c:v>
                </c:pt>
                <c:pt idx="330">
                  <c:v>98.545970000000011</c:v>
                </c:pt>
                <c:pt idx="331">
                  <c:v>98.612250000000003</c:v>
                </c:pt>
                <c:pt idx="332">
                  <c:v>98.505200000000002</c:v>
                </c:pt>
                <c:pt idx="333">
                  <c:v>98.443150000000003</c:v>
                </c:pt>
                <c:pt idx="334">
                  <c:v>98.578100000000006</c:v>
                </c:pt>
                <c:pt idx="335">
                  <c:v>98.56786000000001</c:v>
                </c:pt>
                <c:pt idx="336">
                  <c:v>98.587370000000007</c:v>
                </c:pt>
                <c:pt idx="337">
                  <c:v>98.565120000000007</c:v>
                </c:pt>
                <c:pt idx="338">
                  <c:v>98.605580000000003</c:v>
                </c:pt>
                <c:pt idx="339">
                  <c:v>98.626810000000006</c:v>
                </c:pt>
                <c:pt idx="340">
                  <c:v>98.606400000000008</c:v>
                </c:pt>
                <c:pt idx="341">
                  <c:v>98.513570000000001</c:v>
                </c:pt>
                <c:pt idx="342">
                  <c:v>98.458960000000005</c:v>
                </c:pt>
                <c:pt idx="343">
                  <c:v>98.490440000000007</c:v>
                </c:pt>
                <c:pt idx="344">
                  <c:v>98.494470000000007</c:v>
                </c:pt>
                <c:pt idx="345">
                  <c:v>98.49721000000001</c:v>
                </c:pt>
                <c:pt idx="346">
                  <c:v>98.493550000000013</c:v>
                </c:pt>
                <c:pt idx="347">
                  <c:v>98.53537</c:v>
                </c:pt>
                <c:pt idx="348">
                  <c:v>98.45205</c:v>
                </c:pt>
                <c:pt idx="349">
                  <c:v>98.520800000000008</c:v>
                </c:pt>
                <c:pt idx="350">
                  <c:v>98.385180000000005</c:v>
                </c:pt>
                <c:pt idx="351">
                  <c:v>98.4542</c:v>
                </c:pt>
                <c:pt idx="352">
                  <c:v>98.433980000000005</c:v>
                </c:pt>
                <c:pt idx="353">
                  <c:v>98.446070000000006</c:v>
                </c:pt>
                <c:pt idx="354">
                  <c:v>98.518660000000011</c:v>
                </c:pt>
                <c:pt idx="355">
                  <c:v>98.459500000000006</c:v>
                </c:pt>
                <c:pt idx="356">
                  <c:v>98.482070000000007</c:v>
                </c:pt>
                <c:pt idx="357">
                  <c:v>98.531060000000011</c:v>
                </c:pt>
                <c:pt idx="358">
                  <c:v>98.433150000000012</c:v>
                </c:pt>
                <c:pt idx="359">
                  <c:v>98.379410000000007</c:v>
                </c:pt>
                <c:pt idx="360">
                  <c:v>98.468040000000002</c:v>
                </c:pt>
                <c:pt idx="361">
                  <c:v>98.412010000000009</c:v>
                </c:pt>
                <c:pt idx="362">
                  <c:v>98.550430000000006</c:v>
                </c:pt>
                <c:pt idx="363">
                  <c:v>98.410510000000002</c:v>
                </c:pt>
                <c:pt idx="364">
                  <c:v>98.43056</c:v>
                </c:pt>
                <c:pt idx="365">
                  <c:v>98.437280000000001</c:v>
                </c:pt>
                <c:pt idx="366">
                  <c:v>98.387780000000006</c:v>
                </c:pt>
                <c:pt idx="367">
                  <c:v>98.326940000000008</c:v>
                </c:pt>
                <c:pt idx="368">
                  <c:v>98.431370000000001</c:v>
                </c:pt>
                <c:pt idx="369">
                  <c:v>98.4696</c:v>
                </c:pt>
                <c:pt idx="370">
                  <c:v>98.373840000000001</c:v>
                </c:pt>
                <c:pt idx="371">
                  <c:v>98.436050000000009</c:v>
                </c:pt>
                <c:pt idx="372">
                  <c:v>98.416320000000013</c:v>
                </c:pt>
                <c:pt idx="373">
                  <c:v>98.452900000000014</c:v>
                </c:pt>
                <c:pt idx="374">
                  <c:v>98.421720000000008</c:v>
                </c:pt>
                <c:pt idx="375">
                  <c:v>98.349820000000008</c:v>
                </c:pt>
                <c:pt idx="376">
                  <c:v>98.354920000000007</c:v>
                </c:pt>
                <c:pt idx="377">
                  <c:v>98.351000000000013</c:v>
                </c:pt>
                <c:pt idx="378">
                  <c:v>98.411170000000013</c:v>
                </c:pt>
                <c:pt idx="379">
                  <c:v>98.32847000000001</c:v>
                </c:pt>
                <c:pt idx="380">
                  <c:v>98.392740000000003</c:v>
                </c:pt>
                <c:pt idx="381">
                  <c:v>98.42683000000001</c:v>
                </c:pt>
                <c:pt idx="382">
                  <c:v>98.29037000000001</c:v>
                </c:pt>
                <c:pt idx="383">
                  <c:v>98.331490000000002</c:v>
                </c:pt>
                <c:pt idx="384">
                  <c:v>98.317620000000005</c:v>
                </c:pt>
                <c:pt idx="385">
                  <c:v>98.392750000000007</c:v>
                </c:pt>
                <c:pt idx="386">
                  <c:v>98.43771000000001</c:v>
                </c:pt>
                <c:pt idx="387">
                  <c:v>98.398440000000008</c:v>
                </c:pt>
                <c:pt idx="388">
                  <c:v>98.402500000000003</c:v>
                </c:pt>
                <c:pt idx="389">
                  <c:v>98.209800000000001</c:v>
                </c:pt>
                <c:pt idx="390">
                  <c:v>98.394210000000001</c:v>
                </c:pt>
                <c:pt idx="391">
                  <c:v>98.361610000000013</c:v>
                </c:pt>
                <c:pt idx="392">
                  <c:v>98.479900000000001</c:v>
                </c:pt>
                <c:pt idx="393">
                  <c:v>98.36196000000001</c:v>
                </c:pt>
                <c:pt idx="394">
                  <c:v>98.397660000000002</c:v>
                </c:pt>
                <c:pt idx="395">
                  <c:v>98.241820000000004</c:v>
                </c:pt>
                <c:pt idx="396">
                  <c:v>98.300840000000008</c:v>
                </c:pt>
                <c:pt idx="397">
                  <c:v>98.373640000000009</c:v>
                </c:pt>
                <c:pt idx="398">
                  <c:v>98.308350000000004</c:v>
                </c:pt>
                <c:pt idx="399">
                  <c:v>98.320260000000005</c:v>
                </c:pt>
                <c:pt idx="400">
                  <c:v>98.331620000000001</c:v>
                </c:pt>
                <c:pt idx="401">
                  <c:v>98.209740000000011</c:v>
                </c:pt>
                <c:pt idx="402">
                  <c:v>98.260650000000012</c:v>
                </c:pt>
                <c:pt idx="403">
                  <c:v>98.266460000000009</c:v>
                </c:pt>
                <c:pt idx="404">
                  <c:v>98.163630000000012</c:v>
                </c:pt>
                <c:pt idx="405">
                  <c:v>98.322400000000002</c:v>
                </c:pt>
                <c:pt idx="406">
                  <c:v>98.232040000000012</c:v>
                </c:pt>
                <c:pt idx="407">
                  <c:v>98.253020000000006</c:v>
                </c:pt>
                <c:pt idx="408">
                  <c:v>98.330890000000011</c:v>
                </c:pt>
                <c:pt idx="409">
                  <c:v>98.238830000000007</c:v>
                </c:pt>
                <c:pt idx="410">
                  <c:v>98.192360000000008</c:v>
                </c:pt>
                <c:pt idx="411">
                  <c:v>98.327570000000009</c:v>
                </c:pt>
                <c:pt idx="412">
                  <c:v>98.272570000000002</c:v>
                </c:pt>
                <c:pt idx="413">
                  <c:v>98.284020000000012</c:v>
                </c:pt>
                <c:pt idx="414">
                  <c:v>98.201670000000007</c:v>
                </c:pt>
                <c:pt idx="415">
                  <c:v>98.225800000000007</c:v>
                </c:pt>
                <c:pt idx="416">
                  <c:v>98.322160000000011</c:v>
                </c:pt>
                <c:pt idx="417">
                  <c:v>98.241190000000003</c:v>
                </c:pt>
                <c:pt idx="418">
                  <c:v>98.24242000000001</c:v>
                </c:pt>
                <c:pt idx="419">
                  <c:v>98.188950000000006</c:v>
                </c:pt>
                <c:pt idx="420">
                  <c:v>98.281980000000004</c:v>
                </c:pt>
                <c:pt idx="421">
                  <c:v>98.264880000000005</c:v>
                </c:pt>
                <c:pt idx="422">
                  <c:v>98.267430000000004</c:v>
                </c:pt>
                <c:pt idx="423">
                  <c:v>98.338250000000002</c:v>
                </c:pt>
                <c:pt idx="424">
                  <c:v>98.274260000000012</c:v>
                </c:pt>
                <c:pt idx="425">
                  <c:v>98.260510000000011</c:v>
                </c:pt>
                <c:pt idx="426">
                  <c:v>98.363350000000011</c:v>
                </c:pt>
                <c:pt idx="427">
                  <c:v>98.120570000000001</c:v>
                </c:pt>
                <c:pt idx="428">
                  <c:v>98.144490000000005</c:v>
                </c:pt>
                <c:pt idx="429">
                  <c:v>98.216280000000012</c:v>
                </c:pt>
                <c:pt idx="430">
                  <c:v>98.216210000000004</c:v>
                </c:pt>
                <c:pt idx="431">
                  <c:v>98.17089</c:v>
                </c:pt>
                <c:pt idx="432">
                  <c:v>98.219670000000008</c:v>
                </c:pt>
                <c:pt idx="433">
                  <c:v>98.217920000000007</c:v>
                </c:pt>
                <c:pt idx="434">
                  <c:v>98.25818000000001</c:v>
                </c:pt>
                <c:pt idx="435">
                  <c:v>98.236660000000001</c:v>
                </c:pt>
                <c:pt idx="436">
                  <c:v>98.139490000000009</c:v>
                </c:pt>
                <c:pt idx="437">
                  <c:v>98.055040000000005</c:v>
                </c:pt>
                <c:pt idx="438">
                  <c:v>98.160230000000013</c:v>
                </c:pt>
                <c:pt idx="439">
                  <c:v>98.101130000000012</c:v>
                </c:pt>
                <c:pt idx="440">
                  <c:v>98.192050000000009</c:v>
                </c:pt>
                <c:pt idx="441">
                  <c:v>98.120180000000005</c:v>
                </c:pt>
                <c:pt idx="442">
                  <c:v>98.071250000000006</c:v>
                </c:pt>
                <c:pt idx="443">
                  <c:v>98.259660000000011</c:v>
                </c:pt>
                <c:pt idx="444">
                  <c:v>98.115030000000004</c:v>
                </c:pt>
                <c:pt idx="445">
                  <c:v>98.124210000000005</c:v>
                </c:pt>
                <c:pt idx="446">
                  <c:v>98.172620000000009</c:v>
                </c:pt>
                <c:pt idx="447">
                  <c:v>98.236810000000006</c:v>
                </c:pt>
                <c:pt idx="448">
                  <c:v>98.158100000000005</c:v>
                </c:pt>
                <c:pt idx="449">
                  <c:v>98.017470000000003</c:v>
                </c:pt>
                <c:pt idx="450">
                  <c:v>98.132630000000006</c:v>
                </c:pt>
                <c:pt idx="451">
                  <c:v>98.21296000000001</c:v>
                </c:pt>
                <c:pt idx="452">
                  <c:v>98.118730000000014</c:v>
                </c:pt>
                <c:pt idx="453">
                  <c:v>98.13103000000001</c:v>
                </c:pt>
                <c:pt idx="454">
                  <c:v>98.186370000000011</c:v>
                </c:pt>
                <c:pt idx="455">
                  <c:v>98.094720000000009</c:v>
                </c:pt>
                <c:pt idx="456">
                  <c:v>98.146680000000003</c:v>
                </c:pt>
                <c:pt idx="457">
                  <c:v>98.038060000000002</c:v>
                </c:pt>
                <c:pt idx="458">
                  <c:v>98.022580000000005</c:v>
                </c:pt>
                <c:pt idx="459">
                  <c:v>98.176730000000006</c:v>
                </c:pt>
                <c:pt idx="460">
                  <c:v>98.084670000000003</c:v>
                </c:pt>
                <c:pt idx="461">
                  <c:v>98.048370000000006</c:v>
                </c:pt>
                <c:pt idx="462">
                  <c:v>98.094480000000004</c:v>
                </c:pt>
                <c:pt idx="463">
                  <c:v>97.956830000000011</c:v>
                </c:pt>
                <c:pt idx="464">
                  <c:v>98.026300000000006</c:v>
                </c:pt>
                <c:pt idx="465">
                  <c:v>98.14761</c:v>
                </c:pt>
                <c:pt idx="466">
                  <c:v>97.970650000000006</c:v>
                </c:pt>
                <c:pt idx="467">
                  <c:v>98.041790000000006</c:v>
                </c:pt>
                <c:pt idx="468">
                  <c:v>98.14979000000001</c:v>
                </c:pt>
                <c:pt idx="469">
                  <c:v>98.073810000000009</c:v>
                </c:pt>
                <c:pt idx="470">
                  <c:v>97.996440000000007</c:v>
                </c:pt>
                <c:pt idx="471">
                  <c:v>98.212070000000011</c:v>
                </c:pt>
                <c:pt idx="472">
                  <c:v>98.100370000000012</c:v>
                </c:pt>
                <c:pt idx="473">
                  <c:v>98.145330000000001</c:v>
                </c:pt>
                <c:pt idx="474">
                  <c:v>98.119630000000001</c:v>
                </c:pt>
                <c:pt idx="475">
                  <c:v>98.048820000000006</c:v>
                </c:pt>
                <c:pt idx="476">
                  <c:v>98.051770000000005</c:v>
                </c:pt>
                <c:pt idx="477">
                  <c:v>98.038560000000004</c:v>
                </c:pt>
                <c:pt idx="478">
                  <c:v>97.992890000000003</c:v>
                </c:pt>
                <c:pt idx="479">
                  <c:v>97.968310000000002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62-A049-8414-036104887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23968"/>
        <c:axId val="1538035535"/>
      </c:scatterChart>
      <c:valAx>
        <c:axId val="143823968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538035535"/>
        <c:crosses val="autoZero"/>
        <c:crossBetween val="midCat"/>
      </c:valAx>
      <c:valAx>
        <c:axId val="153803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43823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225C</a:t>
            </a:r>
            <a:r>
              <a:rPr lang="en-GB" baseline="0"/>
              <a:t> Odin + Sif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Odin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Data'!$Q$4:$Q$483</c:f>
              <c:numCache>
                <c:formatCode>General</c:formatCode>
                <c:ptCount val="48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</c:numCache>
            </c:numRef>
          </c:xVal>
          <c:yVal>
            <c:numRef>
              <c:f>'All Data'!$S$4:$S$483</c:f>
              <c:numCache>
                <c:formatCode>0.00000</c:formatCode>
                <c:ptCount val="480"/>
                <c:pt idx="0">
                  <c:v>100</c:v>
                </c:pt>
                <c:pt idx="1">
                  <c:v>99.695520000000002</c:v>
                </c:pt>
                <c:pt idx="2">
                  <c:v>100.00800000000001</c:v>
                </c:pt>
                <c:pt idx="3">
                  <c:v>100.00539000000001</c:v>
                </c:pt>
                <c:pt idx="4">
                  <c:v>99.98884000000001</c:v>
                </c:pt>
                <c:pt idx="5">
                  <c:v>100.06920000000001</c:v>
                </c:pt>
                <c:pt idx="6">
                  <c:v>100.09937000000001</c:v>
                </c:pt>
                <c:pt idx="7">
                  <c:v>100.06128000000001</c:v>
                </c:pt>
                <c:pt idx="8">
                  <c:v>100.05458</c:v>
                </c:pt>
                <c:pt idx="9">
                  <c:v>100.16757000000001</c:v>
                </c:pt>
                <c:pt idx="10">
                  <c:v>99.886970000000005</c:v>
                </c:pt>
                <c:pt idx="11">
                  <c:v>99.973270000000014</c:v>
                </c:pt>
                <c:pt idx="12">
                  <c:v>100.05863000000001</c:v>
                </c:pt>
                <c:pt idx="13">
                  <c:v>99.924720000000008</c:v>
                </c:pt>
                <c:pt idx="14">
                  <c:v>100.11868000000001</c:v>
                </c:pt>
                <c:pt idx="15">
                  <c:v>100.02875</c:v>
                </c:pt>
                <c:pt idx="16">
                  <c:v>99.92</c:v>
                </c:pt>
                <c:pt idx="17">
                  <c:v>99.902250000000009</c:v>
                </c:pt>
                <c:pt idx="18">
                  <c:v>99.934100000000001</c:v>
                </c:pt>
                <c:pt idx="19">
                  <c:v>99.891190000000009</c:v>
                </c:pt>
                <c:pt idx="20">
                  <c:v>100.07783000000001</c:v>
                </c:pt>
                <c:pt idx="21">
                  <c:v>99.945000000000007</c:v>
                </c:pt>
                <c:pt idx="22">
                  <c:v>99.912350000000004</c:v>
                </c:pt>
                <c:pt idx="23">
                  <c:v>100.12344</c:v>
                </c:pt>
                <c:pt idx="24">
                  <c:v>100.03316000000001</c:v>
                </c:pt>
                <c:pt idx="25">
                  <c:v>99.923550000000006</c:v>
                </c:pt>
                <c:pt idx="26">
                  <c:v>99.822610000000012</c:v>
                </c:pt>
                <c:pt idx="27">
                  <c:v>100.00258000000001</c:v>
                </c:pt>
                <c:pt idx="28">
                  <c:v>99.993780000000001</c:v>
                </c:pt>
                <c:pt idx="29">
                  <c:v>99.761340000000004</c:v>
                </c:pt>
                <c:pt idx="30">
                  <c:v>99.897380000000013</c:v>
                </c:pt>
                <c:pt idx="31">
                  <c:v>100.02713000000001</c:v>
                </c:pt>
                <c:pt idx="32">
                  <c:v>100.01276</c:v>
                </c:pt>
                <c:pt idx="33">
                  <c:v>100.02867000000001</c:v>
                </c:pt>
                <c:pt idx="34">
                  <c:v>100.01177000000001</c:v>
                </c:pt>
                <c:pt idx="35">
                  <c:v>99.844860000000011</c:v>
                </c:pt>
                <c:pt idx="36">
                  <c:v>100.08651</c:v>
                </c:pt>
                <c:pt idx="37">
                  <c:v>99.919500000000014</c:v>
                </c:pt>
                <c:pt idx="38">
                  <c:v>100.03358</c:v>
                </c:pt>
                <c:pt idx="39">
                  <c:v>99.865520000000004</c:v>
                </c:pt>
                <c:pt idx="40">
                  <c:v>99.87848000000001</c:v>
                </c:pt>
                <c:pt idx="41">
                  <c:v>99.946200000000005</c:v>
                </c:pt>
                <c:pt idx="42">
                  <c:v>99.827150000000003</c:v>
                </c:pt>
                <c:pt idx="43">
                  <c:v>99.92765</c:v>
                </c:pt>
                <c:pt idx="44">
                  <c:v>99.860890000000012</c:v>
                </c:pt>
                <c:pt idx="45">
                  <c:v>99.986710000000002</c:v>
                </c:pt>
                <c:pt idx="46">
                  <c:v>99.925710000000009</c:v>
                </c:pt>
                <c:pt idx="47">
                  <c:v>99.788550000000001</c:v>
                </c:pt>
                <c:pt idx="48">
                  <c:v>99.942890000000006</c:v>
                </c:pt>
                <c:pt idx="49">
                  <c:v>99.800850000000011</c:v>
                </c:pt>
                <c:pt idx="50">
                  <c:v>99.673680000000004</c:v>
                </c:pt>
                <c:pt idx="51">
                  <c:v>99.834970000000013</c:v>
                </c:pt>
                <c:pt idx="52">
                  <c:v>99.82650000000001</c:v>
                </c:pt>
                <c:pt idx="53">
                  <c:v>99.845060000000004</c:v>
                </c:pt>
                <c:pt idx="54">
                  <c:v>99.837860000000006</c:v>
                </c:pt>
                <c:pt idx="55">
                  <c:v>99.790260000000004</c:v>
                </c:pt>
                <c:pt idx="56">
                  <c:v>99.849620000000002</c:v>
                </c:pt>
                <c:pt idx="57">
                  <c:v>99.774090000000001</c:v>
                </c:pt>
                <c:pt idx="58">
                  <c:v>99.786950000000004</c:v>
                </c:pt>
                <c:pt idx="59">
                  <c:v>99.851210000000009</c:v>
                </c:pt>
                <c:pt idx="60">
                  <c:v>99.786560000000009</c:v>
                </c:pt>
                <c:pt idx="61">
                  <c:v>99.904800000000009</c:v>
                </c:pt>
                <c:pt idx="62">
                  <c:v>99.808230000000009</c:v>
                </c:pt>
                <c:pt idx="63">
                  <c:v>99.772960000000012</c:v>
                </c:pt>
                <c:pt idx="64">
                  <c:v>99.88785</c:v>
                </c:pt>
                <c:pt idx="65">
                  <c:v>99.910290000000003</c:v>
                </c:pt>
                <c:pt idx="66">
                  <c:v>99.703830000000011</c:v>
                </c:pt>
                <c:pt idx="67">
                  <c:v>99.877340000000004</c:v>
                </c:pt>
                <c:pt idx="68">
                  <c:v>99.804390000000012</c:v>
                </c:pt>
                <c:pt idx="69">
                  <c:v>99.798680000000004</c:v>
                </c:pt>
                <c:pt idx="70">
                  <c:v>99.739770000000007</c:v>
                </c:pt>
                <c:pt idx="71">
                  <c:v>99.679990000000004</c:v>
                </c:pt>
                <c:pt idx="72">
                  <c:v>99.85954000000001</c:v>
                </c:pt>
                <c:pt idx="73">
                  <c:v>99.784930000000003</c:v>
                </c:pt>
                <c:pt idx="74">
                  <c:v>99.723680000000002</c:v>
                </c:pt>
                <c:pt idx="75">
                  <c:v>99.754770000000008</c:v>
                </c:pt>
                <c:pt idx="76">
                  <c:v>99.676400000000001</c:v>
                </c:pt>
                <c:pt idx="77">
                  <c:v>99.718540000000004</c:v>
                </c:pt>
                <c:pt idx="78">
                  <c:v>99.775600000000011</c:v>
                </c:pt>
                <c:pt idx="79">
                  <c:v>99.673580000000001</c:v>
                </c:pt>
                <c:pt idx="80">
                  <c:v>99.780040000000014</c:v>
                </c:pt>
                <c:pt idx="81">
                  <c:v>99.648320000000012</c:v>
                </c:pt>
                <c:pt idx="82">
                  <c:v>99.588240000000013</c:v>
                </c:pt>
                <c:pt idx="83">
                  <c:v>99.579740000000001</c:v>
                </c:pt>
                <c:pt idx="84">
                  <c:v>99.466790000000003</c:v>
                </c:pt>
                <c:pt idx="85">
                  <c:v>99.75912000000001</c:v>
                </c:pt>
                <c:pt idx="86">
                  <c:v>99.650790000000001</c:v>
                </c:pt>
                <c:pt idx="87">
                  <c:v>99.691690000000008</c:v>
                </c:pt>
                <c:pt idx="88">
                  <c:v>99.569850000000002</c:v>
                </c:pt>
                <c:pt idx="89">
                  <c:v>99.706970000000013</c:v>
                </c:pt>
                <c:pt idx="90">
                  <c:v>99.633750000000006</c:v>
                </c:pt>
                <c:pt idx="91">
                  <c:v>99.722410000000011</c:v>
                </c:pt>
                <c:pt idx="92">
                  <c:v>99.659240000000011</c:v>
                </c:pt>
                <c:pt idx="93">
                  <c:v>99.688520000000011</c:v>
                </c:pt>
                <c:pt idx="94">
                  <c:v>99.650390000000002</c:v>
                </c:pt>
                <c:pt idx="95">
                  <c:v>99.658570000000012</c:v>
                </c:pt>
                <c:pt idx="96">
                  <c:v>99.710350000000005</c:v>
                </c:pt>
                <c:pt idx="97">
                  <c:v>99.543000000000006</c:v>
                </c:pt>
                <c:pt idx="98">
                  <c:v>99.619060000000005</c:v>
                </c:pt>
                <c:pt idx="99">
                  <c:v>99.665840000000003</c:v>
                </c:pt>
                <c:pt idx="100">
                  <c:v>99.69004000000001</c:v>
                </c:pt>
                <c:pt idx="101">
                  <c:v>99.554310000000001</c:v>
                </c:pt>
                <c:pt idx="102">
                  <c:v>99.527740000000009</c:v>
                </c:pt>
                <c:pt idx="103">
                  <c:v>99.62951000000001</c:v>
                </c:pt>
                <c:pt idx="104">
                  <c:v>99.553140000000013</c:v>
                </c:pt>
                <c:pt idx="105">
                  <c:v>99.600420000000014</c:v>
                </c:pt>
                <c:pt idx="106">
                  <c:v>99.588530000000006</c:v>
                </c:pt>
                <c:pt idx="107">
                  <c:v>99.579780000000014</c:v>
                </c:pt>
                <c:pt idx="108">
                  <c:v>99.63188000000001</c:v>
                </c:pt>
                <c:pt idx="109">
                  <c:v>99.526520000000005</c:v>
                </c:pt>
                <c:pt idx="110">
                  <c:v>99.657250000000005</c:v>
                </c:pt>
                <c:pt idx="111">
                  <c:v>99.58899000000001</c:v>
                </c:pt>
                <c:pt idx="112">
                  <c:v>99.549840000000003</c:v>
                </c:pt>
                <c:pt idx="113">
                  <c:v>99.409130000000005</c:v>
                </c:pt>
                <c:pt idx="114">
                  <c:v>99.575850000000003</c:v>
                </c:pt>
                <c:pt idx="115">
                  <c:v>99.686720000000008</c:v>
                </c:pt>
                <c:pt idx="116">
                  <c:v>99.558400000000006</c:v>
                </c:pt>
                <c:pt idx="117">
                  <c:v>99.496030000000005</c:v>
                </c:pt>
                <c:pt idx="118">
                  <c:v>99.539760000000001</c:v>
                </c:pt>
                <c:pt idx="119">
                  <c:v>99.440260000000009</c:v>
                </c:pt>
                <c:pt idx="120">
                  <c:v>99.582710000000006</c:v>
                </c:pt>
                <c:pt idx="121">
                  <c:v>99.522090000000006</c:v>
                </c:pt>
                <c:pt idx="122">
                  <c:v>99.511530000000008</c:v>
                </c:pt>
                <c:pt idx="123">
                  <c:v>99.482270000000014</c:v>
                </c:pt>
                <c:pt idx="124">
                  <c:v>99.450720000000004</c:v>
                </c:pt>
                <c:pt idx="125">
                  <c:v>99.54131000000001</c:v>
                </c:pt>
                <c:pt idx="126">
                  <c:v>99.299350000000004</c:v>
                </c:pt>
                <c:pt idx="127">
                  <c:v>99.468530000000001</c:v>
                </c:pt>
                <c:pt idx="128">
                  <c:v>99.555120000000002</c:v>
                </c:pt>
                <c:pt idx="129">
                  <c:v>99.496470000000002</c:v>
                </c:pt>
                <c:pt idx="130">
                  <c:v>99.548080000000013</c:v>
                </c:pt>
                <c:pt idx="131">
                  <c:v>99.486890000000002</c:v>
                </c:pt>
                <c:pt idx="132">
                  <c:v>99.539900000000003</c:v>
                </c:pt>
                <c:pt idx="133">
                  <c:v>99.646090000000001</c:v>
                </c:pt>
                <c:pt idx="134">
                  <c:v>99.464610000000008</c:v>
                </c:pt>
                <c:pt idx="135">
                  <c:v>99.539970000000011</c:v>
                </c:pt>
                <c:pt idx="136">
                  <c:v>99.359130000000007</c:v>
                </c:pt>
                <c:pt idx="137">
                  <c:v>99.370530000000002</c:v>
                </c:pt>
                <c:pt idx="138">
                  <c:v>99.439290000000014</c:v>
                </c:pt>
                <c:pt idx="139">
                  <c:v>99.394110000000012</c:v>
                </c:pt>
                <c:pt idx="140">
                  <c:v>99.371700000000004</c:v>
                </c:pt>
                <c:pt idx="141">
                  <c:v>99.466300000000004</c:v>
                </c:pt>
                <c:pt idx="142">
                  <c:v>99.401060000000001</c:v>
                </c:pt>
                <c:pt idx="143">
                  <c:v>99.335070000000002</c:v>
                </c:pt>
                <c:pt idx="144">
                  <c:v>99.394120000000001</c:v>
                </c:pt>
                <c:pt idx="145">
                  <c:v>99.375430000000009</c:v>
                </c:pt>
                <c:pt idx="146">
                  <c:v>99.439090000000007</c:v>
                </c:pt>
                <c:pt idx="147">
                  <c:v>99.458390000000009</c:v>
                </c:pt>
                <c:pt idx="148">
                  <c:v>99.444020000000009</c:v>
                </c:pt>
                <c:pt idx="149">
                  <c:v>99.287560000000013</c:v>
                </c:pt>
                <c:pt idx="150">
                  <c:v>99.462990000000005</c:v>
                </c:pt>
                <c:pt idx="151">
                  <c:v>99.384770000000003</c:v>
                </c:pt>
                <c:pt idx="152">
                  <c:v>99.446140000000014</c:v>
                </c:pt>
                <c:pt idx="153">
                  <c:v>99.408080000000012</c:v>
                </c:pt>
                <c:pt idx="154">
                  <c:v>99.309570000000008</c:v>
                </c:pt>
                <c:pt idx="155">
                  <c:v>99.388950000000008</c:v>
                </c:pt>
                <c:pt idx="156">
                  <c:v>99.342870000000005</c:v>
                </c:pt>
                <c:pt idx="157">
                  <c:v>99.295200000000008</c:v>
                </c:pt>
                <c:pt idx="158">
                  <c:v>99.321980000000011</c:v>
                </c:pt>
                <c:pt idx="159">
                  <c:v>99.280780000000007</c:v>
                </c:pt>
                <c:pt idx="160">
                  <c:v>99.336420000000004</c:v>
                </c:pt>
                <c:pt idx="161">
                  <c:v>99.292790000000011</c:v>
                </c:pt>
                <c:pt idx="162">
                  <c:v>99.297000000000011</c:v>
                </c:pt>
                <c:pt idx="163">
                  <c:v>99.306530000000009</c:v>
                </c:pt>
                <c:pt idx="164">
                  <c:v>99.407750000000007</c:v>
                </c:pt>
                <c:pt idx="165">
                  <c:v>99.340940000000003</c:v>
                </c:pt>
                <c:pt idx="166">
                  <c:v>99.307780000000008</c:v>
                </c:pt>
                <c:pt idx="167">
                  <c:v>99.411940000000001</c:v>
                </c:pt>
                <c:pt idx="168">
                  <c:v>99.363100000000003</c:v>
                </c:pt>
                <c:pt idx="169">
                  <c:v>99.255200000000002</c:v>
                </c:pt>
                <c:pt idx="170">
                  <c:v>99.309510000000003</c:v>
                </c:pt>
                <c:pt idx="171">
                  <c:v>99.283820000000006</c:v>
                </c:pt>
                <c:pt idx="172">
                  <c:v>99.278270000000006</c:v>
                </c:pt>
                <c:pt idx="173">
                  <c:v>99.426850000000002</c:v>
                </c:pt>
                <c:pt idx="174">
                  <c:v>99.326220000000006</c:v>
                </c:pt>
                <c:pt idx="175">
                  <c:v>99.345560000000006</c:v>
                </c:pt>
                <c:pt idx="176">
                  <c:v>99.248760000000004</c:v>
                </c:pt>
                <c:pt idx="177">
                  <c:v>99.337530000000001</c:v>
                </c:pt>
                <c:pt idx="178">
                  <c:v>99.274190000000004</c:v>
                </c:pt>
                <c:pt idx="179">
                  <c:v>99.24278000000001</c:v>
                </c:pt>
                <c:pt idx="180">
                  <c:v>99.229530000000011</c:v>
                </c:pt>
                <c:pt idx="181">
                  <c:v>99.166930000000008</c:v>
                </c:pt>
                <c:pt idx="182">
                  <c:v>99.126260000000002</c:v>
                </c:pt>
                <c:pt idx="183">
                  <c:v>99.240580000000008</c:v>
                </c:pt>
                <c:pt idx="184">
                  <c:v>99.238510000000005</c:v>
                </c:pt>
                <c:pt idx="185">
                  <c:v>99.306100000000001</c:v>
                </c:pt>
                <c:pt idx="186">
                  <c:v>99.343430000000012</c:v>
                </c:pt>
                <c:pt idx="187">
                  <c:v>99.270520000000005</c:v>
                </c:pt>
                <c:pt idx="188">
                  <c:v>99.234880000000004</c:v>
                </c:pt>
                <c:pt idx="189">
                  <c:v>99.268710000000013</c:v>
                </c:pt>
                <c:pt idx="190">
                  <c:v>99.184160000000006</c:v>
                </c:pt>
                <c:pt idx="191">
                  <c:v>99.217410000000001</c:v>
                </c:pt>
                <c:pt idx="192">
                  <c:v>99.219720000000009</c:v>
                </c:pt>
                <c:pt idx="193">
                  <c:v>99.195580000000007</c:v>
                </c:pt>
                <c:pt idx="194">
                  <c:v>99.171140000000008</c:v>
                </c:pt>
                <c:pt idx="195">
                  <c:v>99.142890000000008</c:v>
                </c:pt>
                <c:pt idx="196">
                  <c:v>99.080880000000008</c:v>
                </c:pt>
                <c:pt idx="197">
                  <c:v>99.126220000000004</c:v>
                </c:pt>
                <c:pt idx="198">
                  <c:v>99.110720000000001</c:v>
                </c:pt>
                <c:pt idx="199">
                  <c:v>99.118460000000013</c:v>
                </c:pt>
                <c:pt idx="200">
                  <c:v>99.070120000000003</c:v>
                </c:pt>
                <c:pt idx="201">
                  <c:v>99.262620000000013</c:v>
                </c:pt>
                <c:pt idx="202">
                  <c:v>99.138270000000006</c:v>
                </c:pt>
                <c:pt idx="203">
                  <c:v>99.117100000000008</c:v>
                </c:pt>
                <c:pt idx="204">
                  <c:v>99.203890000000001</c:v>
                </c:pt>
                <c:pt idx="205">
                  <c:v>99.210240000000013</c:v>
                </c:pt>
                <c:pt idx="206">
                  <c:v>99.183490000000006</c:v>
                </c:pt>
                <c:pt idx="207">
                  <c:v>99.143920000000008</c:v>
                </c:pt>
                <c:pt idx="208">
                  <c:v>99.236660000000001</c:v>
                </c:pt>
                <c:pt idx="209">
                  <c:v>99.095580000000012</c:v>
                </c:pt>
                <c:pt idx="210">
                  <c:v>99.052340000000001</c:v>
                </c:pt>
                <c:pt idx="211">
                  <c:v>99.117230000000006</c:v>
                </c:pt>
                <c:pt idx="212">
                  <c:v>99.244600000000005</c:v>
                </c:pt>
                <c:pt idx="213">
                  <c:v>99.053370000000001</c:v>
                </c:pt>
                <c:pt idx="214">
                  <c:v>99.076870000000014</c:v>
                </c:pt>
                <c:pt idx="215">
                  <c:v>98.980620000000002</c:v>
                </c:pt>
                <c:pt idx="216">
                  <c:v>99.008430000000004</c:v>
                </c:pt>
                <c:pt idx="217">
                  <c:v>99.120280000000008</c:v>
                </c:pt>
                <c:pt idx="218">
                  <c:v>99.09478</c:v>
                </c:pt>
                <c:pt idx="219">
                  <c:v>99.06159000000001</c:v>
                </c:pt>
                <c:pt idx="220">
                  <c:v>99.030390000000011</c:v>
                </c:pt>
                <c:pt idx="221">
                  <c:v>99.085280000000012</c:v>
                </c:pt>
                <c:pt idx="222">
                  <c:v>99.104430000000008</c:v>
                </c:pt>
                <c:pt idx="223">
                  <c:v>99.10099000000001</c:v>
                </c:pt>
                <c:pt idx="224">
                  <c:v>99.044270000000012</c:v>
                </c:pt>
                <c:pt idx="225">
                  <c:v>99.062430000000006</c:v>
                </c:pt>
                <c:pt idx="226">
                  <c:v>99.13288</c:v>
                </c:pt>
                <c:pt idx="227">
                  <c:v>99.049050000000008</c:v>
                </c:pt>
                <c:pt idx="228">
                  <c:v>99.018260000000012</c:v>
                </c:pt>
                <c:pt idx="229">
                  <c:v>99.034020000000012</c:v>
                </c:pt>
                <c:pt idx="230">
                  <c:v>98.976980000000012</c:v>
                </c:pt>
                <c:pt idx="231">
                  <c:v>99.061240000000012</c:v>
                </c:pt>
                <c:pt idx="232">
                  <c:v>99.055260000000004</c:v>
                </c:pt>
                <c:pt idx="233">
                  <c:v>98.991790000000009</c:v>
                </c:pt>
                <c:pt idx="234">
                  <c:v>98.858030000000014</c:v>
                </c:pt>
                <c:pt idx="235">
                  <c:v>99.013380000000012</c:v>
                </c:pt>
                <c:pt idx="236">
                  <c:v>98.990580000000008</c:v>
                </c:pt>
                <c:pt idx="237">
                  <c:v>98.888120000000001</c:v>
                </c:pt>
                <c:pt idx="238">
                  <c:v>98.999370000000013</c:v>
                </c:pt>
                <c:pt idx="239">
                  <c:v>99.078600000000009</c:v>
                </c:pt>
                <c:pt idx="240">
                  <c:v>98.98387000000001</c:v>
                </c:pt>
                <c:pt idx="241">
                  <c:v>99.036820000000006</c:v>
                </c:pt>
                <c:pt idx="242">
                  <c:v>99.022110000000012</c:v>
                </c:pt>
                <c:pt idx="243">
                  <c:v>98.898880000000005</c:v>
                </c:pt>
                <c:pt idx="244">
                  <c:v>98.904950000000014</c:v>
                </c:pt>
                <c:pt idx="245">
                  <c:v>98.965310000000002</c:v>
                </c:pt>
                <c:pt idx="246">
                  <c:v>98.895930000000007</c:v>
                </c:pt>
                <c:pt idx="247">
                  <c:v>98.961640000000003</c:v>
                </c:pt>
                <c:pt idx="248">
                  <c:v>99.007520000000014</c:v>
                </c:pt>
                <c:pt idx="249">
                  <c:v>98.80228000000001</c:v>
                </c:pt>
                <c:pt idx="250">
                  <c:v>98.908600000000007</c:v>
                </c:pt>
                <c:pt idx="251">
                  <c:v>98.917110000000008</c:v>
                </c:pt>
                <c:pt idx="252">
                  <c:v>98.956330000000008</c:v>
                </c:pt>
                <c:pt idx="253">
                  <c:v>98.975910000000013</c:v>
                </c:pt>
                <c:pt idx="254">
                  <c:v>98.982640000000004</c:v>
                </c:pt>
                <c:pt idx="255">
                  <c:v>99.048480000000012</c:v>
                </c:pt>
                <c:pt idx="256">
                  <c:v>98.950830000000011</c:v>
                </c:pt>
                <c:pt idx="257">
                  <c:v>98.94914</c:v>
                </c:pt>
                <c:pt idx="258">
                  <c:v>98.945900000000009</c:v>
                </c:pt>
                <c:pt idx="259">
                  <c:v>98.880160000000004</c:v>
                </c:pt>
                <c:pt idx="260">
                  <c:v>98.932130000000001</c:v>
                </c:pt>
                <c:pt idx="261">
                  <c:v>98.889320000000012</c:v>
                </c:pt>
                <c:pt idx="262">
                  <c:v>98.777160000000009</c:v>
                </c:pt>
                <c:pt idx="263">
                  <c:v>98.90861000000001</c:v>
                </c:pt>
                <c:pt idx="264">
                  <c:v>98.921590000000009</c:v>
                </c:pt>
                <c:pt idx="265">
                  <c:v>98.882650000000012</c:v>
                </c:pt>
                <c:pt idx="266">
                  <c:v>98.838330000000013</c:v>
                </c:pt>
                <c:pt idx="267">
                  <c:v>98.777160000000009</c:v>
                </c:pt>
                <c:pt idx="268">
                  <c:v>98.932040000000001</c:v>
                </c:pt>
                <c:pt idx="269">
                  <c:v>98.826400000000007</c:v>
                </c:pt>
                <c:pt idx="270">
                  <c:v>98.831480000000013</c:v>
                </c:pt>
                <c:pt idx="271">
                  <c:v>98.872610000000009</c:v>
                </c:pt>
                <c:pt idx="272">
                  <c:v>98.940990000000014</c:v>
                </c:pt>
                <c:pt idx="273">
                  <c:v>98.831480000000013</c:v>
                </c:pt>
                <c:pt idx="274">
                  <c:v>98.80416000000001</c:v>
                </c:pt>
                <c:pt idx="275">
                  <c:v>98.87266000000001</c:v>
                </c:pt>
                <c:pt idx="276">
                  <c:v>98.752980000000008</c:v>
                </c:pt>
                <c:pt idx="277">
                  <c:v>98.807240000000007</c:v>
                </c:pt>
                <c:pt idx="278">
                  <c:v>98.798660000000012</c:v>
                </c:pt>
                <c:pt idx="279">
                  <c:v>98.800450000000012</c:v>
                </c:pt>
                <c:pt idx="280">
                  <c:v>98.955130000000011</c:v>
                </c:pt>
                <c:pt idx="281">
                  <c:v>98.747600000000006</c:v>
                </c:pt>
                <c:pt idx="282">
                  <c:v>98.799540000000007</c:v>
                </c:pt>
                <c:pt idx="283">
                  <c:v>98.924720000000008</c:v>
                </c:pt>
                <c:pt idx="284">
                  <c:v>98.802590000000009</c:v>
                </c:pt>
                <c:pt idx="285">
                  <c:v>98.640870000000007</c:v>
                </c:pt>
                <c:pt idx="286">
                  <c:v>98.779410000000013</c:v>
                </c:pt>
                <c:pt idx="287">
                  <c:v>98.723800000000011</c:v>
                </c:pt>
                <c:pt idx="288">
                  <c:v>98.785550000000001</c:v>
                </c:pt>
                <c:pt idx="289">
                  <c:v>98.738890000000012</c:v>
                </c:pt>
                <c:pt idx="290">
                  <c:v>98.806670000000011</c:v>
                </c:pt>
                <c:pt idx="291">
                  <c:v>98.781480000000002</c:v>
                </c:pt>
                <c:pt idx="292">
                  <c:v>98.724920000000012</c:v>
                </c:pt>
                <c:pt idx="293">
                  <c:v>98.840690000000009</c:v>
                </c:pt>
                <c:pt idx="294">
                  <c:v>98.687310000000011</c:v>
                </c:pt>
                <c:pt idx="295">
                  <c:v>98.784830000000014</c:v>
                </c:pt>
                <c:pt idx="296">
                  <c:v>98.649810000000002</c:v>
                </c:pt>
                <c:pt idx="297">
                  <c:v>98.833320000000001</c:v>
                </c:pt>
                <c:pt idx="298">
                  <c:v>98.624040000000008</c:v>
                </c:pt>
                <c:pt idx="299">
                  <c:v>98.700480000000013</c:v>
                </c:pt>
                <c:pt idx="300">
                  <c:v>98.720550000000003</c:v>
                </c:pt>
                <c:pt idx="301">
                  <c:v>98.79992</c:v>
                </c:pt>
                <c:pt idx="302">
                  <c:v>98.726760000000013</c:v>
                </c:pt>
                <c:pt idx="303">
                  <c:v>98.681180000000012</c:v>
                </c:pt>
                <c:pt idx="304">
                  <c:v>98.771550000000005</c:v>
                </c:pt>
                <c:pt idx="305">
                  <c:v>98.598280000000003</c:v>
                </c:pt>
                <c:pt idx="306">
                  <c:v>98.575320000000005</c:v>
                </c:pt>
                <c:pt idx="307">
                  <c:v>98.671510000000012</c:v>
                </c:pt>
                <c:pt idx="308">
                  <c:v>98.665860000000009</c:v>
                </c:pt>
                <c:pt idx="309">
                  <c:v>98.615860000000012</c:v>
                </c:pt>
                <c:pt idx="310">
                  <c:v>98.709570000000014</c:v>
                </c:pt>
                <c:pt idx="311">
                  <c:v>98.708860000000001</c:v>
                </c:pt>
                <c:pt idx="312">
                  <c:v>98.569660000000013</c:v>
                </c:pt>
                <c:pt idx="313">
                  <c:v>98.702090000000013</c:v>
                </c:pt>
                <c:pt idx="314">
                  <c:v>98.678320000000014</c:v>
                </c:pt>
                <c:pt idx="315">
                  <c:v>98.67783</c:v>
                </c:pt>
                <c:pt idx="316">
                  <c:v>98.696110000000004</c:v>
                </c:pt>
                <c:pt idx="317">
                  <c:v>98.76194000000001</c:v>
                </c:pt>
                <c:pt idx="318">
                  <c:v>98.583540000000013</c:v>
                </c:pt>
                <c:pt idx="319">
                  <c:v>98.58120000000001</c:v>
                </c:pt>
                <c:pt idx="320">
                  <c:v>98.570760000000007</c:v>
                </c:pt>
                <c:pt idx="321">
                  <c:v>98.598760000000013</c:v>
                </c:pt>
                <c:pt idx="322">
                  <c:v>98.532030000000006</c:v>
                </c:pt>
                <c:pt idx="323">
                  <c:v>98.510390000000001</c:v>
                </c:pt>
                <c:pt idx="324">
                  <c:v>98.621600000000001</c:v>
                </c:pt>
                <c:pt idx="325">
                  <c:v>98.636800000000008</c:v>
                </c:pt>
                <c:pt idx="326">
                  <c:v>98.608130000000003</c:v>
                </c:pt>
                <c:pt idx="327">
                  <c:v>98.553170000000009</c:v>
                </c:pt>
                <c:pt idx="328">
                  <c:v>98.520030000000006</c:v>
                </c:pt>
                <c:pt idx="329">
                  <c:v>98.60748000000001</c:v>
                </c:pt>
                <c:pt idx="330">
                  <c:v>98.545970000000011</c:v>
                </c:pt>
                <c:pt idx="331">
                  <c:v>98.612250000000003</c:v>
                </c:pt>
                <c:pt idx="332">
                  <c:v>98.505200000000002</c:v>
                </c:pt>
                <c:pt idx="333">
                  <c:v>98.443150000000003</c:v>
                </c:pt>
                <c:pt idx="334">
                  <c:v>98.578100000000006</c:v>
                </c:pt>
                <c:pt idx="335">
                  <c:v>98.56786000000001</c:v>
                </c:pt>
                <c:pt idx="336">
                  <c:v>98.587370000000007</c:v>
                </c:pt>
                <c:pt idx="337">
                  <c:v>98.565120000000007</c:v>
                </c:pt>
                <c:pt idx="338">
                  <c:v>98.605580000000003</c:v>
                </c:pt>
                <c:pt idx="339">
                  <c:v>98.626810000000006</c:v>
                </c:pt>
                <c:pt idx="340">
                  <c:v>98.606400000000008</c:v>
                </c:pt>
                <c:pt idx="341">
                  <c:v>98.513570000000001</c:v>
                </c:pt>
                <c:pt idx="342">
                  <c:v>98.458960000000005</c:v>
                </c:pt>
                <c:pt idx="343">
                  <c:v>98.490440000000007</c:v>
                </c:pt>
                <c:pt idx="344">
                  <c:v>98.494470000000007</c:v>
                </c:pt>
                <c:pt idx="345">
                  <c:v>98.49721000000001</c:v>
                </c:pt>
                <c:pt idx="346">
                  <c:v>98.493550000000013</c:v>
                </c:pt>
                <c:pt idx="347">
                  <c:v>98.53537</c:v>
                </c:pt>
                <c:pt idx="348">
                  <c:v>98.45205</c:v>
                </c:pt>
                <c:pt idx="349">
                  <c:v>98.520800000000008</c:v>
                </c:pt>
                <c:pt idx="350">
                  <c:v>98.385180000000005</c:v>
                </c:pt>
                <c:pt idx="351">
                  <c:v>98.4542</c:v>
                </c:pt>
                <c:pt idx="352">
                  <c:v>98.433980000000005</c:v>
                </c:pt>
                <c:pt idx="353">
                  <c:v>98.446070000000006</c:v>
                </c:pt>
                <c:pt idx="354">
                  <c:v>98.518660000000011</c:v>
                </c:pt>
                <c:pt idx="355">
                  <c:v>98.459500000000006</c:v>
                </c:pt>
                <c:pt idx="356">
                  <c:v>98.482070000000007</c:v>
                </c:pt>
                <c:pt idx="357">
                  <c:v>98.531060000000011</c:v>
                </c:pt>
                <c:pt idx="358">
                  <c:v>98.433150000000012</c:v>
                </c:pt>
                <c:pt idx="359">
                  <c:v>98.379410000000007</c:v>
                </c:pt>
                <c:pt idx="360">
                  <c:v>98.468040000000002</c:v>
                </c:pt>
                <c:pt idx="361">
                  <c:v>98.412010000000009</c:v>
                </c:pt>
                <c:pt idx="362">
                  <c:v>98.550430000000006</c:v>
                </c:pt>
                <c:pt idx="363">
                  <c:v>98.410510000000002</c:v>
                </c:pt>
                <c:pt idx="364">
                  <c:v>98.43056</c:v>
                </c:pt>
                <c:pt idx="365">
                  <c:v>98.437280000000001</c:v>
                </c:pt>
                <c:pt idx="366">
                  <c:v>98.387780000000006</c:v>
                </c:pt>
                <c:pt idx="367">
                  <c:v>98.326940000000008</c:v>
                </c:pt>
                <c:pt idx="368">
                  <c:v>98.431370000000001</c:v>
                </c:pt>
                <c:pt idx="369">
                  <c:v>98.4696</c:v>
                </c:pt>
                <c:pt idx="370">
                  <c:v>98.373840000000001</c:v>
                </c:pt>
                <c:pt idx="371">
                  <c:v>98.436050000000009</c:v>
                </c:pt>
                <c:pt idx="372">
                  <c:v>98.416320000000013</c:v>
                </c:pt>
                <c:pt idx="373">
                  <c:v>98.452900000000014</c:v>
                </c:pt>
                <c:pt idx="374">
                  <c:v>98.421720000000008</c:v>
                </c:pt>
                <c:pt idx="375">
                  <c:v>98.349820000000008</c:v>
                </c:pt>
                <c:pt idx="376">
                  <c:v>98.354920000000007</c:v>
                </c:pt>
                <c:pt idx="377">
                  <c:v>98.351000000000013</c:v>
                </c:pt>
                <c:pt idx="378">
                  <c:v>98.411170000000013</c:v>
                </c:pt>
                <c:pt idx="379">
                  <c:v>98.32847000000001</c:v>
                </c:pt>
                <c:pt idx="380">
                  <c:v>98.392740000000003</c:v>
                </c:pt>
                <c:pt idx="381">
                  <c:v>98.42683000000001</c:v>
                </c:pt>
                <c:pt idx="382">
                  <c:v>98.29037000000001</c:v>
                </c:pt>
                <c:pt idx="383">
                  <c:v>98.331490000000002</c:v>
                </c:pt>
                <c:pt idx="384">
                  <c:v>98.317620000000005</c:v>
                </c:pt>
                <c:pt idx="385">
                  <c:v>98.392750000000007</c:v>
                </c:pt>
                <c:pt idx="386">
                  <c:v>98.43771000000001</c:v>
                </c:pt>
                <c:pt idx="387">
                  <c:v>98.398440000000008</c:v>
                </c:pt>
                <c:pt idx="388">
                  <c:v>98.402500000000003</c:v>
                </c:pt>
                <c:pt idx="389">
                  <c:v>98.209800000000001</c:v>
                </c:pt>
                <c:pt idx="390">
                  <c:v>98.394210000000001</c:v>
                </c:pt>
                <c:pt idx="391">
                  <c:v>98.361610000000013</c:v>
                </c:pt>
                <c:pt idx="392">
                  <c:v>98.479900000000001</c:v>
                </c:pt>
                <c:pt idx="393">
                  <c:v>98.36196000000001</c:v>
                </c:pt>
                <c:pt idx="394">
                  <c:v>98.397660000000002</c:v>
                </c:pt>
                <c:pt idx="395">
                  <c:v>98.241820000000004</c:v>
                </c:pt>
                <c:pt idx="396">
                  <c:v>98.300840000000008</c:v>
                </c:pt>
                <c:pt idx="397">
                  <c:v>98.373640000000009</c:v>
                </c:pt>
                <c:pt idx="398">
                  <c:v>98.308350000000004</c:v>
                </c:pt>
                <c:pt idx="399">
                  <c:v>98.320260000000005</c:v>
                </c:pt>
                <c:pt idx="400">
                  <c:v>98.331620000000001</c:v>
                </c:pt>
                <c:pt idx="401">
                  <c:v>98.209740000000011</c:v>
                </c:pt>
                <c:pt idx="402">
                  <c:v>98.260650000000012</c:v>
                </c:pt>
                <c:pt idx="403">
                  <c:v>98.266460000000009</c:v>
                </c:pt>
                <c:pt idx="404">
                  <c:v>98.163630000000012</c:v>
                </c:pt>
                <c:pt idx="405">
                  <c:v>98.322400000000002</c:v>
                </c:pt>
                <c:pt idx="406">
                  <c:v>98.232040000000012</c:v>
                </c:pt>
                <c:pt idx="407">
                  <c:v>98.253020000000006</c:v>
                </c:pt>
                <c:pt idx="408">
                  <c:v>98.330890000000011</c:v>
                </c:pt>
                <c:pt idx="409">
                  <c:v>98.238830000000007</c:v>
                </c:pt>
                <c:pt idx="410">
                  <c:v>98.192360000000008</c:v>
                </c:pt>
                <c:pt idx="411">
                  <c:v>98.327570000000009</c:v>
                </c:pt>
                <c:pt idx="412">
                  <c:v>98.272570000000002</c:v>
                </c:pt>
                <c:pt idx="413">
                  <c:v>98.284020000000012</c:v>
                </c:pt>
                <c:pt idx="414">
                  <c:v>98.201670000000007</c:v>
                </c:pt>
                <c:pt idx="415">
                  <c:v>98.225800000000007</c:v>
                </c:pt>
                <c:pt idx="416">
                  <c:v>98.322160000000011</c:v>
                </c:pt>
                <c:pt idx="417">
                  <c:v>98.241190000000003</c:v>
                </c:pt>
                <c:pt idx="418">
                  <c:v>98.24242000000001</c:v>
                </c:pt>
                <c:pt idx="419">
                  <c:v>98.188950000000006</c:v>
                </c:pt>
                <c:pt idx="420">
                  <c:v>98.281980000000004</c:v>
                </c:pt>
                <c:pt idx="421">
                  <c:v>98.264880000000005</c:v>
                </c:pt>
                <c:pt idx="422">
                  <c:v>98.267430000000004</c:v>
                </c:pt>
                <c:pt idx="423">
                  <c:v>98.338250000000002</c:v>
                </c:pt>
                <c:pt idx="424">
                  <c:v>98.274260000000012</c:v>
                </c:pt>
                <c:pt idx="425">
                  <c:v>98.260510000000011</c:v>
                </c:pt>
                <c:pt idx="426">
                  <c:v>98.363350000000011</c:v>
                </c:pt>
                <c:pt idx="427">
                  <c:v>98.120570000000001</c:v>
                </c:pt>
                <c:pt idx="428">
                  <c:v>98.144490000000005</c:v>
                </c:pt>
                <c:pt idx="429">
                  <c:v>98.216280000000012</c:v>
                </c:pt>
                <c:pt idx="430">
                  <c:v>98.216210000000004</c:v>
                </c:pt>
                <c:pt idx="431">
                  <c:v>98.17089</c:v>
                </c:pt>
                <c:pt idx="432">
                  <c:v>98.219670000000008</c:v>
                </c:pt>
                <c:pt idx="433">
                  <c:v>98.217920000000007</c:v>
                </c:pt>
                <c:pt idx="434">
                  <c:v>98.25818000000001</c:v>
                </c:pt>
                <c:pt idx="435">
                  <c:v>98.236660000000001</c:v>
                </c:pt>
                <c:pt idx="436">
                  <c:v>98.139490000000009</c:v>
                </c:pt>
                <c:pt idx="437">
                  <c:v>98.055040000000005</c:v>
                </c:pt>
                <c:pt idx="438">
                  <c:v>98.160230000000013</c:v>
                </c:pt>
                <c:pt idx="439">
                  <c:v>98.101130000000012</c:v>
                </c:pt>
                <c:pt idx="440">
                  <c:v>98.192050000000009</c:v>
                </c:pt>
                <c:pt idx="441">
                  <c:v>98.120180000000005</c:v>
                </c:pt>
                <c:pt idx="442">
                  <c:v>98.071250000000006</c:v>
                </c:pt>
                <c:pt idx="443">
                  <c:v>98.259660000000011</c:v>
                </c:pt>
                <c:pt idx="444">
                  <c:v>98.115030000000004</c:v>
                </c:pt>
                <c:pt idx="445">
                  <c:v>98.124210000000005</c:v>
                </c:pt>
                <c:pt idx="446">
                  <c:v>98.172620000000009</c:v>
                </c:pt>
                <c:pt idx="447">
                  <c:v>98.236810000000006</c:v>
                </c:pt>
                <c:pt idx="448">
                  <c:v>98.158100000000005</c:v>
                </c:pt>
                <c:pt idx="449">
                  <c:v>98.017470000000003</c:v>
                </c:pt>
                <c:pt idx="450">
                  <c:v>98.132630000000006</c:v>
                </c:pt>
                <c:pt idx="451">
                  <c:v>98.21296000000001</c:v>
                </c:pt>
                <c:pt idx="452">
                  <c:v>98.118730000000014</c:v>
                </c:pt>
                <c:pt idx="453">
                  <c:v>98.13103000000001</c:v>
                </c:pt>
                <c:pt idx="454">
                  <c:v>98.186370000000011</c:v>
                </c:pt>
                <c:pt idx="455">
                  <c:v>98.094720000000009</c:v>
                </c:pt>
                <c:pt idx="456">
                  <c:v>98.146680000000003</c:v>
                </c:pt>
                <c:pt idx="457">
                  <c:v>98.038060000000002</c:v>
                </c:pt>
                <c:pt idx="458">
                  <c:v>98.022580000000005</c:v>
                </c:pt>
                <c:pt idx="459">
                  <c:v>98.176730000000006</c:v>
                </c:pt>
                <c:pt idx="460">
                  <c:v>98.084670000000003</c:v>
                </c:pt>
                <c:pt idx="461">
                  <c:v>98.048370000000006</c:v>
                </c:pt>
                <c:pt idx="462">
                  <c:v>98.094480000000004</c:v>
                </c:pt>
                <c:pt idx="463">
                  <c:v>97.956830000000011</c:v>
                </c:pt>
                <c:pt idx="464">
                  <c:v>98.026300000000006</c:v>
                </c:pt>
                <c:pt idx="465">
                  <c:v>98.14761</c:v>
                </c:pt>
                <c:pt idx="466">
                  <c:v>97.970650000000006</c:v>
                </c:pt>
                <c:pt idx="467">
                  <c:v>98.041790000000006</c:v>
                </c:pt>
                <c:pt idx="468">
                  <c:v>98.14979000000001</c:v>
                </c:pt>
                <c:pt idx="469">
                  <c:v>98.073810000000009</c:v>
                </c:pt>
                <c:pt idx="470">
                  <c:v>97.996440000000007</c:v>
                </c:pt>
                <c:pt idx="471">
                  <c:v>98.212070000000011</c:v>
                </c:pt>
                <c:pt idx="472">
                  <c:v>98.100370000000012</c:v>
                </c:pt>
                <c:pt idx="473">
                  <c:v>98.145330000000001</c:v>
                </c:pt>
                <c:pt idx="474">
                  <c:v>98.119630000000001</c:v>
                </c:pt>
                <c:pt idx="475">
                  <c:v>98.048820000000006</c:v>
                </c:pt>
                <c:pt idx="476">
                  <c:v>98.051770000000005</c:v>
                </c:pt>
                <c:pt idx="477">
                  <c:v>98.038560000000004</c:v>
                </c:pt>
                <c:pt idx="478">
                  <c:v>97.992890000000003</c:v>
                </c:pt>
                <c:pt idx="479">
                  <c:v>97.968310000000002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DC-0B4D-A68E-63DB888D3E34}"/>
            </c:ext>
          </c:extLst>
        </c:ser>
        <c:ser>
          <c:idx val="1"/>
          <c:order val="1"/>
          <c:tx>
            <c:v>Sif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Data'!$J$4:$J$483</c:f>
              <c:numCache>
                <c:formatCode>General</c:formatCode>
                <c:ptCount val="48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</c:numCache>
            </c:numRef>
          </c:xVal>
          <c:yVal>
            <c:numRef>
              <c:f>'All Data'!$L$4:$L$483</c:f>
              <c:numCache>
                <c:formatCode>0.00000</c:formatCode>
                <c:ptCount val="480"/>
                <c:pt idx="0">
                  <c:v>100</c:v>
                </c:pt>
                <c:pt idx="1">
                  <c:v>100.07646</c:v>
                </c:pt>
                <c:pt idx="2">
                  <c:v>100.23093</c:v>
                </c:pt>
                <c:pt idx="3">
                  <c:v>100.31434</c:v>
                </c:pt>
                <c:pt idx="4">
                  <c:v>100.39111</c:v>
                </c:pt>
                <c:pt idx="5">
                  <c:v>100.42195</c:v>
                </c:pt>
                <c:pt idx="6">
                  <c:v>100.42564</c:v>
                </c:pt>
                <c:pt idx="7">
                  <c:v>100.47351999999999</c:v>
                </c:pt>
                <c:pt idx="8">
                  <c:v>100.49309</c:v>
                </c:pt>
                <c:pt idx="9">
                  <c:v>100.48724</c:v>
                </c:pt>
                <c:pt idx="10">
                  <c:v>100.48958999999999</c:v>
                </c:pt>
                <c:pt idx="11">
                  <c:v>100.51752999999999</c:v>
                </c:pt>
                <c:pt idx="12">
                  <c:v>100.4949</c:v>
                </c:pt>
                <c:pt idx="13">
                  <c:v>100.47865999999999</c:v>
                </c:pt>
                <c:pt idx="14">
                  <c:v>100.51151</c:v>
                </c:pt>
                <c:pt idx="15">
                  <c:v>100.48985</c:v>
                </c:pt>
                <c:pt idx="16">
                  <c:v>100.48371</c:v>
                </c:pt>
                <c:pt idx="17">
                  <c:v>100.45693</c:v>
                </c:pt>
                <c:pt idx="18">
                  <c:v>100.47315</c:v>
                </c:pt>
                <c:pt idx="19">
                  <c:v>100.43292</c:v>
                </c:pt>
                <c:pt idx="20">
                  <c:v>100.43544</c:v>
                </c:pt>
                <c:pt idx="21">
                  <c:v>100.42411</c:v>
                </c:pt>
                <c:pt idx="22">
                  <c:v>100.41226</c:v>
                </c:pt>
                <c:pt idx="23">
                  <c:v>100.39417</c:v>
                </c:pt>
                <c:pt idx="24">
                  <c:v>100.36509</c:v>
                </c:pt>
                <c:pt idx="25">
                  <c:v>100.36218</c:v>
                </c:pt>
                <c:pt idx="26">
                  <c:v>100.34137</c:v>
                </c:pt>
                <c:pt idx="27">
                  <c:v>100.35069</c:v>
                </c:pt>
                <c:pt idx="28">
                  <c:v>100.34326</c:v>
                </c:pt>
                <c:pt idx="29">
                  <c:v>100.30530999999999</c:v>
                </c:pt>
                <c:pt idx="30">
                  <c:v>100.29227</c:v>
                </c:pt>
                <c:pt idx="31">
                  <c:v>100.2833</c:v>
                </c:pt>
                <c:pt idx="32">
                  <c:v>100.26418</c:v>
                </c:pt>
                <c:pt idx="33">
                  <c:v>100.26515999999999</c:v>
                </c:pt>
                <c:pt idx="34">
                  <c:v>100.24652</c:v>
                </c:pt>
                <c:pt idx="35">
                  <c:v>100.23204</c:v>
                </c:pt>
                <c:pt idx="36">
                  <c:v>100.21419999999999</c:v>
                </c:pt>
                <c:pt idx="37">
                  <c:v>100.20501</c:v>
                </c:pt>
                <c:pt idx="38">
                  <c:v>100.18096</c:v>
                </c:pt>
                <c:pt idx="39">
                  <c:v>100.17502999999999</c:v>
                </c:pt>
                <c:pt idx="40">
                  <c:v>100.14746</c:v>
                </c:pt>
                <c:pt idx="41">
                  <c:v>100.1396</c:v>
                </c:pt>
                <c:pt idx="42">
                  <c:v>100.11739</c:v>
                </c:pt>
                <c:pt idx="43">
                  <c:v>100.09975</c:v>
                </c:pt>
                <c:pt idx="44">
                  <c:v>100.08037999999999</c:v>
                </c:pt>
                <c:pt idx="45">
                  <c:v>100.06019999999999</c:v>
                </c:pt>
                <c:pt idx="46">
                  <c:v>100.03122999999999</c:v>
                </c:pt>
                <c:pt idx="47">
                  <c:v>100.03157999999999</c:v>
                </c:pt>
                <c:pt idx="48">
                  <c:v>99.99503</c:v>
                </c:pt>
                <c:pt idx="49">
                  <c:v>99.991469999999993</c:v>
                </c:pt>
                <c:pt idx="50">
                  <c:v>99.97139</c:v>
                </c:pt>
                <c:pt idx="51">
                  <c:v>99.955849999999998</c:v>
                </c:pt>
                <c:pt idx="52">
                  <c:v>99.97963</c:v>
                </c:pt>
                <c:pt idx="53">
                  <c:v>99.918949999999995</c:v>
                </c:pt>
                <c:pt idx="54">
                  <c:v>99.906779999999998</c:v>
                </c:pt>
                <c:pt idx="55">
                  <c:v>99.890529999999998</c:v>
                </c:pt>
                <c:pt idx="56">
                  <c:v>99.867099999999994</c:v>
                </c:pt>
                <c:pt idx="57">
                  <c:v>99.861130000000003</c:v>
                </c:pt>
                <c:pt idx="58">
                  <c:v>99.842190000000002</c:v>
                </c:pt>
                <c:pt idx="59">
                  <c:v>99.813850000000002</c:v>
                </c:pt>
                <c:pt idx="60">
                  <c:v>99.783339999999995</c:v>
                </c:pt>
                <c:pt idx="61">
                  <c:v>99.799160000000001</c:v>
                </c:pt>
                <c:pt idx="62">
                  <c:v>99.774029999999996</c:v>
                </c:pt>
                <c:pt idx="63">
                  <c:v>99.736629999999991</c:v>
                </c:pt>
                <c:pt idx="64">
                  <c:v>99.718829999999997</c:v>
                </c:pt>
                <c:pt idx="65">
                  <c:v>99.711359999999999</c:v>
                </c:pt>
                <c:pt idx="66">
                  <c:v>99.676479999999998</c:v>
                </c:pt>
                <c:pt idx="67">
                  <c:v>99.662210000000002</c:v>
                </c:pt>
                <c:pt idx="68">
                  <c:v>99.649509999999992</c:v>
                </c:pt>
                <c:pt idx="69">
                  <c:v>99.623429999999999</c:v>
                </c:pt>
                <c:pt idx="70">
                  <c:v>99.609459999999999</c:v>
                </c:pt>
                <c:pt idx="71">
                  <c:v>99.618729999999999</c:v>
                </c:pt>
                <c:pt idx="72">
                  <c:v>99.569540000000003</c:v>
                </c:pt>
                <c:pt idx="73">
                  <c:v>99.552419999999998</c:v>
                </c:pt>
                <c:pt idx="74">
                  <c:v>99.527000000000001</c:v>
                </c:pt>
                <c:pt idx="75">
                  <c:v>99.517719999999997</c:v>
                </c:pt>
                <c:pt idx="76">
                  <c:v>99.522769999999994</c:v>
                </c:pt>
                <c:pt idx="77">
                  <c:v>99.480539999999991</c:v>
                </c:pt>
                <c:pt idx="78">
                  <c:v>99.455629999999999</c:v>
                </c:pt>
                <c:pt idx="79">
                  <c:v>99.430179999999993</c:v>
                </c:pt>
                <c:pt idx="80">
                  <c:v>99.407619999999994</c:v>
                </c:pt>
                <c:pt idx="81">
                  <c:v>99.409689999999998</c:v>
                </c:pt>
                <c:pt idx="82">
                  <c:v>99.378739999999993</c:v>
                </c:pt>
                <c:pt idx="83">
                  <c:v>99.382679999999993</c:v>
                </c:pt>
                <c:pt idx="84">
                  <c:v>99.340959999999995</c:v>
                </c:pt>
                <c:pt idx="85">
                  <c:v>99.331589999999991</c:v>
                </c:pt>
                <c:pt idx="86">
                  <c:v>99.315699999999993</c:v>
                </c:pt>
                <c:pt idx="87">
                  <c:v>99.281819999999996</c:v>
                </c:pt>
                <c:pt idx="88">
                  <c:v>99.249520000000004</c:v>
                </c:pt>
                <c:pt idx="89">
                  <c:v>99.23657</c:v>
                </c:pt>
                <c:pt idx="90">
                  <c:v>99.238029999999995</c:v>
                </c:pt>
                <c:pt idx="91">
                  <c:v>99.210700000000003</c:v>
                </c:pt>
                <c:pt idx="92">
                  <c:v>99.178049999999999</c:v>
                </c:pt>
                <c:pt idx="93">
                  <c:v>99.169359999999998</c:v>
                </c:pt>
                <c:pt idx="94">
                  <c:v>99.157699999999991</c:v>
                </c:pt>
                <c:pt idx="95">
                  <c:v>99.117949999999993</c:v>
                </c:pt>
                <c:pt idx="96">
                  <c:v>99.106709999999993</c:v>
                </c:pt>
                <c:pt idx="97">
                  <c:v>99.104939999999999</c:v>
                </c:pt>
                <c:pt idx="98">
                  <c:v>99.072310000000002</c:v>
                </c:pt>
                <c:pt idx="99">
                  <c:v>99.062550000000002</c:v>
                </c:pt>
                <c:pt idx="100">
                  <c:v>99.040679999999995</c:v>
                </c:pt>
                <c:pt idx="101">
                  <c:v>99.044780000000003</c:v>
                </c:pt>
                <c:pt idx="102">
                  <c:v>98.995580000000004</c:v>
                </c:pt>
                <c:pt idx="103">
                  <c:v>98.982779999999991</c:v>
                </c:pt>
                <c:pt idx="104">
                  <c:v>98.973389999999995</c:v>
                </c:pt>
                <c:pt idx="105">
                  <c:v>98.942340000000002</c:v>
                </c:pt>
                <c:pt idx="106">
                  <c:v>98.913539999999998</c:v>
                </c:pt>
                <c:pt idx="107">
                  <c:v>98.89636999999999</c:v>
                </c:pt>
                <c:pt idx="108">
                  <c:v>98.886240000000001</c:v>
                </c:pt>
                <c:pt idx="109">
                  <c:v>98.858710000000002</c:v>
                </c:pt>
                <c:pt idx="110">
                  <c:v>98.841549999999998</c:v>
                </c:pt>
                <c:pt idx="111">
                  <c:v>98.794600000000003</c:v>
                </c:pt>
                <c:pt idx="112">
                  <c:v>98.811099999999996</c:v>
                </c:pt>
                <c:pt idx="113">
                  <c:v>98.775769999999994</c:v>
                </c:pt>
                <c:pt idx="114">
                  <c:v>98.780019999999993</c:v>
                </c:pt>
                <c:pt idx="115">
                  <c:v>98.74006</c:v>
                </c:pt>
                <c:pt idx="116">
                  <c:v>98.712609999999998</c:v>
                </c:pt>
                <c:pt idx="117">
                  <c:v>98.677250000000001</c:v>
                </c:pt>
                <c:pt idx="118">
                  <c:v>98.666979999999995</c:v>
                </c:pt>
                <c:pt idx="119">
                  <c:v>98.654219999999995</c:v>
                </c:pt>
                <c:pt idx="120">
                  <c:v>98.634289999999993</c:v>
                </c:pt>
                <c:pt idx="121">
                  <c:v>98.626329999999996</c:v>
                </c:pt>
                <c:pt idx="122">
                  <c:v>98.577259999999995</c:v>
                </c:pt>
                <c:pt idx="123">
                  <c:v>98.560679999999991</c:v>
                </c:pt>
                <c:pt idx="124">
                  <c:v>98.555120000000002</c:v>
                </c:pt>
                <c:pt idx="125">
                  <c:v>98.52373</c:v>
                </c:pt>
                <c:pt idx="126">
                  <c:v>98.489620000000002</c:v>
                </c:pt>
                <c:pt idx="127">
                  <c:v>98.462999999999994</c:v>
                </c:pt>
                <c:pt idx="128">
                  <c:v>98.473249999999993</c:v>
                </c:pt>
                <c:pt idx="129">
                  <c:v>98.42747</c:v>
                </c:pt>
                <c:pt idx="130">
                  <c:v>98.416529999999995</c:v>
                </c:pt>
                <c:pt idx="131">
                  <c:v>98.40737</c:v>
                </c:pt>
                <c:pt idx="132">
                  <c:v>98.389330000000001</c:v>
                </c:pt>
                <c:pt idx="133">
                  <c:v>98.349339999999998</c:v>
                </c:pt>
                <c:pt idx="134">
                  <c:v>98.338049999999996</c:v>
                </c:pt>
                <c:pt idx="135">
                  <c:v>98.33180999999999</c:v>
                </c:pt>
                <c:pt idx="136">
                  <c:v>98.279479999999992</c:v>
                </c:pt>
                <c:pt idx="137">
                  <c:v>98.275499999999994</c:v>
                </c:pt>
                <c:pt idx="138">
                  <c:v>98.232579999999999</c:v>
                </c:pt>
                <c:pt idx="139">
                  <c:v>98.228679999999997</c:v>
                </c:pt>
                <c:pt idx="140">
                  <c:v>98.189909999999998</c:v>
                </c:pt>
                <c:pt idx="141">
                  <c:v>98.197149999999993</c:v>
                </c:pt>
                <c:pt idx="142">
                  <c:v>98.142629999999997</c:v>
                </c:pt>
                <c:pt idx="143">
                  <c:v>98.151079999999993</c:v>
                </c:pt>
                <c:pt idx="144">
                  <c:v>98.110370000000003</c:v>
                </c:pt>
                <c:pt idx="145">
                  <c:v>98.094999999999999</c:v>
                </c:pt>
                <c:pt idx="146">
                  <c:v>98.097139999999996</c:v>
                </c:pt>
                <c:pt idx="147">
                  <c:v>98.049599999999998</c:v>
                </c:pt>
                <c:pt idx="148">
                  <c:v>98.01773</c:v>
                </c:pt>
                <c:pt idx="149">
                  <c:v>98.02709999999999</c:v>
                </c:pt>
                <c:pt idx="150">
                  <c:v>97.998549999999994</c:v>
                </c:pt>
                <c:pt idx="151">
                  <c:v>97.981939999999994</c:v>
                </c:pt>
                <c:pt idx="152">
                  <c:v>97.962940000000003</c:v>
                </c:pt>
                <c:pt idx="153">
                  <c:v>97.936520000000002</c:v>
                </c:pt>
                <c:pt idx="154">
                  <c:v>97.929130000000001</c:v>
                </c:pt>
                <c:pt idx="155">
                  <c:v>97.931659999999994</c:v>
                </c:pt>
                <c:pt idx="156">
                  <c:v>97.890789999999996</c:v>
                </c:pt>
                <c:pt idx="157">
                  <c:v>97.87008999999999</c:v>
                </c:pt>
                <c:pt idx="158">
                  <c:v>97.826619999999991</c:v>
                </c:pt>
                <c:pt idx="159">
                  <c:v>97.839320000000001</c:v>
                </c:pt>
                <c:pt idx="160">
                  <c:v>97.788309999999996</c:v>
                </c:pt>
                <c:pt idx="161">
                  <c:v>97.795540000000003</c:v>
                </c:pt>
                <c:pt idx="162">
                  <c:v>97.771810000000002</c:v>
                </c:pt>
                <c:pt idx="163">
                  <c:v>97.751589999999993</c:v>
                </c:pt>
                <c:pt idx="164">
                  <c:v>97.73017999999999</c:v>
                </c:pt>
                <c:pt idx="165">
                  <c:v>97.704340000000002</c:v>
                </c:pt>
                <c:pt idx="166">
                  <c:v>97.691540000000003</c:v>
                </c:pt>
                <c:pt idx="167">
                  <c:v>97.671109999999999</c:v>
                </c:pt>
                <c:pt idx="168">
                  <c:v>97.652799999999999</c:v>
                </c:pt>
                <c:pt idx="169">
                  <c:v>97.645399999999995</c:v>
                </c:pt>
                <c:pt idx="170">
                  <c:v>97.641739999999999</c:v>
                </c:pt>
                <c:pt idx="171">
                  <c:v>97.62012</c:v>
                </c:pt>
                <c:pt idx="172">
                  <c:v>97.609110000000001</c:v>
                </c:pt>
                <c:pt idx="173">
                  <c:v>97.589619999999996</c:v>
                </c:pt>
                <c:pt idx="174">
                  <c:v>97.572639999999993</c:v>
                </c:pt>
                <c:pt idx="175">
                  <c:v>97.563980000000001</c:v>
                </c:pt>
                <c:pt idx="176">
                  <c:v>97.534719999999993</c:v>
                </c:pt>
                <c:pt idx="177">
                  <c:v>97.508499999999998</c:v>
                </c:pt>
                <c:pt idx="178">
                  <c:v>97.490340000000003</c:v>
                </c:pt>
                <c:pt idx="179">
                  <c:v>97.47381</c:v>
                </c:pt>
                <c:pt idx="180">
                  <c:v>97.450029999999998</c:v>
                </c:pt>
                <c:pt idx="181">
                  <c:v>97.437349999999995</c:v>
                </c:pt>
                <c:pt idx="182">
                  <c:v>97.430329999999998</c:v>
                </c:pt>
                <c:pt idx="183">
                  <c:v>97.406649999999999</c:v>
                </c:pt>
                <c:pt idx="184">
                  <c:v>97.406409999999994</c:v>
                </c:pt>
                <c:pt idx="185">
                  <c:v>97.38073</c:v>
                </c:pt>
                <c:pt idx="186">
                  <c:v>97.350679999999997</c:v>
                </c:pt>
                <c:pt idx="187">
                  <c:v>97.333349999999996</c:v>
                </c:pt>
                <c:pt idx="188">
                  <c:v>97.340479999999999</c:v>
                </c:pt>
                <c:pt idx="189">
                  <c:v>97.304180000000002</c:v>
                </c:pt>
                <c:pt idx="190">
                  <c:v>97.314520000000002</c:v>
                </c:pt>
                <c:pt idx="191">
                  <c:v>97.29486</c:v>
                </c:pt>
                <c:pt idx="192">
                  <c:v>97.277159999999995</c:v>
                </c:pt>
                <c:pt idx="193">
                  <c:v>97.251519999999999</c:v>
                </c:pt>
                <c:pt idx="194">
                  <c:v>97.243870000000001</c:v>
                </c:pt>
                <c:pt idx="195">
                  <c:v>97.222219999999993</c:v>
                </c:pt>
                <c:pt idx="196">
                  <c:v>97.220569999999995</c:v>
                </c:pt>
                <c:pt idx="197">
                  <c:v>97.189059999999998</c:v>
                </c:pt>
                <c:pt idx="198">
                  <c:v>97.176239999999993</c:v>
                </c:pt>
                <c:pt idx="199">
                  <c:v>97.155940000000001</c:v>
                </c:pt>
                <c:pt idx="200">
                  <c:v>97.141829999999999</c:v>
                </c:pt>
                <c:pt idx="201">
                  <c:v>97.123199999999997</c:v>
                </c:pt>
                <c:pt idx="202">
                  <c:v>97.13109</c:v>
                </c:pt>
                <c:pt idx="203">
                  <c:v>97.105040000000002</c:v>
                </c:pt>
                <c:pt idx="204">
                  <c:v>97.081090000000003</c:v>
                </c:pt>
                <c:pt idx="205">
                  <c:v>97.068929999999995</c:v>
                </c:pt>
                <c:pt idx="206">
                  <c:v>97.053349999999995</c:v>
                </c:pt>
                <c:pt idx="207">
                  <c:v>97.029979999999995</c:v>
                </c:pt>
                <c:pt idx="208">
                  <c:v>97.026499999999999</c:v>
                </c:pt>
                <c:pt idx="209">
                  <c:v>97.00672999999999</c:v>
                </c:pt>
                <c:pt idx="210">
                  <c:v>96.990160000000003</c:v>
                </c:pt>
                <c:pt idx="211">
                  <c:v>96.980800000000002</c:v>
                </c:pt>
                <c:pt idx="212">
                  <c:v>96.935019999999994</c:v>
                </c:pt>
                <c:pt idx="213">
                  <c:v>96.929869999999994</c:v>
                </c:pt>
                <c:pt idx="214">
                  <c:v>96.913519999999991</c:v>
                </c:pt>
                <c:pt idx="215">
                  <c:v>96.911450000000002</c:v>
                </c:pt>
                <c:pt idx="216">
                  <c:v>96.89452</c:v>
                </c:pt>
                <c:pt idx="217">
                  <c:v>96.889510000000001</c:v>
                </c:pt>
                <c:pt idx="218">
                  <c:v>96.876660000000001</c:v>
                </c:pt>
                <c:pt idx="219">
                  <c:v>96.841129999999993</c:v>
                </c:pt>
                <c:pt idx="220">
                  <c:v>96.851689999999991</c:v>
                </c:pt>
                <c:pt idx="221">
                  <c:v>96.847970000000004</c:v>
                </c:pt>
                <c:pt idx="222">
                  <c:v>96.818379999999991</c:v>
                </c:pt>
                <c:pt idx="223">
                  <c:v>96.796279999999996</c:v>
                </c:pt>
                <c:pt idx="224">
                  <c:v>96.778260000000003</c:v>
                </c:pt>
                <c:pt idx="225">
                  <c:v>96.776479999999992</c:v>
                </c:pt>
                <c:pt idx="226">
                  <c:v>96.749070000000003</c:v>
                </c:pt>
                <c:pt idx="227">
                  <c:v>96.746830000000003</c:v>
                </c:pt>
                <c:pt idx="228">
                  <c:v>96.712599999999995</c:v>
                </c:pt>
                <c:pt idx="229">
                  <c:v>96.717799999999997</c:v>
                </c:pt>
                <c:pt idx="230">
                  <c:v>96.692139999999995</c:v>
                </c:pt>
                <c:pt idx="231">
                  <c:v>96.690249999999992</c:v>
                </c:pt>
                <c:pt idx="232">
                  <c:v>96.672539999999998</c:v>
                </c:pt>
                <c:pt idx="233">
                  <c:v>96.645139999999998</c:v>
                </c:pt>
                <c:pt idx="234">
                  <c:v>96.620319999999992</c:v>
                </c:pt>
                <c:pt idx="235">
                  <c:v>96.639039999999994</c:v>
                </c:pt>
                <c:pt idx="236">
                  <c:v>96.618229999999997</c:v>
                </c:pt>
                <c:pt idx="237">
                  <c:v>96.60347999999999</c:v>
                </c:pt>
                <c:pt idx="238">
                  <c:v>96.575800000000001</c:v>
                </c:pt>
                <c:pt idx="239">
                  <c:v>96.584360000000004</c:v>
                </c:pt>
                <c:pt idx="240">
                  <c:v>96.571919999999992</c:v>
                </c:pt>
                <c:pt idx="241">
                  <c:v>96.550229999999999</c:v>
                </c:pt>
                <c:pt idx="242">
                  <c:v>96.532849999999996</c:v>
                </c:pt>
                <c:pt idx="243">
                  <c:v>96.504440000000002</c:v>
                </c:pt>
                <c:pt idx="244">
                  <c:v>96.498949999999994</c:v>
                </c:pt>
                <c:pt idx="245">
                  <c:v>96.47139</c:v>
                </c:pt>
                <c:pt idx="246">
                  <c:v>96.470929999999996</c:v>
                </c:pt>
                <c:pt idx="247">
                  <c:v>96.44941</c:v>
                </c:pt>
                <c:pt idx="248">
                  <c:v>96.422299999999993</c:v>
                </c:pt>
                <c:pt idx="249">
                  <c:v>96.399749999999997</c:v>
                </c:pt>
                <c:pt idx="250">
                  <c:v>96.409329999999997</c:v>
                </c:pt>
                <c:pt idx="251">
                  <c:v>96.411270000000002</c:v>
                </c:pt>
                <c:pt idx="252">
                  <c:v>96.391120000000001</c:v>
                </c:pt>
                <c:pt idx="253">
                  <c:v>96.391030000000001</c:v>
                </c:pt>
                <c:pt idx="254">
                  <c:v>96.370369999999994</c:v>
                </c:pt>
                <c:pt idx="255">
                  <c:v>96.345159999999993</c:v>
                </c:pt>
                <c:pt idx="256">
                  <c:v>96.345529999999997</c:v>
                </c:pt>
                <c:pt idx="257">
                  <c:v>96.325649999999996</c:v>
                </c:pt>
                <c:pt idx="258">
                  <c:v>96.294699999999992</c:v>
                </c:pt>
                <c:pt idx="259">
                  <c:v>96.284409999999994</c:v>
                </c:pt>
                <c:pt idx="260">
                  <c:v>96.27552</c:v>
                </c:pt>
                <c:pt idx="261">
                  <c:v>96.270960000000002</c:v>
                </c:pt>
                <c:pt idx="262">
                  <c:v>96.283329999999992</c:v>
                </c:pt>
                <c:pt idx="263">
                  <c:v>96.258780000000002</c:v>
                </c:pt>
                <c:pt idx="264">
                  <c:v>96.241640000000004</c:v>
                </c:pt>
                <c:pt idx="265">
                  <c:v>96.217410000000001</c:v>
                </c:pt>
                <c:pt idx="266">
                  <c:v>96.224869999999996</c:v>
                </c:pt>
                <c:pt idx="267">
                  <c:v>96.202860000000001</c:v>
                </c:pt>
                <c:pt idx="268">
                  <c:v>96.173220000000001</c:v>
                </c:pt>
                <c:pt idx="269">
                  <c:v>96.168170000000003</c:v>
                </c:pt>
                <c:pt idx="270">
                  <c:v>96.16279999999999</c:v>
                </c:pt>
                <c:pt idx="271">
                  <c:v>96.147949999999994</c:v>
                </c:pt>
                <c:pt idx="272">
                  <c:v>96.115139999999997</c:v>
                </c:pt>
                <c:pt idx="273">
                  <c:v>96.135179999999991</c:v>
                </c:pt>
                <c:pt idx="274">
                  <c:v>96.120570000000001</c:v>
                </c:pt>
                <c:pt idx="275">
                  <c:v>96.097830000000002</c:v>
                </c:pt>
                <c:pt idx="276">
                  <c:v>96.07889999999999</c:v>
                </c:pt>
                <c:pt idx="277">
                  <c:v>96.053370000000001</c:v>
                </c:pt>
                <c:pt idx="278">
                  <c:v>96.05498</c:v>
                </c:pt>
                <c:pt idx="279">
                  <c:v>96.029740000000004</c:v>
                </c:pt>
                <c:pt idx="280">
                  <c:v>96.027329999999992</c:v>
                </c:pt>
                <c:pt idx="281">
                  <c:v>96.022239999999996</c:v>
                </c:pt>
                <c:pt idx="282">
                  <c:v>95.992179999999991</c:v>
                </c:pt>
                <c:pt idx="283">
                  <c:v>95.999740000000003</c:v>
                </c:pt>
                <c:pt idx="284">
                  <c:v>95.988869999999991</c:v>
                </c:pt>
                <c:pt idx="285">
                  <c:v>95.951160000000002</c:v>
                </c:pt>
                <c:pt idx="286">
                  <c:v>95.969759999999994</c:v>
                </c:pt>
                <c:pt idx="287">
                  <c:v>95.936129999999991</c:v>
                </c:pt>
                <c:pt idx="288">
                  <c:v>95.937690000000003</c:v>
                </c:pt>
                <c:pt idx="289">
                  <c:v>95.911990000000003</c:v>
                </c:pt>
                <c:pt idx="290">
                  <c:v>95.916650000000004</c:v>
                </c:pt>
                <c:pt idx="291">
                  <c:v>95.896050000000002</c:v>
                </c:pt>
                <c:pt idx="292">
                  <c:v>95.881630000000001</c:v>
                </c:pt>
                <c:pt idx="293">
                  <c:v>95.874499999999998</c:v>
                </c:pt>
                <c:pt idx="294">
                  <c:v>95.850470000000001</c:v>
                </c:pt>
                <c:pt idx="295">
                  <c:v>95.822699999999998</c:v>
                </c:pt>
                <c:pt idx="296">
                  <c:v>95.827010000000001</c:v>
                </c:pt>
                <c:pt idx="297">
                  <c:v>95.850679999999997</c:v>
                </c:pt>
                <c:pt idx="298">
                  <c:v>95.799570000000003</c:v>
                </c:pt>
                <c:pt idx="299">
                  <c:v>95.808459999999997</c:v>
                </c:pt>
                <c:pt idx="300">
                  <c:v>95.783509999999993</c:v>
                </c:pt>
                <c:pt idx="301">
                  <c:v>95.766710000000003</c:v>
                </c:pt>
                <c:pt idx="302">
                  <c:v>95.763649999999998</c:v>
                </c:pt>
                <c:pt idx="303">
                  <c:v>95.748719999999992</c:v>
                </c:pt>
                <c:pt idx="304">
                  <c:v>95.726209999999995</c:v>
                </c:pt>
                <c:pt idx="305">
                  <c:v>95.731880000000004</c:v>
                </c:pt>
                <c:pt idx="306">
                  <c:v>95.722740000000002</c:v>
                </c:pt>
                <c:pt idx="307">
                  <c:v>95.722160000000002</c:v>
                </c:pt>
                <c:pt idx="308">
                  <c:v>95.697019999999995</c:v>
                </c:pt>
                <c:pt idx="309">
                  <c:v>95.682419999999993</c:v>
                </c:pt>
                <c:pt idx="310">
                  <c:v>95.684229999999999</c:v>
                </c:pt>
                <c:pt idx="311">
                  <c:v>95.677120000000002</c:v>
                </c:pt>
                <c:pt idx="312">
                  <c:v>95.649749999999997</c:v>
                </c:pt>
                <c:pt idx="313">
                  <c:v>95.638220000000004</c:v>
                </c:pt>
                <c:pt idx="314">
                  <c:v>95.636569999999992</c:v>
                </c:pt>
                <c:pt idx="315">
                  <c:v>95.620570000000001</c:v>
                </c:pt>
                <c:pt idx="316">
                  <c:v>95.603839999999991</c:v>
                </c:pt>
                <c:pt idx="317">
                  <c:v>95.602090000000004</c:v>
                </c:pt>
                <c:pt idx="318">
                  <c:v>95.567449999999994</c:v>
                </c:pt>
                <c:pt idx="319">
                  <c:v>95.57486999999999</c:v>
                </c:pt>
                <c:pt idx="320">
                  <c:v>95.567439999999991</c:v>
                </c:pt>
                <c:pt idx="321">
                  <c:v>95.556020000000004</c:v>
                </c:pt>
                <c:pt idx="322">
                  <c:v>95.550789999999992</c:v>
                </c:pt>
                <c:pt idx="323">
                  <c:v>95.550539999999998</c:v>
                </c:pt>
                <c:pt idx="324">
                  <c:v>95.517709999999994</c:v>
                </c:pt>
                <c:pt idx="325">
                  <c:v>95.495229999999992</c:v>
                </c:pt>
                <c:pt idx="326">
                  <c:v>95.507019999999997</c:v>
                </c:pt>
                <c:pt idx="327">
                  <c:v>95.521000000000001</c:v>
                </c:pt>
                <c:pt idx="328">
                  <c:v>95.462569999999999</c:v>
                </c:pt>
                <c:pt idx="329">
                  <c:v>95.483530000000002</c:v>
                </c:pt>
                <c:pt idx="330">
                  <c:v>95.47054</c:v>
                </c:pt>
                <c:pt idx="331">
                  <c:v>95.461100000000002</c:v>
                </c:pt>
                <c:pt idx="332">
                  <c:v>95.453949999999992</c:v>
                </c:pt>
                <c:pt idx="333">
                  <c:v>95.44905</c:v>
                </c:pt>
                <c:pt idx="334">
                  <c:v>95.417259999999999</c:v>
                </c:pt>
                <c:pt idx="335">
                  <c:v>95.430179999999993</c:v>
                </c:pt>
                <c:pt idx="336">
                  <c:v>95.421199999999999</c:v>
                </c:pt>
                <c:pt idx="337">
                  <c:v>95.392020000000002</c:v>
                </c:pt>
                <c:pt idx="338">
                  <c:v>95.395479999999992</c:v>
                </c:pt>
                <c:pt idx="339">
                  <c:v>95.39054999999999</c:v>
                </c:pt>
                <c:pt idx="340">
                  <c:v>95.379139999999992</c:v>
                </c:pt>
                <c:pt idx="341">
                  <c:v>95.349090000000004</c:v>
                </c:pt>
                <c:pt idx="342">
                  <c:v>95.338809999999995</c:v>
                </c:pt>
                <c:pt idx="343">
                  <c:v>95.34975</c:v>
                </c:pt>
                <c:pt idx="344">
                  <c:v>95.32978</c:v>
                </c:pt>
                <c:pt idx="345">
                  <c:v>95.313469999999995</c:v>
                </c:pt>
                <c:pt idx="346">
                  <c:v>95.320459999999997</c:v>
                </c:pt>
                <c:pt idx="347">
                  <c:v>95.284219999999991</c:v>
                </c:pt>
                <c:pt idx="348">
                  <c:v>95.284239999999997</c:v>
                </c:pt>
                <c:pt idx="349">
                  <c:v>95.267969999999991</c:v>
                </c:pt>
                <c:pt idx="350">
                  <c:v>95.268090000000001</c:v>
                </c:pt>
                <c:pt idx="351">
                  <c:v>95.249549999999999</c:v>
                </c:pt>
                <c:pt idx="352">
                  <c:v>95.251769999999993</c:v>
                </c:pt>
                <c:pt idx="353">
                  <c:v>95.242359999999991</c:v>
                </c:pt>
                <c:pt idx="354">
                  <c:v>95.198430000000002</c:v>
                </c:pt>
                <c:pt idx="355">
                  <c:v>95.218710000000002</c:v>
                </c:pt>
                <c:pt idx="356">
                  <c:v>95.180719999999994</c:v>
                </c:pt>
                <c:pt idx="357">
                  <c:v>95.191209999999998</c:v>
                </c:pt>
                <c:pt idx="358">
                  <c:v>95.159859999999995</c:v>
                </c:pt>
                <c:pt idx="359">
                  <c:v>95.147350000000003</c:v>
                </c:pt>
                <c:pt idx="360">
                  <c:v>95.147319999999993</c:v>
                </c:pt>
                <c:pt idx="361">
                  <c:v>95.132620000000003</c:v>
                </c:pt>
                <c:pt idx="362">
                  <c:v>95.108639999999994</c:v>
                </c:pt>
                <c:pt idx="363">
                  <c:v>95.123049999999992</c:v>
                </c:pt>
                <c:pt idx="364">
                  <c:v>95.108620000000002</c:v>
                </c:pt>
                <c:pt idx="365">
                  <c:v>95.091300000000004</c:v>
                </c:pt>
                <c:pt idx="366">
                  <c:v>95.076309999999992</c:v>
                </c:pt>
                <c:pt idx="367">
                  <c:v>95.063279999999992</c:v>
                </c:pt>
                <c:pt idx="368">
                  <c:v>95.048689999999993</c:v>
                </c:pt>
                <c:pt idx="369">
                  <c:v>95.017579999999995</c:v>
                </c:pt>
                <c:pt idx="370">
                  <c:v>95.024909999999991</c:v>
                </c:pt>
                <c:pt idx="371">
                  <c:v>94.990740000000002</c:v>
                </c:pt>
                <c:pt idx="372">
                  <c:v>94.999759999999995</c:v>
                </c:pt>
                <c:pt idx="373">
                  <c:v>94.985979999999998</c:v>
                </c:pt>
                <c:pt idx="374">
                  <c:v>94.981309999999993</c:v>
                </c:pt>
                <c:pt idx="375">
                  <c:v>94.96768999999999</c:v>
                </c:pt>
                <c:pt idx="376">
                  <c:v>94.940649999999991</c:v>
                </c:pt>
                <c:pt idx="377">
                  <c:v>94.916650000000004</c:v>
                </c:pt>
                <c:pt idx="378">
                  <c:v>94.940789999999993</c:v>
                </c:pt>
                <c:pt idx="379">
                  <c:v>94.887829999999994</c:v>
                </c:pt>
                <c:pt idx="380">
                  <c:v>94.891739999999999</c:v>
                </c:pt>
                <c:pt idx="381">
                  <c:v>94.873159999999999</c:v>
                </c:pt>
                <c:pt idx="382">
                  <c:v>94.891379999999998</c:v>
                </c:pt>
                <c:pt idx="383">
                  <c:v>94.860469999999992</c:v>
                </c:pt>
                <c:pt idx="384">
                  <c:v>94.843729999999994</c:v>
                </c:pt>
                <c:pt idx="385">
                  <c:v>94.842709999999997</c:v>
                </c:pt>
                <c:pt idx="386">
                  <c:v>94.81841</c:v>
                </c:pt>
                <c:pt idx="387">
                  <c:v>94.795969999999997</c:v>
                </c:pt>
                <c:pt idx="388">
                  <c:v>94.82347</c:v>
                </c:pt>
                <c:pt idx="389">
                  <c:v>94.771479999999997</c:v>
                </c:pt>
                <c:pt idx="390">
                  <c:v>94.774659999999997</c:v>
                </c:pt>
                <c:pt idx="391">
                  <c:v>94.757890000000003</c:v>
                </c:pt>
                <c:pt idx="392">
                  <c:v>94.767129999999995</c:v>
                </c:pt>
                <c:pt idx="393">
                  <c:v>94.739719999999991</c:v>
                </c:pt>
                <c:pt idx="394">
                  <c:v>94.712620000000001</c:v>
                </c:pt>
                <c:pt idx="395">
                  <c:v>94.722020000000001</c:v>
                </c:pt>
                <c:pt idx="396">
                  <c:v>94.685549999999992</c:v>
                </c:pt>
                <c:pt idx="397">
                  <c:v>94.690489999999997</c:v>
                </c:pt>
                <c:pt idx="398">
                  <c:v>94.697890000000001</c:v>
                </c:pt>
                <c:pt idx="399">
                  <c:v>94.680930000000004</c:v>
                </c:pt>
                <c:pt idx="400">
                  <c:v>94.672069999999991</c:v>
                </c:pt>
                <c:pt idx="401">
                  <c:v>94.659139999999994</c:v>
                </c:pt>
                <c:pt idx="402">
                  <c:v>94.627439999999993</c:v>
                </c:pt>
                <c:pt idx="403">
                  <c:v>94.655810000000002</c:v>
                </c:pt>
                <c:pt idx="404">
                  <c:v>94.609030000000004</c:v>
                </c:pt>
                <c:pt idx="405">
                  <c:v>94.613280000000003</c:v>
                </c:pt>
                <c:pt idx="406">
                  <c:v>94.608220000000003</c:v>
                </c:pt>
                <c:pt idx="407">
                  <c:v>94.602620000000002</c:v>
                </c:pt>
                <c:pt idx="408">
                  <c:v>94.592010000000002</c:v>
                </c:pt>
                <c:pt idx="409">
                  <c:v>94.586460000000002</c:v>
                </c:pt>
                <c:pt idx="410">
                  <c:v>94.574420000000003</c:v>
                </c:pt>
                <c:pt idx="411">
                  <c:v>94.535519999999991</c:v>
                </c:pt>
                <c:pt idx="412">
                  <c:v>94.555759999999992</c:v>
                </c:pt>
                <c:pt idx="413">
                  <c:v>94.517740000000003</c:v>
                </c:pt>
                <c:pt idx="414">
                  <c:v>94.529839999999993</c:v>
                </c:pt>
                <c:pt idx="415">
                  <c:v>94.537489999999991</c:v>
                </c:pt>
                <c:pt idx="416">
                  <c:v>94.51876</c:v>
                </c:pt>
                <c:pt idx="417">
                  <c:v>94.495049999999992</c:v>
                </c:pt>
                <c:pt idx="418">
                  <c:v>94.506540000000001</c:v>
                </c:pt>
                <c:pt idx="419">
                  <c:v>94.477409999999992</c:v>
                </c:pt>
                <c:pt idx="420">
                  <c:v>94.498390000000001</c:v>
                </c:pt>
                <c:pt idx="421">
                  <c:v>94.460799999999992</c:v>
                </c:pt>
                <c:pt idx="422">
                  <c:v>94.460629999999995</c:v>
                </c:pt>
                <c:pt idx="423">
                  <c:v>94.435090000000002</c:v>
                </c:pt>
                <c:pt idx="424">
                  <c:v>94.442039999999992</c:v>
                </c:pt>
                <c:pt idx="425">
                  <c:v>94.402349999999998</c:v>
                </c:pt>
                <c:pt idx="426">
                  <c:v>94.441839999999999</c:v>
                </c:pt>
                <c:pt idx="427">
                  <c:v>94.431209999999993</c:v>
                </c:pt>
                <c:pt idx="428">
                  <c:v>94.393159999999995</c:v>
                </c:pt>
                <c:pt idx="429">
                  <c:v>94.412809999999993</c:v>
                </c:pt>
                <c:pt idx="430">
                  <c:v>94.393029999999996</c:v>
                </c:pt>
                <c:pt idx="431">
                  <c:v>94.381149999999991</c:v>
                </c:pt>
                <c:pt idx="432">
                  <c:v>94.364279999999994</c:v>
                </c:pt>
                <c:pt idx="433">
                  <c:v>94.347250000000003</c:v>
                </c:pt>
                <c:pt idx="434">
                  <c:v>94.338319999999996</c:v>
                </c:pt>
                <c:pt idx="435">
                  <c:v>94.338740000000001</c:v>
                </c:pt>
                <c:pt idx="436">
                  <c:v>94.33959999999999</c:v>
                </c:pt>
                <c:pt idx="437">
                  <c:v>94.343389999999999</c:v>
                </c:pt>
                <c:pt idx="438">
                  <c:v>94.279409999999999</c:v>
                </c:pt>
                <c:pt idx="439">
                  <c:v>94.308840000000004</c:v>
                </c:pt>
                <c:pt idx="440">
                  <c:v>94.319000000000003</c:v>
                </c:pt>
                <c:pt idx="441">
                  <c:v>94.265289999999993</c:v>
                </c:pt>
                <c:pt idx="442">
                  <c:v>94.252969999999991</c:v>
                </c:pt>
                <c:pt idx="443">
                  <c:v>94.241280000000003</c:v>
                </c:pt>
                <c:pt idx="444">
                  <c:v>94.230400000000003</c:v>
                </c:pt>
                <c:pt idx="445">
                  <c:v>94.223129999999998</c:v>
                </c:pt>
                <c:pt idx="446">
                  <c:v>94.224819999999994</c:v>
                </c:pt>
                <c:pt idx="447">
                  <c:v>94.210309999999993</c:v>
                </c:pt>
                <c:pt idx="448">
                  <c:v>94.206369999999993</c:v>
                </c:pt>
                <c:pt idx="449">
                  <c:v>94.192009999999996</c:v>
                </c:pt>
                <c:pt idx="450">
                  <c:v>94.182559999999995</c:v>
                </c:pt>
                <c:pt idx="451">
                  <c:v>94.169809999999998</c:v>
                </c:pt>
                <c:pt idx="452">
                  <c:v>94.18074</c:v>
                </c:pt>
                <c:pt idx="453">
                  <c:v>94.157650000000004</c:v>
                </c:pt>
                <c:pt idx="454">
                  <c:v>94.159350000000003</c:v>
                </c:pt>
                <c:pt idx="455">
                  <c:v>94.111409999999992</c:v>
                </c:pt>
                <c:pt idx="456">
                  <c:v>94.109250000000003</c:v>
                </c:pt>
                <c:pt idx="457">
                  <c:v>94.135599999999997</c:v>
                </c:pt>
                <c:pt idx="458">
                  <c:v>94.102589999999992</c:v>
                </c:pt>
                <c:pt idx="459">
                  <c:v>94.124939999999995</c:v>
                </c:pt>
                <c:pt idx="460">
                  <c:v>94.06371</c:v>
                </c:pt>
                <c:pt idx="461">
                  <c:v>94.068049999999999</c:v>
                </c:pt>
                <c:pt idx="462">
                  <c:v>94.085999999999999</c:v>
                </c:pt>
                <c:pt idx="463">
                  <c:v>94.06617</c:v>
                </c:pt>
                <c:pt idx="464">
                  <c:v>94.051369999999991</c:v>
                </c:pt>
                <c:pt idx="465">
                  <c:v>94.033369999999991</c:v>
                </c:pt>
                <c:pt idx="466">
                  <c:v>94.038879999999992</c:v>
                </c:pt>
                <c:pt idx="467">
                  <c:v>94.028440000000003</c:v>
                </c:pt>
                <c:pt idx="468">
                  <c:v>94.016040000000004</c:v>
                </c:pt>
                <c:pt idx="469">
                  <c:v>94.007239999999996</c:v>
                </c:pt>
                <c:pt idx="470">
                  <c:v>93.996780000000001</c:v>
                </c:pt>
                <c:pt idx="471">
                  <c:v>94.00376</c:v>
                </c:pt>
                <c:pt idx="472">
                  <c:v>93.93822999999999</c:v>
                </c:pt>
                <c:pt idx="473">
                  <c:v>93.972610000000003</c:v>
                </c:pt>
                <c:pt idx="474">
                  <c:v>93.938699999999997</c:v>
                </c:pt>
                <c:pt idx="475">
                  <c:v>93.965299999999999</c:v>
                </c:pt>
                <c:pt idx="476">
                  <c:v>93.9619</c:v>
                </c:pt>
                <c:pt idx="477">
                  <c:v>93.943249999999992</c:v>
                </c:pt>
                <c:pt idx="478">
                  <c:v>93.936610000000002</c:v>
                </c:pt>
                <c:pt idx="479">
                  <c:v>93.946759999999998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DC-0B4D-A68E-63DB888D3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175519"/>
        <c:axId val="1848103471"/>
      </c:scatterChart>
      <c:valAx>
        <c:axId val="1611175519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848103471"/>
        <c:crosses val="autoZero"/>
        <c:crossBetween val="midCat"/>
      </c:valAx>
      <c:valAx>
        <c:axId val="184810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111755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200C (Odin)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Data'!$C$4:$C$483</c:f>
              <c:numCache>
                <c:formatCode>General</c:formatCode>
                <c:ptCount val="48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</c:numCache>
            </c:numRef>
          </c:xVal>
          <c:yVal>
            <c:numRef>
              <c:f>'All Data'!$E$4:$E$483</c:f>
              <c:numCache>
                <c:formatCode>0.00000</c:formatCode>
                <c:ptCount val="480"/>
                <c:pt idx="0">
                  <c:v>100</c:v>
                </c:pt>
                <c:pt idx="1">
                  <c:v>100.06681</c:v>
                </c:pt>
                <c:pt idx="2">
                  <c:v>100.16997000000001</c:v>
                </c:pt>
                <c:pt idx="3">
                  <c:v>100.22764000000001</c:v>
                </c:pt>
                <c:pt idx="4">
                  <c:v>100.29214</c:v>
                </c:pt>
                <c:pt idx="5">
                  <c:v>100.33388000000001</c:v>
                </c:pt>
                <c:pt idx="6">
                  <c:v>100.4194</c:v>
                </c:pt>
                <c:pt idx="7">
                  <c:v>100.38337</c:v>
                </c:pt>
                <c:pt idx="8">
                  <c:v>100.41186</c:v>
                </c:pt>
                <c:pt idx="9">
                  <c:v>100.33768000000001</c:v>
                </c:pt>
                <c:pt idx="10">
                  <c:v>100.37334</c:v>
                </c:pt>
                <c:pt idx="11">
                  <c:v>100.30545000000001</c:v>
                </c:pt>
                <c:pt idx="12">
                  <c:v>100.34782</c:v>
                </c:pt>
                <c:pt idx="13">
                  <c:v>100.40491</c:v>
                </c:pt>
                <c:pt idx="14">
                  <c:v>100.42739</c:v>
                </c:pt>
                <c:pt idx="15">
                  <c:v>100.44671</c:v>
                </c:pt>
                <c:pt idx="16">
                  <c:v>100.49976000000001</c:v>
                </c:pt>
                <c:pt idx="17">
                  <c:v>100.49378</c:v>
                </c:pt>
                <c:pt idx="18">
                  <c:v>100.42574</c:v>
                </c:pt>
                <c:pt idx="19">
                  <c:v>100.47537</c:v>
                </c:pt>
                <c:pt idx="20">
                  <c:v>100.46375</c:v>
                </c:pt>
                <c:pt idx="21">
                  <c:v>100.54795</c:v>
                </c:pt>
                <c:pt idx="22">
                  <c:v>100.57029</c:v>
                </c:pt>
                <c:pt idx="23">
                  <c:v>100.61155000000001</c:v>
                </c:pt>
                <c:pt idx="24">
                  <c:v>100.39765</c:v>
                </c:pt>
                <c:pt idx="25">
                  <c:v>100.52231</c:v>
                </c:pt>
                <c:pt idx="26">
                  <c:v>100.54252</c:v>
                </c:pt>
                <c:pt idx="27">
                  <c:v>100.51053</c:v>
                </c:pt>
                <c:pt idx="28">
                  <c:v>100.50194</c:v>
                </c:pt>
                <c:pt idx="29">
                  <c:v>100.60481</c:v>
                </c:pt>
                <c:pt idx="30">
                  <c:v>100.53123000000001</c:v>
                </c:pt>
                <c:pt idx="31">
                  <c:v>100.66367</c:v>
                </c:pt>
                <c:pt idx="32">
                  <c:v>100.51486</c:v>
                </c:pt>
                <c:pt idx="33">
                  <c:v>100.60980000000001</c:v>
                </c:pt>
                <c:pt idx="34">
                  <c:v>100.52312000000001</c:v>
                </c:pt>
                <c:pt idx="35">
                  <c:v>100.39808000000001</c:v>
                </c:pt>
                <c:pt idx="36">
                  <c:v>100.55818000000001</c:v>
                </c:pt>
                <c:pt idx="37">
                  <c:v>100.5761</c:v>
                </c:pt>
                <c:pt idx="38">
                  <c:v>100.55018</c:v>
                </c:pt>
                <c:pt idx="39">
                  <c:v>100.41071000000001</c:v>
                </c:pt>
                <c:pt idx="40">
                  <c:v>100.52768</c:v>
                </c:pt>
                <c:pt idx="41">
                  <c:v>100.60888</c:v>
                </c:pt>
                <c:pt idx="42">
                  <c:v>100.55548</c:v>
                </c:pt>
                <c:pt idx="43">
                  <c:v>100.50557000000001</c:v>
                </c:pt>
                <c:pt idx="44">
                  <c:v>100.44946</c:v>
                </c:pt>
                <c:pt idx="45">
                  <c:v>100.60174000000001</c:v>
                </c:pt>
                <c:pt idx="46">
                  <c:v>100.60725000000001</c:v>
                </c:pt>
                <c:pt idx="47">
                  <c:v>100.49603</c:v>
                </c:pt>
                <c:pt idx="48">
                  <c:v>100.49091</c:v>
                </c:pt>
                <c:pt idx="49">
                  <c:v>100.54350000000001</c:v>
                </c:pt>
                <c:pt idx="50">
                  <c:v>100.66264</c:v>
                </c:pt>
                <c:pt idx="51">
                  <c:v>100.58319</c:v>
                </c:pt>
                <c:pt idx="52">
                  <c:v>100.51963000000001</c:v>
                </c:pt>
                <c:pt idx="53">
                  <c:v>100.57980000000001</c:v>
                </c:pt>
                <c:pt idx="54">
                  <c:v>100.57996</c:v>
                </c:pt>
                <c:pt idx="55">
                  <c:v>100.58041</c:v>
                </c:pt>
                <c:pt idx="56">
                  <c:v>100.46592</c:v>
                </c:pt>
                <c:pt idx="57">
                  <c:v>100.56808000000001</c:v>
                </c:pt>
                <c:pt idx="58">
                  <c:v>100.46189</c:v>
                </c:pt>
                <c:pt idx="59">
                  <c:v>100.58813000000001</c:v>
                </c:pt>
                <c:pt idx="60">
                  <c:v>100.62061</c:v>
                </c:pt>
                <c:pt idx="61">
                  <c:v>100.49223000000001</c:v>
                </c:pt>
                <c:pt idx="62">
                  <c:v>100.54409</c:v>
                </c:pt>
                <c:pt idx="63">
                  <c:v>100.48455</c:v>
                </c:pt>
                <c:pt idx="64">
                  <c:v>100.51820000000001</c:v>
                </c:pt>
                <c:pt idx="65">
                  <c:v>100.60001</c:v>
                </c:pt>
                <c:pt idx="66">
                  <c:v>100.53530000000001</c:v>
                </c:pt>
                <c:pt idx="67">
                  <c:v>100.59257000000001</c:v>
                </c:pt>
                <c:pt idx="68">
                  <c:v>100.55301</c:v>
                </c:pt>
                <c:pt idx="69">
                  <c:v>100.58338000000001</c:v>
                </c:pt>
                <c:pt idx="70">
                  <c:v>100.57871</c:v>
                </c:pt>
                <c:pt idx="71">
                  <c:v>100.50227</c:v>
                </c:pt>
                <c:pt idx="72">
                  <c:v>100.56386000000001</c:v>
                </c:pt>
                <c:pt idx="73">
                  <c:v>100.46318000000001</c:v>
                </c:pt>
                <c:pt idx="74">
                  <c:v>100.47158</c:v>
                </c:pt>
                <c:pt idx="75">
                  <c:v>100.53791</c:v>
                </c:pt>
                <c:pt idx="76">
                  <c:v>100.54278000000001</c:v>
                </c:pt>
                <c:pt idx="77">
                  <c:v>100.72150000000001</c:v>
                </c:pt>
                <c:pt idx="78">
                  <c:v>100.52222</c:v>
                </c:pt>
                <c:pt idx="79">
                  <c:v>100.58399</c:v>
                </c:pt>
                <c:pt idx="80">
                  <c:v>100.64235000000001</c:v>
                </c:pt>
                <c:pt idx="81">
                  <c:v>100.65574000000001</c:v>
                </c:pt>
                <c:pt idx="82">
                  <c:v>100.59582</c:v>
                </c:pt>
                <c:pt idx="83">
                  <c:v>100.58852</c:v>
                </c:pt>
                <c:pt idx="84">
                  <c:v>100.55383</c:v>
                </c:pt>
                <c:pt idx="85">
                  <c:v>100.50918</c:v>
                </c:pt>
                <c:pt idx="86">
                  <c:v>100.64914</c:v>
                </c:pt>
                <c:pt idx="87">
                  <c:v>100.38751000000001</c:v>
                </c:pt>
                <c:pt idx="88">
                  <c:v>100.65445</c:v>
                </c:pt>
                <c:pt idx="89">
                  <c:v>100.61277</c:v>
                </c:pt>
                <c:pt idx="90">
                  <c:v>100.55309</c:v>
                </c:pt>
                <c:pt idx="91">
                  <c:v>100.62589</c:v>
                </c:pt>
                <c:pt idx="92">
                  <c:v>100.55120000000001</c:v>
                </c:pt>
                <c:pt idx="93">
                  <c:v>100.63637</c:v>
                </c:pt>
                <c:pt idx="94">
                  <c:v>100.61745000000001</c:v>
                </c:pt>
                <c:pt idx="95">
                  <c:v>100.51452</c:v>
                </c:pt>
                <c:pt idx="96">
                  <c:v>100.57857</c:v>
                </c:pt>
                <c:pt idx="97">
                  <c:v>100.44474</c:v>
                </c:pt>
                <c:pt idx="98">
                  <c:v>100.62576</c:v>
                </c:pt>
                <c:pt idx="99">
                  <c:v>100.57512</c:v>
                </c:pt>
                <c:pt idx="100">
                  <c:v>100.68105</c:v>
                </c:pt>
                <c:pt idx="101">
                  <c:v>100.49431</c:v>
                </c:pt>
                <c:pt idx="102">
                  <c:v>100.55913</c:v>
                </c:pt>
                <c:pt idx="103">
                  <c:v>100.58358</c:v>
                </c:pt>
                <c:pt idx="104">
                  <c:v>100.49348000000001</c:v>
                </c:pt>
                <c:pt idx="105">
                  <c:v>100.69518000000001</c:v>
                </c:pt>
                <c:pt idx="106">
                  <c:v>100.70140000000001</c:v>
                </c:pt>
                <c:pt idx="107">
                  <c:v>100.47325000000001</c:v>
                </c:pt>
                <c:pt idx="108">
                  <c:v>100.61504000000001</c:v>
                </c:pt>
                <c:pt idx="109">
                  <c:v>100.54336000000001</c:v>
                </c:pt>
                <c:pt idx="110">
                  <c:v>100.55937</c:v>
                </c:pt>
                <c:pt idx="111">
                  <c:v>100.53865</c:v>
                </c:pt>
                <c:pt idx="112">
                  <c:v>100.54748000000001</c:v>
                </c:pt>
                <c:pt idx="113">
                  <c:v>100.59745000000001</c:v>
                </c:pt>
                <c:pt idx="114">
                  <c:v>100.5793</c:v>
                </c:pt>
                <c:pt idx="115">
                  <c:v>100.72454</c:v>
                </c:pt>
                <c:pt idx="116">
                  <c:v>100.53150000000001</c:v>
                </c:pt>
                <c:pt idx="117">
                  <c:v>100.66458</c:v>
                </c:pt>
                <c:pt idx="118">
                  <c:v>100.57576</c:v>
                </c:pt>
                <c:pt idx="119">
                  <c:v>100.56157</c:v>
                </c:pt>
                <c:pt idx="120">
                  <c:v>100.49764</c:v>
                </c:pt>
                <c:pt idx="121">
                  <c:v>100.56734</c:v>
                </c:pt>
                <c:pt idx="122">
                  <c:v>100.62566</c:v>
                </c:pt>
                <c:pt idx="123">
                  <c:v>100.56979</c:v>
                </c:pt>
                <c:pt idx="124">
                  <c:v>100.62836</c:v>
                </c:pt>
                <c:pt idx="125">
                  <c:v>100.44244</c:v>
                </c:pt>
                <c:pt idx="126">
                  <c:v>100.58291</c:v>
                </c:pt>
                <c:pt idx="127">
                  <c:v>100.54239</c:v>
                </c:pt>
                <c:pt idx="128">
                  <c:v>100.56816000000001</c:v>
                </c:pt>
                <c:pt idx="129">
                  <c:v>100.48942</c:v>
                </c:pt>
                <c:pt idx="130">
                  <c:v>100.4538</c:v>
                </c:pt>
                <c:pt idx="131">
                  <c:v>100.65984</c:v>
                </c:pt>
                <c:pt idx="132">
                  <c:v>100.63522</c:v>
                </c:pt>
                <c:pt idx="133">
                  <c:v>100.36716</c:v>
                </c:pt>
                <c:pt idx="134">
                  <c:v>100.59273</c:v>
                </c:pt>
                <c:pt idx="135">
                  <c:v>100.47928</c:v>
                </c:pt>
                <c:pt idx="136">
                  <c:v>100.61076</c:v>
                </c:pt>
                <c:pt idx="137">
                  <c:v>100.51748000000001</c:v>
                </c:pt>
                <c:pt idx="138">
                  <c:v>100.56656</c:v>
                </c:pt>
                <c:pt idx="139">
                  <c:v>100.46027000000001</c:v>
                </c:pt>
                <c:pt idx="140">
                  <c:v>100.64697</c:v>
                </c:pt>
                <c:pt idx="141">
                  <c:v>100.51211000000001</c:v>
                </c:pt>
                <c:pt idx="142">
                  <c:v>100.39101000000001</c:v>
                </c:pt>
                <c:pt idx="143">
                  <c:v>100.59112</c:v>
                </c:pt>
                <c:pt idx="144">
                  <c:v>100.54507</c:v>
                </c:pt>
                <c:pt idx="145">
                  <c:v>100.47673</c:v>
                </c:pt>
                <c:pt idx="146">
                  <c:v>100.6069</c:v>
                </c:pt>
                <c:pt idx="147">
                  <c:v>100.66022</c:v>
                </c:pt>
                <c:pt idx="148">
                  <c:v>100.60417</c:v>
                </c:pt>
                <c:pt idx="149">
                  <c:v>100.49504</c:v>
                </c:pt>
                <c:pt idx="150">
                  <c:v>100.47493</c:v>
                </c:pt>
                <c:pt idx="151">
                  <c:v>100.49755</c:v>
                </c:pt>
                <c:pt idx="152">
                  <c:v>100.63169000000001</c:v>
                </c:pt>
                <c:pt idx="153">
                  <c:v>100.48184000000001</c:v>
                </c:pt>
                <c:pt idx="154">
                  <c:v>100.40043</c:v>
                </c:pt>
                <c:pt idx="155">
                  <c:v>100.40616</c:v>
                </c:pt>
                <c:pt idx="156">
                  <c:v>100.59603</c:v>
                </c:pt>
                <c:pt idx="157">
                  <c:v>100.52423</c:v>
                </c:pt>
                <c:pt idx="158">
                  <c:v>100.54278000000001</c:v>
                </c:pt>
                <c:pt idx="159">
                  <c:v>100.64627</c:v>
                </c:pt>
                <c:pt idx="160">
                  <c:v>100.44465</c:v>
                </c:pt>
                <c:pt idx="161">
                  <c:v>100.50564</c:v>
                </c:pt>
                <c:pt idx="162">
                  <c:v>100.43309000000001</c:v>
                </c:pt>
                <c:pt idx="163">
                  <c:v>100.40255000000001</c:v>
                </c:pt>
                <c:pt idx="164">
                  <c:v>100.5201</c:v>
                </c:pt>
                <c:pt idx="165">
                  <c:v>100.51816000000001</c:v>
                </c:pt>
                <c:pt idx="166">
                  <c:v>100.45291</c:v>
                </c:pt>
                <c:pt idx="167">
                  <c:v>100.60416000000001</c:v>
                </c:pt>
                <c:pt idx="168">
                  <c:v>100.38164</c:v>
                </c:pt>
                <c:pt idx="169">
                  <c:v>100.47229</c:v>
                </c:pt>
                <c:pt idx="170">
                  <c:v>100.35154</c:v>
                </c:pt>
                <c:pt idx="171">
                  <c:v>100.48311</c:v>
                </c:pt>
                <c:pt idx="172">
                  <c:v>100.57799</c:v>
                </c:pt>
                <c:pt idx="173">
                  <c:v>100.46983</c:v>
                </c:pt>
                <c:pt idx="174">
                  <c:v>100.47908</c:v>
                </c:pt>
                <c:pt idx="175">
                  <c:v>100.45615000000001</c:v>
                </c:pt>
                <c:pt idx="176">
                  <c:v>100.52670000000001</c:v>
                </c:pt>
                <c:pt idx="177">
                  <c:v>100.5138</c:v>
                </c:pt>
                <c:pt idx="178">
                  <c:v>100.54263</c:v>
                </c:pt>
                <c:pt idx="179">
                  <c:v>100.56824</c:v>
                </c:pt>
                <c:pt idx="180">
                  <c:v>100.45938</c:v>
                </c:pt>
                <c:pt idx="181">
                  <c:v>100.4658</c:v>
                </c:pt>
                <c:pt idx="182">
                  <c:v>100.45614</c:v>
                </c:pt>
                <c:pt idx="183">
                  <c:v>100.51932000000001</c:v>
                </c:pt>
                <c:pt idx="184">
                  <c:v>100.47942</c:v>
                </c:pt>
                <c:pt idx="185">
                  <c:v>100.54402</c:v>
                </c:pt>
                <c:pt idx="186">
                  <c:v>100.50985</c:v>
                </c:pt>
                <c:pt idx="187">
                  <c:v>100.43825</c:v>
                </c:pt>
                <c:pt idx="188">
                  <c:v>100.40329</c:v>
                </c:pt>
                <c:pt idx="189">
                  <c:v>100.52324</c:v>
                </c:pt>
                <c:pt idx="190">
                  <c:v>100.43056</c:v>
                </c:pt>
                <c:pt idx="191">
                  <c:v>100.45546</c:v>
                </c:pt>
                <c:pt idx="192">
                  <c:v>100.56844</c:v>
                </c:pt>
                <c:pt idx="193">
                  <c:v>100.48029</c:v>
                </c:pt>
                <c:pt idx="194">
                  <c:v>100.62211000000001</c:v>
                </c:pt>
                <c:pt idx="195">
                  <c:v>100.55093000000001</c:v>
                </c:pt>
                <c:pt idx="196">
                  <c:v>100.50284000000001</c:v>
                </c:pt>
                <c:pt idx="197">
                  <c:v>100.61373</c:v>
                </c:pt>
                <c:pt idx="198">
                  <c:v>100.38757</c:v>
                </c:pt>
                <c:pt idx="199">
                  <c:v>100.49489</c:v>
                </c:pt>
                <c:pt idx="200">
                  <c:v>100.43788000000001</c:v>
                </c:pt>
                <c:pt idx="201">
                  <c:v>100.49923</c:v>
                </c:pt>
                <c:pt idx="202">
                  <c:v>100.36457</c:v>
                </c:pt>
                <c:pt idx="203">
                  <c:v>100.45402</c:v>
                </c:pt>
                <c:pt idx="204">
                  <c:v>100.52738000000001</c:v>
                </c:pt>
                <c:pt idx="205">
                  <c:v>100.36449</c:v>
                </c:pt>
                <c:pt idx="206">
                  <c:v>100.69348000000001</c:v>
                </c:pt>
                <c:pt idx="207">
                  <c:v>100.36734</c:v>
                </c:pt>
                <c:pt idx="208">
                  <c:v>100.40639</c:v>
                </c:pt>
                <c:pt idx="209">
                  <c:v>100.47968</c:v>
                </c:pt>
                <c:pt idx="210">
                  <c:v>100.51058</c:v>
                </c:pt>
                <c:pt idx="211">
                  <c:v>100.37933</c:v>
                </c:pt>
                <c:pt idx="212">
                  <c:v>100.48064000000001</c:v>
                </c:pt>
                <c:pt idx="213">
                  <c:v>100.46551000000001</c:v>
                </c:pt>
                <c:pt idx="214">
                  <c:v>100.44077</c:v>
                </c:pt>
                <c:pt idx="215">
                  <c:v>100.39751</c:v>
                </c:pt>
                <c:pt idx="216">
                  <c:v>100.54108000000001</c:v>
                </c:pt>
                <c:pt idx="217">
                  <c:v>100.51037000000001</c:v>
                </c:pt>
                <c:pt idx="218">
                  <c:v>100.53464</c:v>
                </c:pt>
                <c:pt idx="219">
                  <c:v>100.29846000000001</c:v>
                </c:pt>
                <c:pt idx="220">
                  <c:v>100.43851000000001</c:v>
                </c:pt>
                <c:pt idx="221">
                  <c:v>100.45736000000001</c:v>
                </c:pt>
                <c:pt idx="222">
                  <c:v>100.46279</c:v>
                </c:pt>
                <c:pt idx="223">
                  <c:v>100.48388</c:v>
                </c:pt>
                <c:pt idx="224">
                  <c:v>100.66531000000001</c:v>
                </c:pt>
                <c:pt idx="225">
                  <c:v>100.38854000000001</c:v>
                </c:pt>
                <c:pt idx="226">
                  <c:v>100.40311</c:v>
                </c:pt>
                <c:pt idx="227">
                  <c:v>100.51401</c:v>
                </c:pt>
                <c:pt idx="228">
                  <c:v>100.50618</c:v>
                </c:pt>
                <c:pt idx="229">
                  <c:v>100.56012</c:v>
                </c:pt>
                <c:pt idx="230">
                  <c:v>100.3797</c:v>
                </c:pt>
                <c:pt idx="231">
                  <c:v>100.57519000000001</c:v>
                </c:pt>
                <c:pt idx="232">
                  <c:v>100.4385</c:v>
                </c:pt>
                <c:pt idx="233">
                  <c:v>100.38640000000001</c:v>
                </c:pt>
                <c:pt idx="234">
                  <c:v>100.54789</c:v>
                </c:pt>
                <c:pt idx="235">
                  <c:v>100.51969</c:v>
                </c:pt>
                <c:pt idx="236">
                  <c:v>100.43589</c:v>
                </c:pt>
                <c:pt idx="237">
                  <c:v>100.62893</c:v>
                </c:pt>
                <c:pt idx="238">
                  <c:v>100.4042</c:v>
                </c:pt>
                <c:pt idx="239">
                  <c:v>100.50486000000001</c:v>
                </c:pt>
                <c:pt idx="240">
                  <c:v>100.55898000000001</c:v>
                </c:pt>
                <c:pt idx="241">
                  <c:v>100.48192</c:v>
                </c:pt>
                <c:pt idx="242">
                  <c:v>100.43246000000001</c:v>
                </c:pt>
                <c:pt idx="243">
                  <c:v>100.36868</c:v>
                </c:pt>
                <c:pt idx="244">
                  <c:v>100.30331</c:v>
                </c:pt>
                <c:pt idx="245">
                  <c:v>100.65574000000001</c:v>
                </c:pt>
                <c:pt idx="246">
                  <c:v>100.21812</c:v>
                </c:pt>
                <c:pt idx="247">
                  <c:v>100.42917</c:v>
                </c:pt>
                <c:pt idx="248">
                  <c:v>100.499</c:v>
                </c:pt>
                <c:pt idx="249">
                  <c:v>100.44316000000001</c:v>
                </c:pt>
                <c:pt idx="250">
                  <c:v>100.48140000000001</c:v>
                </c:pt>
                <c:pt idx="251">
                  <c:v>100.40179000000001</c:v>
                </c:pt>
                <c:pt idx="252">
                  <c:v>100.35067000000001</c:v>
                </c:pt>
                <c:pt idx="253">
                  <c:v>100.3124</c:v>
                </c:pt>
                <c:pt idx="254">
                  <c:v>100.46752000000001</c:v>
                </c:pt>
                <c:pt idx="255">
                  <c:v>100.20956</c:v>
                </c:pt>
                <c:pt idx="256">
                  <c:v>100.39373000000001</c:v>
                </c:pt>
                <c:pt idx="257">
                  <c:v>100.50393</c:v>
                </c:pt>
                <c:pt idx="258">
                  <c:v>100.16665</c:v>
                </c:pt>
                <c:pt idx="259">
                  <c:v>100.30354</c:v>
                </c:pt>
                <c:pt idx="260">
                  <c:v>100.50039</c:v>
                </c:pt>
                <c:pt idx="261">
                  <c:v>100.43282000000001</c:v>
                </c:pt>
                <c:pt idx="262">
                  <c:v>100.29359000000001</c:v>
                </c:pt>
                <c:pt idx="263">
                  <c:v>100.22236000000001</c:v>
                </c:pt>
                <c:pt idx="264">
                  <c:v>100.45916</c:v>
                </c:pt>
                <c:pt idx="265">
                  <c:v>100.51944</c:v>
                </c:pt>
                <c:pt idx="266">
                  <c:v>100.46767</c:v>
                </c:pt>
                <c:pt idx="267">
                  <c:v>100.44129000000001</c:v>
                </c:pt>
                <c:pt idx="268">
                  <c:v>100.37982000000001</c:v>
                </c:pt>
                <c:pt idx="269">
                  <c:v>100.32979</c:v>
                </c:pt>
                <c:pt idx="270">
                  <c:v>100.36644</c:v>
                </c:pt>
                <c:pt idx="271">
                  <c:v>100.53377</c:v>
                </c:pt>
                <c:pt idx="272">
                  <c:v>100.46730000000001</c:v>
                </c:pt>
                <c:pt idx="273">
                  <c:v>100.34690000000001</c:v>
                </c:pt>
                <c:pt idx="274">
                  <c:v>100.43289</c:v>
                </c:pt>
                <c:pt idx="275">
                  <c:v>100.21912</c:v>
                </c:pt>
                <c:pt idx="276">
                  <c:v>100.32721000000001</c:v>
                </c:pt>
                <c:pt idx="277">
                  <c:v>100.52572000000001</c:v>
                </c:pt>
                <c:pt idx="278">
                  <c:v>100.39754000000001</c:v>
                </c:pt>
                <c:pt idx="279">
                  <c:v>100.3793</c:v>
                </c:pt>
                <c:pt idx="280">
                  <c:v>100.5605</c:v>
                </c:pt>
                <c:pt idx="281">
                  <c:v>100.23116</c:v>
                </c:pt>
                <c:pt idx="282">
                  <c:v>100.31403</c:v>
                </c:pt>
                <c:pt idx="283">
                  <c:v>100.38208</c:v>
                </c:pt>
                <c:pt idx="284">
                  <c:v>100.43632000000001</c:v>
                </c:pt>
                <c:pt idx="285">
                  <c:v>100.46683</c:v>
                </c:pt>
                <c:pt idx="286">
                  <c:v>100.38296</c:v>
                </c:pt>
                <c:pt idx="287">
                  <c:v>100.38704</c:v>
                </c:pt>
                <c:pt idx="288">
                  <c:v>100.37350000000001</c:v>
                </c:pt>
                <c:pt idx="289">
                  <c:v>100.50437000000001</c:v>
                </c:pt>
                <c:pt idx="290">
                  <c:v>100.31036</c:v>
                </c:pt>
                <c:pt idx="291">
                  <c:v>100.39638000000001</c:v>
                </c:pt>
                <c:pt idx="292">
                  <c:v>100.32815000000001</c:v>
                </c:pt>
                <c:pt idx="293">
                  <c:v>100.49621</c:v>
                </c:pt>
                <c:pt idx="294">
                  <c:v>100.29781</c:v>
                </c:pt>
                <c:pt idx="295">
                  <c:v>100.23285</c:v>
                </c:pt>
                <c:pt idx="296">
                  <c:v>100.27207</c:v>
                </c:pt>
                <c:pt idx="297">
                  <c:v>100.48345</c:v>
                </c:pt>
                <c:pt idx="298">
                  <c:v>100.40738</c:v>
                </c:pt>
                <c:pt idx="299">
                  <c:v>100.42728</c:v>
                </c:pt>
                <c:pt idx="300">
                  <c:v>100.34283000000001</c:v>
                </c:pt>
                <c:pt idx="301">
                  <c:v>100.3338</c:v>
                </c:pt>
                <c:pt idx="302">
                  <c:v>100.39555</c:v>
                </c:pt>
                <c:pt idx="303">
                  <c:v>100.43979</c:v>
                </c:pt>
                <c:pt idx="304">
                  <c:v>100.34689</c:v>
                </c:pt>
                <c:pt idx="305">
                  <c:v>100.47750000000001</c:v>
                </c:pt>
                <c:pt idx="306">
                  <c:v>100.40762000000001</c:v>
                </c:pt>
                <c:pt idx="307">
                  <c:v>100.40041000000001</c:v>
                </c:pt>
                <c:pt idx="308">
                  <c:v>100.33219</c:v>
                </c:pt>
                <c:pt idx="309">
                  <c:v>100.31416</c:v>
                </c:pt>
                <c:pt idx="310">
                  <c:v>100.40299</c:v>
                </c:pt>
                <c:pt idx="311">
                  <c:v>100.35864000000001</c:v>
                </c:pt>
                <c:pt idx="312">
                  <c:v>100.54464</c:v>
                </c:pt>
                <c:pt idx="313">
                  <c:v>100.38290000000001</c:v>
                </c:pt>
                <c:pt idx="314">
                  <c:v>100.36129</c:v>
                </c:pt>
                <c:pt idx="315">
                  <c:v>100.29698</c:v>
                </c:pt>
                <c:pt idx="316">
                  <c:v>100.39029000000001</c:v>
                </c:pt>
                <c:pt idx="317">
                  <c:v>100.42422000000001</c:v>
                </c:pt>
                <c:pt idx="318">
                  <c:v>100.38329</c:v>
                </c:pt>
                <c:pt idx="319">
                  <c:v>100.26979</c:v>
                </c:pt>
                <c:pt idx="320">
                  <c:v>100.41598</c:v>
                </c:pt>
                <c:pt idx="321">
                  <c:v>100.31187</c:v>
                </c:pt>
                <c:pt idx="322">
                  <c:v>100.31753</c:v>
                </c:pt>
                <c:pt idx="323">
                  <c:v>100.38525</c:v>
                </c:pt>
                <c:pt idx="324">
                  <c:v>100.27123</c:v>
                </c:pt>
                <c:pt idx="325">
                  <c:v>100.47301</c:v>
                </c:pt>
                <c:pt idx="326">
                  <c:v>100.40214</c:v>
                </c:pt>
                <c:pt idx="327">
                  <c:v>100.33455000000001</c:v>
                </c:pt>
                <c:pt idx="328">
                  <c:v>100.26178</c:v>
                </c:pt>
                <c:pt idx="329">
                  <c:v>100.42142</c:v>
                </c:pt>
                <c:pt idx="330">
                  <c:v>100.34414</c:v>
                </c:pt>
                <c:pt idx="331">
                  <c:v>100.28999</c:v>
                </c:pt>
                <c:pt idx="332">
                  <c:v>100.32455</c:v>
                </c:pt>
                <c:pt idx="333">
                  <c:v>100.34485000000001</c:v>
                </c:pt>
                <c:pt idx="334">
                  <c:v>100.31476000000001</c:v>
                </c:pt>
                <c:pt idx="335">
                  <c:v>100.29925</c:v>
                </c:pt>
                <c:pt idx="336">
                  <c:v>100.29465</c:v>
                </c:pt>
                <c:pt idx="337">
                  <c:v>100.32358000000001</c:v>
                </c:pt>
                <c:pt idx="338">
                  <c:v>100.34392</c:v>
                </c:pt>
                <c:pt idx="339">
                  <c:v>100.31695000000001</c:v>
                </c:pt>
                <c:pt idx="340">
                  <c:v>100.33355</c:v>
                </c:pt>
                <c:pt idx="341">
                  <c:v>100.4528</c:v>
                </c:pt>
                <c:pt idx="342">
                  <c:v>100.3723</c:v>
                </c:pt>
                <c:pt idx="343">
                  <c:v>100.39009</c:v>
                </c:pt>
                <c:pt idx="344">
                  <c:v>100.32788000000001</c:v>
                </c:pt>
                <c:pt idx="345">
                  <c:v>100.35776</c:v>
                </c:pt>
                <c:pt idx="346">
                  <c:v>100.36954</c:v>
                </c:pt>
                <c:pt idx="347">
                  <c:v>100.194</c:v>
                </c:pt>
                <c:pt idx="348">
                  <c:v>100.35146</c:v>
                </c:pt>
                <c:pt idx="349">
                  <c:v>100.24000000000001</c:v>
                </c:pt>
                <c:pt idx="350">
                  <c:v>100.32147000000001</c:v>
                </c:pt>
                <c:pt idx="351">
                  <c:v>100.34831</c:v>
                </c:pt>
                <c:pt idx="352">
                  <c:v>100.33435</c:v>
                </c:pt>
                <c:pt idx="353">
                  <c:v>100.39929000000001</c:v>
                </c:pt>
                <c:pt idx="354">
                  <c:v>100.38307</c:v>
                </c:pt>
                <c:pt idx="355">
                  <c:v>100.4072</c:v>
                </c:pt>
                <c:pt idx="356">
                  <c:v>100.28899</c:v>
                </c:pt>
                <c:pt idx="357">
                  <c:v>100.36231000000001</c:v>
                </c:pt>
                <c:pt idx="358">
                  <c:v>100.21259000000001</c:v>
                </c:pt>
                <c:pt idx="359">
                  <c:v>100.33862000000001</c:v>
                </c:pt>
                <c:pt idx="360">
                  <c:v>100.38792000000001</c:v>
                </c:pt>
                <c:pt idx="361">
                  <c:v>100.44463</c:v>
                </c:pt>
                <c:pt idx="362">
                  <c:v>100.29424</c:v>
                </c:pt>
                <c:pt idx="363">
                  <c:v>100.22508000000001</c:v>
                </c:pt>
                <c:pt idx="364">
                  <c:v>100.33349</c:v>
                </c:pt>
                <c:pt idx="365">
                  <c:v>100.31027</c:v>
                </c:pt>
                <c:pt idx="366">
                  <c:v>100.20786</c:v>
                </c:pt>
                <c:pt idx="367">
                  <c:v>100.35665</c:v>
                </c:pt>
                <c:pt idx="368">
                  <c:v>100.31732000000001</c:v>
                </c:pt>
                <c:pt idx="369">
                  <c:v>100.18377</c:v>
                </c:pt>
                <c:pt idx="370">
                  <c:v>100.35317000000001</c:v>
                </c:pt>
                <c:pt idx="371">
                  <c:v>100.26532</c:v>
                </c:pt>
                <c:pt idx="372">
                  <c:v>100.29</c:v>
                </c:pt>
                <c:pt idx="373">
                  <c:v>100.32054000000001</c:v>
                </c:pt>
                <c:pt idx="374">
                  <c:v>100.31978000000001</c:v>
                </c:pt>
                <c:pt idx="375">
                  <c:v>100.34163000000001</c:v>
                </c:pt>
                <c:pt idx="376">
                  <c:v>100.15946</c:v>
                </c:pt>
                <c:pt idx="377">
                  <c:v>100.22286</c:v>
                </c:pt>
                <c:pt idx="378">
                  <c:v>100.22873</c:v>
                </c:pt>
                <c:pt idx="379">
                  <c:v>100.27558000000001</c:v>
                </c:pt>
                <c:pt idx="380">
                  <c:v>100.21306</c:v>
                </c:pt>
                <c:pt idx="381">
                  <c:v>100.18153000000001</c:v>
                </c:pt>
                <c:pt idx="382">
                  <c:v>100.248</c:v>
                </c:pt>
                <c:pt idx="383">
                  <c:v>100.33858000000001</c:v>
                </c:pt>
                <c:pt idx="384">
                  <c:v>100.33298000000001</c:v>
                </c:pt>
                <c:pt idx="385">
                  <c:v>100.16367</c:v>
                </c:pt>
                <c:pt idx="386">
                  <c:v>100.18153000000001</c:v>
                </c:pt>
                <c:pt idx="387">
                  <c:v>100.23445</c:v>
                </c:pt>
                <c:pt idx="388">
                  <c:v>100.24117</c:v>
                </c:pt>
                <c:pt idx="389">
                  <c:v>100.36631</c:v>
                </c:pt>
                <c:pt idx="390">
                  <c:v>100.41331</c:v>
                </c:pt>
                <c:pt idx="391">
                  <c:v>100.34639</c:v>
                </c:pt>
                <c:pt idx="392">
                  <c:v>100.31792</c:v>
                </c:pt>
                <c:pt idx="393">
                  <c:v>100.30709</c:v>
                </c:pt>
                <c:pt idx="394">
                  <c:v>100.28268</c:v>
                </c:pt>
                <c:pt idx="395">
                  <c:v>100.30269</c:v>
                </c:pt>
                <c:pt idx="396">
                  <c:v>100.26805</c:v>
                </c:pt>
                <c:pt idx="397">
                  <c:v>100.39634000000001</c:v>
                </c:pt>
                <c:pt idx="398">
                  <c:v>100.22206</c:v>
                </c:pt>
                <c:pt idx="399">
                  <c:v>100.21294</c:v>
                </c:pt>
                <c:pt idx="400">
                  <c:v>100.38097</c:v>
                </c:pt>
                <c:pt idx="401">
                  <c:v>100.33681</c:v>
                </c:pt>
                <c:pt idx="402">
                  <c:v>100.30291</c:v>
                </c:pt>
                <c:pt idx="403">
                  <c:v>100.38955</c:v>
                </c:pt>
                <c:pt idx="404">
                  <c:v>100.24327</c:v>
                </c:pt>
                <c:pt idx="405">
                  <c:v>100.34014000000001</c:v>
                </c:pt>
                <c:pt idx="406">
                  <c:v>100.41269</c:v>
                </c:pt>
                <c:pt idx="407">
                  <c:v>100.19872000000001</c:v>
                </c:pt>
                <c:pt idx="408">
                  <c:v>100.36601</c:v>
                </c:pt>
                <c:pt idx="409">
                  <c:v>100.28336</c:v>
                </c:pt>
                <c:pt idx="410">
                  <c:v>100.31292000000001</c:v>
                </c:pt>
                <c:pt idx="411">
                  <c:v>100.28646000000001</c:v>
                </c:pt>
                <c:pt idx="412">
                  <c:v>100.24205000000001</c:v>
                </c:pt>
                <c:pt idx="413">
                  <c:v>100.28558</c:v>
                </c:pt>
                <c:pt idx="414">
                  <c:v>100.3074</c:v>
                </c:pt>
                <c:pt idx="415">
                  <c:v>100.13482</c:v>
                </c:pt>
                <c:pt idx="416">
                  <c:v>100.29952</c:v>
                </c:pt>
                <c:pt idx="417">
                  <c:v>100.19931</c:v>
                </c:pt>
                <c:pt idx="418">
                  <c:v>100.21589</c:v>
                </c:pt>
                <c:pt idx="419">
                  <c:v>100.38202</c:v>
                </c:pt>
                <c:pt idx="420">
                  <c:v>100.20959000000001</c:v>
                </c:pt>
                <c:pt idx="421">
                  <c:v>100.23554</c:v>
                </c:pt>
                <c:pt idx="422">
                  <c:v>100.38181</c:v>
                </c:pt>
                <c:pt idx="423">
                  <c:v>100.31786</c:v>
                </c:pt>
                <c:pt idx="424">
                  <c:v>100.30248</c:v>
                </c:pt>
                <c:pt idx="425">
                  <c:v>100.13253</c:v>
                </c:pt>
                <c:pt idx="426">
                  <c:v>100.47294000000001</c:v>
                </c:pt>
                <c:pt idx="427">
                  <c:v>100.16449</c:v>
                </c:pt>
                <c:pt idx="428">
                  <c:v>100.33683000000001</c:v>
                </c:pt>
                <c:pt idx="429">
                  <c:v>100.35244</c:v>
                </c:pt>
                <c:pt idx="430">
                  <c:v>100.30864</c:v>
                </c:pt>
                <c:pt idx="431">
                  <c:v>100.20314</c:v>
                </c:pt>
                <c:pt idx="432">
                  <c:v>100.28057</c:v>
                </c:pt>
                <c:pt idx="433">
                  <c:v>100.26413000000001</c:v>
                </c:pt>
                <c:pt idx="434">
                  <c:v>100.32967000000001</c:v>
                </c:pt>
                <c:pt idx="435">
                  <c:v>100.16301</c:v>
                </c:pt>
                <c:pt idx="436">
                  <c:v>100.1957</c:v>
                </c:pt>
                <c:pt idx="437">
                  <c:v>100.13377</c:v>
                </c:pt>
                <c:pt idx="438">
                  <c:v>100.20361</c:v>
                </c:pt>
                <c:pt idx="439">
                  <c:v>100.21098000000001</c:v>
                </c:pt>
                <c:pt idx="440">
                  <c:v>100.19888</c:v>
                </c:pt>
                <c:pt idx="441">
                  <c:v>100.08826000000001</c:v>
                </c:pt>
                <c:pt idx="442">
                  <c:v>100.31699</c:v>
                </c:pt>
                <c:pt idx="443">
                  <c:v>100.26206000000001</c:v>
                </c:pt>
                <c:pt idx="444">
                  <c:v>100.13884</c:v>
                </c:pt>
                <c:pt idx="445">
                  <c:v>100.31658</c:v>
                </c:pt>
                <c:pt idx="446">
                  <c:v>100.24378</c:v>
                </c:pt>
                <c:pt idx="447">
                  <c:v>100.32759</c:v>
                </c:pt>
                <c:pt idx="448">
                  <c:v>100.26942</c:v>
                </c:pt>
                <c:pt idx="449">
                  <c:v>100.19634000000001</c:v>
                </c:pt>
                <c:pt idx="450">
                  <c:v>100.19985</c:v>
                </c:pt>
                <c:pt idx="451">
                  <c:v>100.23329</c:v>
                </c:pt>
                <c:pt idx="452">
                  <c:v>100.26749000000001</c:v>
                </c:pt>
                <c:pt idx="453">
                  <c:v>100.21202</c:v>
                </c:pt>
                <c:pt idx="454">
                  <c:v>100.17441000000001</c:v>
                </c:pt>
                <c:pt idx="455">
                  <c:v>100.22449</c:v>
                </c:pt>
                <c:pt idx="456">
                  <c:v>100.22741000000001</c:v>
                </c:pt>
                <c:pt idx="457">
                  <c:v>100.23089</c:v>
                </c:pt>
                <c:pt idx="458">
                  <c:v>100.27168</c:v>
                </c:pt>
                <c:pt idx="459">
                  <c:v>100.14204000000001</c:v>
                </c:pt>
                <c:pt idx="460">
                  <c:v>100.08704</c:v>
                </c:pt>
                <c:pt idx="461">
                  <c:v>100.31439</c:v>
                </c:pt>
                <c:pt idx="462">
                  <c:v>100.28474</c:v>
                </c:pt>
                <c:pt idx="463">
                  <c:v>100.14688</c:v>
                </c:pt>
                <c:pt idx="464">
                  <c:v>100.25938000000001</c:v>
                </c:pt>
                <c:pt idx="465">
                  <c:v>100.16923</c:v>
                </c:pt>
                <c:pt idx="466">
                  <c:v>100.32661</c:v>
                </c:pt>
                <c:pt idx="467">
                  <c:v>100.26478</c:v>
                </c:pt>
                <c:pt idx="468">
                  <c:v>100.23893</c:v>
                </c:pt>
                <c:pt idx="469">
                  <c:v>100.20222</c:v>
                </c:pt>
                <c:pt idx="470">
                  <c:v>100.16643000000001</c:v>
                </c:pt>
                <c:pt idx="471">
                  <c:v>100.24812</c:v>
                </c:pt>
                <c:pt idx="472">
                  <c:v>100.10836</c:v>
                </c:pt>
                <c:pt idx="473">
                  <c:v>100.23269000000001</c:v>
                </c:pt>
                <c:pt idx="474">
                  <c:v>100.26657</c:v>
                </c:pt>
                <c:pt idx="475">
                  <c:v>100.12412</c:v>
                </c:pt>
                <c:pt idx="476">
                  <c:v>100.16244</c:v>
                </c:pt>
                <c:pt idx="477">
                  <c:v>100.23099000000001</c:v>
                </c:pt>
                <c:pt idx="478">
                  <c:v>100.22302000000001</c:v>
                </c:pt>
                <c:pt idx="479">
                  <c:v>100.24234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A1-A246-A571-FF2B0A9A4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876944"/>
        <c:axId val="1596302639"/>
      </c:scatterChart>
      <c:valAx>
        <c:axId val="702876944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596302639"/>
        <c:crosses val="autoZero"/>
        <c:crossBetween val="midCat"/>
      </c:valAx>
      <c:valAx>
        <c:axId val="159630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702876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Temp/Time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'200C (Odin)'!$B$39:$B$620</c:f>
              <c:strCache>
                <c:ptCount val="582"/>
                <c:pt idx="0">
                  <c:v>Time/min</c:v>
                </c:pt>
                <c:pt idx="1">
                  <c:v>0,00000</c:v>
                </c:pt>
                <c:pt idx="2">
                  <c:v>0,50000</c:v>
                </c:pt>
                <c:pt idx="3">
                  <c:v>1,00000</c:v>
                </c:pt>
                <c:pt idx="4">
                  <c:v>1,50000</c:v>
                </c:pt>
                <c:pt idx="5">
                  <c:v>2,00000</c:v>
                </c:pt>
                <c:pt idx="6">
                  <c:v>2,50000</c:v>
                </c:pt>
                <c:pt idx="7">
                  <c:v>3,00000</c:v>
                </c:pt>
                <c:pt idx="8">
                  <c:v>3,50000</c:v>
                </c:pt>
                <c:pt idx="9">
                  <c:v>4,00000</c:v>
                </c:pt>
                <c:pt idx="10">
                  <c:v>4,50000</c:v>
                </c:pt>
                <c:pt idx="11">
                  <c:v>5,00000</c:v>
                </c:pt>
                <c:pt idx="12">
                  <c:v>5,50000</c:v>
                </c:pt>
                <c:pt idx="13">
                  <c:v>6,00000</c:v>
                </c:pt>
                <c:pt idx="14">
                  <c:v>6,50000</c:v>
                </c:pt>
                <c:pt idx="15">
                  <c:v>7,00000</c:v>
                </c:pt>
                <c:pt idx="16">
                  <c:v>7,50000</c:v>
                </c:pt>
                <c:pt idx="17">
                  <c:v>8,00000</c:v>
                </c:pt>
                <c:pt idx="18">
                  <c:v>8,50000</c:v>
                </c:pt>
                <c:pt idx="19">
                  <c:v>9,00000</c:v>
                </c:pt>
                <c:pt idx="20">
                  <c:v>9,50000</c:v>
                </c:pt>
                <c:pt idx="21">
                  <c:v>10,00000</c:v>
                </c:pt>
                <c:pt idx="22">
                  <c:v>10,50000</c:v>
                </c:pt>
                <c:pt idx="23">
                  <c:v>11,00000</c:v>
                </c:pt>
                <c:pt idx="24">
                  <c:v>11,50000</c:v>
                </c:pt>
                <c:pt idx="25">
                  <c:v>12,00000</c:v>
                </c:pt>
                <c:pt idx="26">
                  <c:v>12,50000</c:v>
                </c:pt>
                <c:pt idx="27">
                  <c:v>13,00000</c:v>
                </c:pt>
                <c:pt idx="28">
                  <c:v>13,50000</c:v>
                </c:pt>
                <c:pt idx="29">
                  <c:v>14,00000</c:v>
                </c:pt>
                <c:pt idx="30">
                  <c:v>14,50000</c:v>
                </c:pt>
                <c:pt idx="31">
                  <c:v>15,00000</c:v>
                </c:pt>
                <c:pt idx="32">
                  <c:v>15,50000</c:v>
                </c:pt>
                <c:pt idx="33">
                  <c:v>16,00000</c:v>
                </c:pt>
                <c:pt idx="34">
                  <c:v>16,50000</c:v>
                </c:pt>
                <c:pt idx="35">
                  <c:v>17,00000</c:v>
                </c:pt>
                <c:pt idx="36">
                  <c:v>17,50000</c:v>
                </c:pt>
                <c:pt idx="37">
                  <c:v>18,00000</c:v>
                </c:pt>
                <c:pt idx="38">
                  <c:v>18,50000</c:v>
                </c:pt>
                <c:pt idx="39">
                  <c:v>19,00000</c:v>
                </c:pt>
                <c:pt idx="40">
                  <c:v>19,50000</c:v>
                </c:pt>
                <c:pt idx="41">
                  <c:v>20,00000</c:v>
                </c:pt>
                <c:pt idx="42">
                  <c:v>20,50000</c:v>
                </c:pt>
                <c:pt idx="43">
                  <c:v>21,00000</c:v>
                </c:pt>
                <c:pt idx="44">
                  <c:v>21,50000</c:v>
                </c:pt>
                <c:pt idx="45">
                  <c:v>22,00000</c:v>
                </c:pt>
                <c:pt idx="46">
                  <c:v>22,50000</c:v>
                </c:pt>
                <c:pt idx="47">
                  <c:v>23,00000</c:v>
                </c:pt>
                <c:pt idx="48">
                  <c:v>23,50000</c:v>
                </c:pt>
                <c:pt idx="49">
                  <c:v>24,00000</c:v>
                </c:pt>
                <c:pt idx="50">
                  <c:v>24,50000</c:v>
                </c:pt>
                <c:pt idx="51">
                  <c:v>25,00000</c:v>
                </c:pt>
                <c:pt idx="52">
                  <c:v>25,50000</c:v>
                </c:pt>
                <c:pt idx="53">
                  <c:v>26,00000</c:v>
                </c:pt>
                <c:pt idx="54">
                  <c:v>26,50000</c:v>
                </c:pt>
                <c:pt idx="55">
                  <c:v>27,00000</c:v>
                </c:pt>
                <c:pt idx="56">
                  <c:v>27,50000</c:v>
                </c:pt>
                <c:pt idx="57">
                  <c:v>28,00000</c:v>
                </c:pt>
                <c:pt idx="58">
                  <c:v>28,50000</c:v>
                </c:pt>
                <c:pt idx="59">
                  <c:v>29,00000</c:v>
                </c:pt>
                <c:pt idx="60">
                  <c:v>29,50000</c:v>
                </c:pt>
                <c:pt idx="61">
                  <c:v>30,00000</c:v>
                </c:pt>
                <c:pt idx="62">
                  <c:v>30,50000</c:v>
                </c:pt>
                <c:pt idx="63">
                  <c:v>31,00000</c:v>
                </c:pt>
                <c:pt idx="64">
                  <c:v>31,50000</c:v>
                </c:pt>
                <c:pt idx="65">
                  <c:v>32,00000</c:v>
                </c:pt>
                <c:pt idx="66">
                  <c:v>32,50000</c:v>
                </c:pt>
                <c:pt idx="67">
                  <c:v>33,00000</c:v>
                </c:pt>
                <c:pt idx="68">
                  <c:v>33,50000</c:v>
                </c:pt>
                <c:pt idx="69">
                  <c:v>34,00000</c:v>
                </c:pt>
                <c:pt idx="70">
                  <c:v>34,50000</c:v>
                </c:pt>
                <c:pt idx="71">
                  <c:v>35,00000</c:v>
                </c:pt>
                <c:pt idx="72">
                  <c:v>35,50000</c:v>
                </c:pt>
                <c:pt idx="73">
                  <c:v>36,00000</c:v>
                </c:pt>
                <c:pt idx="74">
                  <c:v>36,50000</c:v>
                </c:pt>
                <c:pt idx="75">
                  <c:v>37,00000</c:v>
                </c:pt>
                <c:pt idx="76">
                  <c:v>37,50000</c:v>
                </c:pt>
                <c:pt idx="77">
                  <c:v>38,00000</c:v>
                </c:pt>
                <c:pt idx="78">
                  <c:v>38,50000</c:v>
                </c:pt>
                <c:pt idx="79">
                  <c:v>39,00000</c:v>
                </c:pt>
                <c:pt idx="80">
                  <c:v>39,50000</c:v>
                </c:pt>
                <c:pt idx="81">
                  <c:v>40,00000</c:v>
                </c:pt>
                <c:pt idx="82">
                  <c:v>40,50000</c:v>
                </c:pt>
                <c:pt idx="83">
                  <c:v>41,00000</c:v>
                </c:pt>
                <c:pt idx="84">
                  <c:v>41,50000</c:v>
                </c:pt>
                <c:pt idx="85">
                  <c:v>42,00000</c:v>
                </c:pt>
                <c:pt idx="86">
                  <c:v>42,50000</c:v>
                </c:pt>
                <c:pt idx="87">
                  <c:v>43,00000</c:v>
                </c:pt>
                <c:pt idx="88">
                  <c:v>43,50000</c:v>
                </c:pt>
                <c:pt idx="89">
                  <c:v>44,00000</c:v>
                </c:pt>
                <c:pt idx="90">
                  <c:v>44,50000</c:v>
                </c:pt>
                <c:pt idx="91">
                  <c:v>45,00000</c:v>
                </c:pt>
                <c:pt idx="92">
                  <c:v>45,50000</c:v>
                </c:pt>
                <c:pt idx="93">
                  <c:v>46,00000</c:v>
                </c:pt>
                <c:pt idx="94">
                  <c:v>46,50000</c:v>
                </c:pt>
                <c:pt idx="95">
                  <c:v>47,00000</c:v>
                </c:pt>
                <c:pt idx="96">
                  <c:v>47,50000</c:v>
                </c:pt>
                <c:pt idx="97">
                  <c:v>48,00000</c:v>
                </c:pt>
                <c:pt idx="98">
                  <c:v>48,50000</c:v>
                </c:pt>
                <c:pt idx="99">
                  <c:v>49,00000</c:v>
                </c:pt>
                <c:pt idx="100">
                  <c:v>49,50000</c:v>
                </c:pt>
                <c:pt idx="101">
                  <c:v>50,00000</c:v>
                </c:pt>
                <c:pt idx="102">
                  <c:v>50,50000</c:v>
                </c:pt>
                <c:pt idx="103">
                  <c:v>51,00000</c:v>
                </c:pt>
                <c:pt idx="104">
                  <c:v>51,50000</c:v>
                </c:pt>
                <c:pt idx="105">
                  <c:v>52,00000</c:v>
                </c:pt>
                <c:pt idx="106">
                  <c:v>52,50000</c:v>
                </c:pt>
                <c:pt idx="107">
                  <c:v>53,00000</c:v>
                </c:pt>
                <c:pt idx="108">
                  <c:v>53,50000</c:v>
                </c:pt>
                <c:pt idx="109">
                  <c:v>54,00000</c:v>
                </c:pt>
                <c:pt idx="110">
                  <c:v>54,50000</c:v>
                </c:pt>
                <c:pt idx="111">
                  <c:v>55,00000</c:v>
                </c:pt>
                <c:pt idx="112">
                  <c:v>55,50000</c:v>
                </c:pt>
                <c:pt idx="113">
                  <c:v>56,00000</c:v>
                </c:pt>
                <c:pt idx="114">
                  <c:v>56,50000</c:v>
                </c:pt>
                <c:pt idx="115">
                  <c:v>57,00000</c:v>
                </c:pt>
                <c:pt idx="116">
                  <c:v>57,50000</c:v>
                </c:pt>
                <c:pt idx="117">
                  <c:v>58,00000</c:v>
                </c:pt>
                <c:pt idx="118">
                  <c:v>58,50000</c:v>
                </c:pt>
                <c:pt idx="119">
                  <c:v>59,00000</c:v>
                </c:pt>
                <c:pt idx="120">
                  <c:v>59,50000</c:v>
                </c:pt>
                <c:pt idx="121">
                  <c:v>60,00000</c:v>
                </c:pt>
                <c:pt idx="122">
                  <c:v>60,50000</c:v>
                </c:pt>
                <c:pt idx="123">
                  <c:v>61,00000</c:v>
                </c:pt>
                <c:pt idx="124">
                  <c:v>61,50000</c:v>
                </c:pt>
                <c:pt idx="125">
                  <c:v>62,00000</c:v>
                </c:pt>
                <c:pt idx="126">
                  <c:v>62,50000</c:v>
                </c:pt>
                <c:pt idx="127">
                  <c:v>63,00000</c:v>
                </c:pt>
                <c:pt idx="128">
                  <c:v>63,50000</c:v>
                </c:pt>
                <c:pt idx="129">
                  <c:v>64,00000</c:v>
                </c:pt>
                <c:pt idx="130">
                  <c:v>64,50000</c:v>
                </c:pt>
                <c:pt idx="131">
                  <c:v>65,00000</c:v>
                </c:pt>
                <c:pt idx="132">
                  <c:v>65,50000</c:v>
                </c:pt>
                <c:pt idx="133">
                  <c:v>66,00000</c:v>
                </c:pt>
                <c:pt idx="134">
                  <c:v>66,50000</c:v>
                </c:pt>
                <c:pt idx="135">
                  <c:v>67,00000</c:v>
                </c:pt>
                <c:pt idx="136">
                  <c:v>67,50000</c:v>
                </c:pt>
                <c:pt idx="137">
                  <c:v>68,00000</c:v>
                </c:pt>
                <c:pt idx="138">
                  <c:v>68,50000</c:v>
                </c:pt>
                <c:pt idx="139">
                  <c:v>69,00000</c:v>
                </c:pt>
                <c:pt idx="140">
                  <c:v>69,50000</c:v>
                </c:pt>
                <c:pt idx="141">
                  <c:v>70,00000</c:v>
                </c:pt>
                <c:pt idx="142">
                  <c:v>70,50000</c:v>
                </c:pt>
                <c:pt idx="143">
                  <c:v>71,00000</c:v>
                </c:pt>
                <c:pt idx="144">
                  <c:v>71,50000</c:v>
                </c:pt>
                <c:pt idx="145">
                  <c:v>72,00000</c:v>
                </c:pt>
                <c:pt idx="146">
                  <c:v>72,50000</c:v>
                </c:pt>
                <c:pt idx="147">
                  <c:v>73,00000</c:v>
                </c:pt>
                <c:pt idx="148">
                  <c:v>73,50000</c:v>
                </c:pt>
                <c:pt idx="149">
                  <c:v>74,00000</c:v>
                </c:pt>
                <c:pt idx="150">
                  <c:v>74,50000</c:v>
                </c:pt>
                <c:pt idx="151">
                  <c:v>75,00000</c:v>
                </c:pt>
                <c:pt idx="152">
                  <c:v>75,50000</c:v>
                </c:pt>
                <c:pt idx="153">
                  <c:v>76,00000</c:v>
                </c:pt>
                <c:pt idx="154">
                  <c:v>76,50000</c:v>
                </c:pt>
                <c:pt idx="155">
                  <c:v>77,00000</c:v>
                </c:pt>
                <c:pt idx="156">
                  <c:v>77,50000</c:v>
                </c:pt>
                <c:pt idx="157">
                  <c:v>78,00000</c:v>
                </c:pt>
                <c:pt idx="158">
                  <c:v>78,50000</c:v>
                </c:pt>
                <c:pt idx="159">
                  <c:v>79,00000</c:v>
                </c:pt>
                <c:pt idx="160">
                  <c:v>79,50000</c:v>
                </c:pt>
                <c:pt idx="161">
                  <c:v>80,00000</c:v>
                </c:pt>
                <c:pt idx="162">
                  <c:v>80,50000</c:v>
                </c:pt>
                <c:pt idx="163">
                  <c:v>81,00000</c:v>
                </c:pt>
                <c:pt idx="164">
                  <c:v>81,50000</c:v>
                </c:pt>
                <c:pt idx="165">
                  <c:v>82,00000</c:v>
                </c:pt>
                <c:pt idx="166">
                  <c:v>82,50000</c:v>
                </c:pt>
                <c:pt idx="167">
                  <c:v>83,00000</c:v>
                </c:pt>
                <c:pt idx="168">
                  <c:v>83,50000</c:v>
                </c:pt>
                <c:pt idx="169">
                  <c:v>84,00000</c:v>
                </c:pt>
                <c:pt idx="170">
                  <c:v>84,50000</c:v>
                </c:pt>
                <c:pt idx="171">
                  <c:v>85,00000</c:v>
                </c:pt>
                <c:pt idx="172">
                  <c:v>85,50000</c:v>
                </c:pt>
                <c:pt idx="173">
                  <c:v>86,00000</c:v>
                </c:pt>
                <c:pt idx="174">
                  <c:v>86,50000</c:v>
                </c:pt>
                <c:pt idx="175">
                  <c:v>87,00000</c:v>
                </c:pt>
                <c:pt idx="176">
                  <c:v>87,50000</c:v>
                </c:pt>
                <c:pt idx="177">
                  <c:v>88,00000</c:v>
                </c:pt>
                <c:pt idx="178">
                  <c:v>88,50000</c:v>
                </c:pt>
                <c:pt idx="179">
                  <c:v>89,00000</c:v>
                </c:pt>
                <c:pt idx="180">
                  <c:v>89,50000</c:v>
                </c:pt>
                <c:pt idx="181">
                  <c:v>90,00000</c:v>
                </c:pt>
                <c:pt idx="182">
                  <c:v>90,50000</c:v>
                </c:pt>
                <c:pt idx="183">
                  <c:v>91,00000</c:v>
                </c:pt>
                <c:pt idx="184">
                  <c:v>91,50000</c:v>
                </c:pt>
                <c:pt idx="185">
                  <c:v>92,00000</c:v>
                </c:pt>
                <c:pt idx="186">
                  <c:v>92,50000</c:v>
                </c:pt>
                <c:pt idx="187">
                  <c:v>93,00000</c:v>
                </c:pt>
                <c:pt idx="188">
                  <c:v>93,50000</c:v>
                </c:pt>
                <c:pt idx="189">
                  <c:v>94,00000</c:v>
                </c:pt>
                <c:pt idx="190">
                  <c:v>94,50000</c:v>
                </c:pt>
                <c:pt idx="191">
                  <c:v>95,00000</c:v>
                </c:pt>
                <c:pt idx="192">
                  <c:v>95,50000</c:v>
                </c:pt>
                <c:pt idx="193">
                  <c:v>96,00000</c:v>
                </c:pt>
                <c:pt idx="194">
                  <c:v>96,50000</c:v>
                </c:pt>
                <c:pt idx="195">
                  <c:v>97,00000</c:v>
                </c:pt>
                <c:pt idx="196">
                  <c:v>97,50000</c:v>
                </c:pt>
                <c:pt idx="197">
                  <c:v>98,00000</c:v>
                </c:pt>
                <c:pt idx="198">
                  <c:v>98,50000</c:v>
                </c:pt>
                <c:pt idx="199">
                  <c:v>99,00000</c:v>
                </c:pt>
                <c:pt idx="200">
                  <c:v>99,50000</c:v>
                </c:pt>
                <c:pt idx="201">
                  <c:v>100,00000</c:v>
                </c:pt>
                <c:pt idx="202">
                  <c:v>100,50000</c:v>
                </c:pt>
                <c:pt idx="203">
                  <c:v>101,00000</c:v>
                </c:pt>
                <c:pt idx="204">
                  <c:v>101,50000</c:v>
                </c:pt>
                <c:pt idx="205">
                  <c:v>102,00000</c:v>
                </c:pt>
                <c:pt idx="206">
                  <c:v>102,50000</c:v>
                </c:pt>
                <c:pt idx="207">
                  <c:v>103,00000</c:v>
                </c:pt>
                <c:pt idx="208">
                  <c:v>103,50000</c:v>
                </c:pt>
                <c:pt idx="209">
                  <c:v>104,00000</c:v>
                </c:pt>
                <c:pt idx="210">
                  <c:v>104,50000</c:v>
                </c:pt>
                <c:pt idx="211">
                  <c:v>105,00000</c:v>
                </c:pt>
                <c:pt idx="212">
                  <c:v>105,50000</c:v>
                </c:pt>
                <c:pt idx="213">
                  <c:v>106,00000</c:v>
                </c:pt>
                <c:pt idx="214">
                  <c:v>106,50000</c:v>
                </c:pt>
                <c:pt idx="215">
                  <c:v>107,00000</c:v>
                </c:pt>
                <c:pt idx="216">
                  <c:v>107,50000</c:v>
                </c:pt>
                <c:pt idx="217">
                  <c:v>108,00000</c:v>
                </c:pt>
                <c:pt idx="218">
                  <c:v>108,50000</c:v>
                </c:pt>
                <c:pt idx="219">
                  <c:v>109,00000</c:v>
                </c:pt>
                <c:pt idx="220">
                  <c:v>109,50000</c:v>
                </c:pt>
                <c:pt idx="221">
                  <c:v>110,00000</c:v>
                </c:pt>
                <c:pt idx="222">
                  <c:v>110,50000</c:v>
                </c:pt>
                <c:pt idx="223">
                  <c:v>111,00000</c:v>
                </c:pt>
                <c:pt idx="224">
                  <c:v>111,50000</c:v>
                </c:pt>
                <c:pt idx="225">
                  <c:v>112,00000</c:v>
                </c:pt>
                <c:pt idx="226">
                  <c:v>112,50000</c:v>
                </c:pt>
                <c:pt idx="227">
                  <c:v>113,00000</c:v>
                </c:pt>
                <c:pt idx="228">
                  <c:v>113,50000</c:v>
                </c:pt>
                <c:pt idx="229">
                  <c:v>114,00000</c:v>
                </c:pt>
                <c:pt idx="230">
                  <c:v>114,50000</c:v>
                </c:pt>
                <c:pt idx="231">
                  <c:v>115,00000</c:v>
                </c:pt>
                <c:pt idx="232">
                  <c:v>115,50000</c:v>
                </c:pt>
                <c:pt idx="233">
                  <c:v>116,00000</c:v>
                </c:pt>
                <c:pt idx="234">
                  <c:v>116,50000</c:v>
                </c:pt>
                <c:pt idx="235">
                  <c:v>117,00000</c:v>
                </c:pt>
                <c:pt idx="236">
                  <c:v>117,50000</c:v>
                </c:pt>
                <c:pt idx="237">
                  <c:v>118,00000</c:v>
                </c:pt>
                <c:pt idx="238">
                  <c:v>118,50000</c:v>
                </c:pt>
                <c:pt idx="239">
                  <c:v>119,00000</c:v>
                </c:pt>
                <c:pt idx="240">
                  <c:v>119,50000</c:v>
                </c:pt>
                <c:pt idx="241">
                  <c:v>120,00000</c:v>
                </c:pt>
                <c:pt idx="242">
                  <c:v>120,50000</c:v>
                </c:pt>
                <c:pt idx="243">
                  <c:v>121,00000</c:v>
                </c:pt>
                <c:pt idx="244">
                  <c:v>121,50000</c:v>
                </c:pt>
                <c:pt idx="245">
                  <c:v>122,00000</c:v>
                </c:pt>
                <c:pt idx="246">
                  <c:v>122,50000</c:v>
                </c:pt>
                <c:pt idx="247">
                  <c:v>123,00000</c:v>
                </c:pt>
                <c:pt idx="248">
                  <c:v>123,50000</c:v>
                </c:pt>
                <c:pt idx="249">
                  <c:v>124,00000</c:v>
                </c:pt>
                <c:pt idx="250">
                  <c:v>124,50000</c:v>
                </c:pt>
                <c:pt idx="251">
                  <c:v>125,00000</c:v>
                </c:pt>
                <c:pt idx="252">
                  <c:v>125,50000</c:v>
                </c:pt>
                <c:pt idx="253">
                  <c:v>126,00000</c:v>
                </c:pt>
                <c:pt idx="254">
                  <c:v>126,50000</c:v>
                </c:pt>
                <c:pt idx="255">
                  <c:v>127,00000</c:v>
                </c:pt>
                <c:pt idx="256">
                  <c:v>127,50000</c:v>
                </c:pt>
                <c:pt idx="257">
                  <c:v>128,00000</c:v>
                </c:pt>
                <c:pt idx="258">
                  <c:v>128,50000</c:v>
                </c:pt>
                <c:pt idx="259">
                  <c:v>129,00000</c:v>
                </c:pt>
                <c:pt idx="260">
                  <c:v>129,50000</c:v>
                </c:pt>
                <c:pt idx="261">
                  <c:v>130,00000</c:v>
                </c:pt>
                <c:pt idx="262">
                  <c:v>130,50000</c:v>
                </c:pt>
                <c:pt idx="263">
                  <c:v>131,00000</c:v>
                </c:pt>
                <c:pt idx="264">
                  <c:v>131,50000</c:v>
                </c:pt>
                <c:pt idx="265">
                  <c:v>132,00000</c:v>
                </c:pt>
                <c:pt idx="266">
                  <c:v>132,50000</c:v>
                </c:pt>
                <c:pt idx="267">
                  <c:v>133,00000</c:v>
                </c:pt>
                <c:pt idx="268">
                  <c:v>133,50000</c:v>
                </c:pt>
                <c:pt idx="269">
                  <c:v>134,00000</c:v>
                </c:pt>
                <c:pt idx="270">
                  <c:v>134,50000</c:v>
                </c:pt>
                <c:pt idx="271">
                  <c:v>135,00000</c:v>
                </c:pt>
                <c:pt idx="272">
                  <c:v>135,50000</c:v>
                </c:pt>
                <c:pt idx="273">
                  <c:v>136,00000</c:v>
                </c:pt>
                <c:pt idx="274">
                  <c:v>136,50000</c:v>
                </c:pt>
                <c:pt idx="275">
                  <c:v>137,00000</c:v>
                </c:pt>
                <c:pt idx="276">
                  <c:v>137,50000</c:v>
                </c:pt>
                <c:pt idx="277">
                  <c:v>138,00000</c:v>
                </c:pt>
                <c:pt idx="278">
                  <c:v>138,50000</c:v>
                </c:pt>
                <c:pt idx="279">
                  <c:v>139,00000</c:v>
                </c:pt>
                <c:pt idx="280">
                  <c:v>139,50000</c:v>
                </c:pt>
                <c:pt idx="281">
                  <c:v>140,00000</c:v>
                </c:pt>
                <c:pt idx="282">
                  <c:v>140,50000</c:v>
                </c:pt>
                <c:pt idx="283">
                  <c:v>141,00000</c:v>
                </c:pt>
                <c:pt idx="284">
                  <c:v>141,50000</c:v>
                </c:pt>
                <c:pt idx="285">
                  <c:v>142,00000</c:v>
                </c:pt>
                <c:pt idx="286">
                  <c:v>142,50000</c:v>
                </c:pt>
                <c:pt idx="287">
                  <c:v>143,00000</c:v>
                </c:pt>
                <c:pt idx="288">
                  <c:v>143,50000</c:v>
                </c:pt>
                <c:pt idx="289">
                  <c:v>144,00000</c:v>
                </c:pt>
                <c:pt idx="290">
                  <c:v>144,50000</c:v>
                </c:pt>
                <c:pt idx="291">
                  <c:v>145,00000</c:v>
                </c:pt>
                <c:pt idx="292">
                  <c:v>145,50000</c:v>
                </c:pt>
                <c:pt idx="293">
                  <c:v>146,00000</c:v>
                </c:pt>
                <c:pt idx="294">
                  <c:v>146,50000</c:v>
                </c:pt>
                <c:pt idx="295">
                  <c:v>147,00000</c:v>
                </c:pt>
                <c:pt idx="296">
                  <c:v>147,50000</c:v>
                </c:pt>
                <c:pt idx="297">
                  <c:v>148,00000</c:v>
                </c:pt>
                <c:pt idx="298">
                  <c:v>148,50000</c:v>
                </c:pt>
                <c:pt idx="299">
                  <c:v>149,00000</c:v>
                </c:pt>
                <c:pt idx="300">
                  <c:v>149,50000</c:v>
                </c:pt>
                <c:pt idx="301">
                  <c:v>150,00000</c:v>
                </c:pt>
                <c:pt idx="302">
                  <c:v>150,50000</c:v>
                </c:pt>
                <c:pt idx="303">
                  <c:v>151,00000</c:v>
                </c:pt>
                <c:pt idx="304">
                  <c:v>151,50000</c:v>
                </c:pt>
                <c:pt idx="305">
                  <c:v>152,00000</c:v>
                </c:pt>
                <c:pt idx="306">
                  <c:v>152,50000</c:v>
                </c:pt>
                <c:pt idx="307">
                  <c:v>153,00000</c:v>
                </c:pt>
                <c:pt idx="308">
                  <c:v>153,50000</c:v>
                </c:pt>
                <c:pt idx="309">
                  <c:v>154,00000</c:v>
                </c:pt>
                <c:pt idx="310">
                  <c:v>154,50000</c:v>
                </c:pt>
                <c:pt idx="311">
                  <c:v>155,00000</c:v>
                </c:pt>
                <c:pt idx="312">
                  <c:v>155,50000</c:v>
                </c:pt>
                <c:pt idx="313">
                  <c:v>156,00000</c:v>
                </c:pt>
                <c:pt idx="314">
                  <c:v>156,50000</c:v>
                </c:pt>
                <c:pt idx="315">
                  <c:v>157,00000</c:v>
                </c:pt>
                <c:pt idx="316">
                  <c:v>157,50000</c:v>
                </c:pt>
                <c:pt idx="317">
                  <c:v>158,00000</c:v>
                </c:pt>
                <c:pt idx="318">
                  <c:v>158,50000</c:v>
                </c:pt>
                <c:pt idx="319">
                  <c:v>159,00000</c:v>
                </c:pt>
                <c:pt idx="320">
                  <c:v>159,50000</c:v>
                </c:pt>
                <c:pt idx="321">
                  <c:v>160,00000</c:v>
                </c:pt>
                <c:pt idx="322">
                  <c:v>160,50000</c:v>
                </c:pt>
                <c:pt idx="323">
                  <c:v>161,00000</c:v>
                </c:pt>
                <c:pt idx="324">
                  <c:v>161,50000</c:v>
                </c:pt>
                <c:pt idx="325">
                  <c:v>162,00000</c:v>
                </c:pt>
                <c:pt idx="326">
                  <c:v>162,50000</c:v>
                </c:pt>
                <c:pt idx="327">
                  <c:v>163,00000</c:v>
                </c:pt>
                <c:pt idx="328">
                  <c:v>163,50000</c:v>
                </c:pt>
                <c:pt idx="329">
                  <c:v>164,00000</c:v>
                </c:pt>
                <c:pt idx="330">
                  <c:v>164,50000</c:v>
                </c:pt>
                <c:pt idx="331">
                  <c:v>165,00000</c:v>
                </c:pt>
                <c:pt idx="332">
                  <c:v>165,50000</c:v>
                </c:pt>
                <c:pt idx="333">
                  <c:v>166,00000</c:v>
                </c:pt>
                <c:pt idx="334">
                  <c:v>166,50000</c:v>
                </c:pt>
                <c:pt idx="335">
                  <c:v>167,00000</c:v>
                </c:pt>
                <c:pt idx="336">
                  <c:v>167,50000</c:v>
                </c:pt>
                <c:pt idx="337">
                  <c:v>168,00000</c:v>
                </c:pt>
                <c:pt idx="338">
                  <c:v>168,50000</c:v>
                </c:pt>
                <c:pt idx="339">
                  <c:v>169,00000</c:v>
                </c:pt>
                <c:pt idx="340">
                  <c:v>169,50000</c:v>
                </c:pt>
                <c:pt idx="341">
                  <c:v>170,00000</c:v>
                </c:pt>
                <c:pt idx="342">
                  <c:v>170,50000</c:v>
                </c:pt>
                <c:pt idx="343">
                  <c:v>171,00000</c:v>
                </c:pt>
                <c:pt idx="344">
                  <c:v>171,50000</c:v>
                </c:pt>
                <c:pt idx="345">
                  <c:v>172,00000</c:v>
                </c:pt>
                <c:pt idx="346">
                  <c:v>172,50000</c:v>
                </c:pt>
                <c:pt idx="347">
                  <c:v>173,00000</c:v>
                </c:pt>
                <c:pt idx="348">
                  <c:v>173,50000</c:v>
                </c:pt>
                <c:pt idx="349">
                  <c:v>174,00000</c:v>
                </c:pt>
                <c:pt idx="350">
                  <c:v>174,50000</c:v>
                </c:pt>
                <c:pt idx="351">
                  <c:v>175,00000</c:v>
                </c:pt>
                <c:pt idx="352">
                  <c:v>175,50000</c:v>
                </c:pt>
                <c:pt idx="353">
                  <c:v>176,00000</c:v>
                </c:pt>
                <c:pt idx="354">
                  <c:v>176,50000</c:v>
                </c:pt>
                <c:pt idx="355">
                  <c:v>177,00000</c:v>
                </c:pt>
                <c:pt idx="356">
                  <c:v>177,50000</c:v>
                </c:pt>
                <c:pt idx="357">
                  <c:v>178,00000</c:v>
                </c:pt>
                <c:pt idx="358">
                  <c:v>178,50000</c:v>
                </c:pt>
                <c:pt idx="359">
                  <c:v>179,00000</c:v>
                </c:pt>
                <c:pt idx="360">
                  <c:v>179,50000</c:v>
                </c:pt>
                <c:pt idx="361">
                  <c:v>180,00000</c:v>
                </c:pt>
                <c:pt idx="362">
                  <c:v>180,50000</c:v>
                </c:pt>
                <c:pt idx="363">
                  <c:v>181,00000</c:v>
                </c:pt>
                <c:pt idx="364">
                  <c:v>181,50000</c:v>
                </c:pt>
                <c:pt idx="365">
                  <c:v>182,00000</c:v>
                </c:pt>
                <c:pt idx="366">
                  <c:v>182,50000</c:v>
                </c:pt>
                <c:pt idx="367">
                  <c:v>183,00000</c:v>
                </c:pt>
                <c:pt idx="368">
                  <c:v>183,50000</c:v>
                </c:pt>
                <c:pt idx="369">
                  <c:v>184,00000</c:v>
                </c:pt>
                <c:pt idx="370">
                  <c:v>184,50000</c:v>
                </c:pt>
                <c:pt idx="371">
                  <c:v>185,00000</c:v>
                </c:pt>
                <c:pt idx="372">
                  <c:v>185,50000</c:v>
                </c:pt>
                <c:pt idx="373">
                  <c:v>186,00000</c:v>
                </c:pt>
                <c:pt idx="374">
                  <c:v>186,50000</c:v>
                </c:pt>
                <c:pt idx="375">
                  <c:v>187,00000</c:v>
                </c:pt>
                <c:pt idx="376">
                  <c:v>187,50000</c:v>
                </c:pt>
                <c:pt idx="377">
                  <c:v>188,00000</c:v>
                </c:pt>
                <c:pt idx="378">
                  <c:v>188,50000</c:v>
                </c:pt>
                <c:pt idx="379">
                  <c:v>189,00000</c:v>
                </c:pt>
                <c:pt idx="380">
                  <c:v>189,50000</c:v>
                </c:pt>
                <c:pt idx="381">
                  <c:v>190,00000</c:v>
                </c:pt>
                <c:pt idx="382">
                  <c:v>190,50000</c:v>
                </c:pt>
                <c:pt idx="383">
                  <c:v>191,00000</c:v>
                </c:pt>
                <c:pt idx="384">
                  <c:v>191,50000</c:v>
                </c:pt>
                <c:pt idx="385">
                  <c:v>192,00000</c:v>
                </c:pt>
                <c:pt idx="386">
                  <c:v>192,50000</c:v>
                </c:pt>
                <c:pt idx="387">
                  <c:v>193,00000</c:v>
                </c:pt>
                <c:pt idx="388">
                  <c:v>193,50000</c:v>
                </c:pt>
                <c:pt idx="389">
                  <c:v>194,00000</c:v>
                </c:pt>
                <c:pt idx="390">
                  <c:v>194,50000</c:v>
                </c:pt>
                <c:pt idx="391">
                  <c:v>195,00000</c:v>
                </c:pt>
                <c:pt idx="392">
                  <c:v>195,50000</c:v>
                </c:pt>
                <c:pt idx="393">
                  <c:v>196,00000</c:v>
                </c:pt>
                <c:pt idx="394">
                  <c:v>196,50000</c:v>
                </c:pt>
                <c:pt idx="395">
                  <c:v>197,00000</c:v>
                </c:pt>
                <c:pt idx="396">
                  <c:v>197,50000</c:v>
                </c:pt>
                <c:pt idx="397">
                  <c:v>198,00000</c:v>
                </c:pt>
                <c:pt idx="398">
                  <c:v>198,50000</c:v>
                </c:pt>
                <c:pt idx="399">
                  <c:v>199,00000</c:v>
                </c:pt>
                <c:pt idx="400">
                  <c:v>199,50000</c:v>
                </c:pt>
                <c:pt idx="401">
                  <c:v>200,00000</c:v>
                </c:pt>
                <c:pt idx="402">
                  <c:v>200,50000</c:v>
                </c:pt>
                <c:pt idx="403">
                  <c:v>201,00000</c:v>
                </c:pt>
                <c:pt idx="404">
                  <c:v>201,50000</c:v>
                </c:pt>
                <c:pt idx="405">
                  <c:v>202,00000</c:v>
                </c:pt>
                <c:pt idx="406">
                  <c:v>202,50000</c:v>
                </c:pt>
                <c:pt idx="407">
                  <c:v>203,00000</c:v>
                </c:pt>
                <c:pt idx="408">
                  <c:v>203,50000</c:v>
                </c:pt>
                <c:pt idx="409">
                  <c:v>204,00000</c:v>
                </c:pt>
                <c:pt idx="410">
                  <c:v>204,50000</c:v>
                </c:pt>
                <c:pt idx="411">
                  <c:v>205,00000</c:v>
                </c:pt>
                <c:pt idx="412">
                  <c:v>205,50000</c:v>
                </c:pt>
                <c:pt idx="413">
                  <c:v>206,00000</c:v>
                </c:pt>
                <c:pt idx="414">
                  <c:v>206,50000</c:v>
                </c:pt>
                <c:pt idx="415">
                  <c:v>207,00000</c:v>
                </c:pt>
                <c:pt idx="416">
                  <c:v>207,50000</c:v>
                </c:pt>
                <c:pt idx="417">
                  <c:v>208,00000</c:v>
                </c:pt>
                <c:pt idx="418">
                  <c:v>208,50000</c:v>
                </c:pt>
                <c:pt idx="419">
                  <c:v>209,00000</c:v>
                </c:pt>
                <c:pt idx="420">
                  <c:v>209,50000</c:v>
                </c:pt>
                <c:pt idx="421">
                  <c:v>210,00000</c:v>
                </c:pt>
                <c:pt idx="422">
                  <c:v>210,50000</c:v>
                </c:pt>
                <c:pt idx="423">
                  <c:v>211,00000</c:v>
                </c:pt>
                <c:pt idx="424">
                  <c:v>211,50000</c:v>
                </c:pt>
                <c:pt idx="425">
                  <c:v>212,00000</c:v>
                </c:pt>
                <c:pt idx="426">
                  <c:v>212,50000</c:v>
                </c:pt>
                <c:pt idx="427">
                  <c:v>213,00000</c:v>
                </c:pt>
                <c:pt idx="428">
                  <c:v>213,50000</c:v>
                </c:pt>
                <c:pt idx="429">
                  <c:v>214,00000</c:v>
                </c:pt>
                <c:pt idx="430">
                  <c:v>214,50000</c:v>
                </c:pt>
                <c:pt idx="431">
                  <c:v>215,00000</c:v>
                </c:pt>
                <c:pt idx="432">
                  <c:v>215,50000</c:v>
                </c:pt>
                <c:pt idx="433">
                  <c:v>216,00000</c:v>
                </c:pt>
                <c:pt idx="434">
                  <c:v>216,50000</c:v>
                </c:pt>
                <c:pt idx="435">
                  <c:v>217,00000</c:v>
                </c:pt>
                <c:pt idx="436">
                  <c:v>217,50000</c:v>
                </c:pt>
                <c:pt idx="437">
                  <c:v>218,00000</c:v>
                </c:pt>
                <c:pt idx="438">
                  <c:v>218,50000</c:v>
                </c:pt>
                <c:pt idx="439">
                  <c:v>219,00000</c:v>
                </c:pt>
                <c:pt idx="440">
                  <c:v>219,50000</c:v>
                </c:pt>
                <c:pt idx="441">
                  <c:v>220,00000</c:v>
                </c:pt>
                <c:pt idx="442">
                  <c:v>220,50000</c:v>
                </c:pt>
                <c:pt idx="443">
                  <c:v>221,00000</c:v>
                </c:pt>
                <c:pt idx="444">
                  <c:v>221,50000</c:v>
                </c:pt>
                <c:pt idx="445">
                  <c:v>222,00000</c:v>
                </c:pt>
                <c:pt idx="446">
                  <c:v>222,50000</c:v>
                </c:pt>
                <c:pt idx="447">
                  <c:v>223,00000</c:v>
                </c:pt>
                <c:pt idx="448">
                  <c:v>223,50000</c:v>
                </c:pt>
                <c:pt idx="449">
                  <c:v>224,00000</c:v>
                </c:pt>
                <c:pt idx="450">
                  <c:v>224,50000</c:v>
                </c:pt>
                <c:pt idx="451">
                  <c:v>225,00000</c:v>
                </c:pt>
                <c:pt idx="452">
                  <c:v>225,50000</c:v>
                </c:pt>
                <c:pt idx="453">
                  <c:v>226,00000</c:v>
                </c:pt>
                <c:pt idx="454">
                  <c:v>226,50000</c:v>
                </c:pt>
                <c:pt idx="455">
                  <c:v>227,00000</c:v>
                </c:pt>
                <c:pt idx="456">
                  <c:v>227,50000</c:v>
                </c:pt>
                <c:pt idx="457">
                  <c:v>228,00000</c:v>
                </c:pt>
                <c:pt idx="458">
                  <c:v>228,50000</c:v>
                </c:pt>
                <c:pt idx="459">
                  <c:v>229,00000</c:v>
                </c:pt>
                <c:pt idx="460">
                  <c:v>229,50000</c:v>
                </c:pt>
                <c:pt idx="461">
                  <c:v>230,00000</c:v>
                </c:pt>
                <c:pt idx="462">
                  <c:v>230,50000</c:v>
                </c:pt>
                <c:pt idx="463">
                  <c:v>231,00000</c:v>
                </c:pt>
                <c:pt idx="464">
                  <c:v>231,50000</c:v>
                </c:pt>
                <c:pt idx="465">
                  <c:v>232,00000</c:v>
                </c:pt>
                <c:pt idx="466">
                  <c:v>232,50000</c:v>
                </c:pt>
                <c:pt idx="467">
                  <c:v>233,00000</c:v>
                </c:pt>
                <c:pt idx="468">
                  <c:v>233,50000</c:v>
                </c:pt>
                <c:pt idx="469">
                  <c:v>234,00000</c:v>
                </c:pt>
                <c:pt idx="470">
                  <c:v>234,50000</c:v>
                </c:pt>
                <c:pt idx="471">
                  <c:v>235,00000</c:v>
                </c:pt>
                <c:pt idx="472">
                  <c:v>235,50000</c:v>
                </c:pt>
                <c:pt idx="473">
                  <c:v>236,00000</c:v>
                </c:pt>
                <c:pt idx="474">
                  <c:v>236,50000</c:v>
                </c:pt>
                <c:pt idx="475">
                  <c:v>237,00000</c:v>
                </c:pt>
                <c:pt idx="476">
                  <c:v>237,50000</c:v>
                </c:pt>
                <c:pt idx="477">
                  <c:v>238,00000</c:v>
                </c:pt>
                <c:pt idx="478">
                  <c:v>238,50000</c:v>
                </c:pt>
                <c:pt idx="479">
                  <c:v>239,00000</c:v>
                </c:pt>
                <c:pt idx="480">
                  <c:v>239,50000</c:v>
                </c:pt>
                <c:pt idx="481">
                  <c:v>240,00000</c:v>
                </c:pt>
                <c:pt idx="482">
                  <c:v>240,50000</c:v>
                </c:pt>
                <c:pt idx="483">
                  <c:v>241,00000</c:v>
                </c:pt>
                <c:pt idx="484">
                  <c:v>241,50000</c:v>
                </c:pt>
                <c:pt idx="485">
                  <c:v>242,00000</c:v>
                </c:pt>
                <c:pt idx="486">
                  <c:v>242,50000</c:v>
                </c:pt>
                <c:pt idx="487">
                  <c:v>243,00000</c:v>
                </c:pt>
                <c:pt idx="488">
                  <c:v>243,50000</c:v>
                </c:pt>
                <c:pt idx="489">
                  <c:v>244,00000</c:v>
                </c:pt>
                <c:pt idx="490">
                  <c:v>244,50000</c:v>
                </c:pt>
                <c:pt idx="491">
                  <c:v>245,00000</c:v>
                </c:pt>
                <c:pt idx="492">
                  <c:v>245,50000</c:v>
                </c:pt>
                <c:pt idx="493">
                  <c:v>246,00000</c:v>
                </c:pt>
                <c:pt idx="494">
                  <c:v>246,50000</c:v>
                </c:pt>
                <c:pt idx="495">
                  <c:v>247,00000</c:v>
                </c:pt>
                <c:pt idx="496">
                  <c:v>247,50000</c:v>
                </c:pt>
                <c:pt idx="497">
                  <c:v>248,00000</c:v>
                </c:pt>
                <c:pt idx="498">
                  <c:v>248,50000</c:v>
                </c:pt>
                <c:pt idx="499">
                  <c:v>249,00000</c:v>
                </c:pt>
                <c:pt idx="500">
                  <c:v>249,50000</c:v>
                </c:pt>
                <c:pt idx="501">
                  <c:v>250,00000</c:v>
                </c:pt>
                <c:pt idx="502">
                  <c:v>250,50000</c:v>
                </c:pt>
                <c:pt idx="503">
                  <c:v>251,00000</c:v>
                </c:pt>
                <c:pt idx="504">
                  <c:v>251,50000</c:v>
                </c:pt>
                <c:pt idx="505">
                  <c:v>252,00000</c:v>
                </c:pt>
                <c:pt idx="506">
                  <c:v>252,50000</c:v>
                </c:pt>
                <c:pt idx="507">
                  <c:v>253,00000</c:v>
                </c:pt>
                <c:pt idx="508">
                  <c:v>253,50000</c:v>
                </c:pt>
                <c:pt idx="509">
                  <c:v>254,00000</c:v>
                </c:pt>
                <c:pt idx="510">
                  <c:v>254,50000</c:v>
                </c:pt>
                <c:pt idx="511">
                  <c:v>255,00000</c:v>
                </c:pt>
                <c:pt idx="512">
                  <c:v>255,50000</c:v>
                </c:pt>
                <c:pt idx="513">
                  <c:v>256,00000</c:v>
                </c:pt>
                <c:pt idx="514">
                  <c:v>256,50000</c:v>
                </c:pt>
                <c:pt idx="515">
                  <c:v>257,00000</c:v>
                </c:pt>
                <c:pt idx="516">
                  <c:v>257,50000</c:v>
                </c:pt>
                <c:pt idx="517">
                  <c:v>258,00000</c:v>
                </c:pt>
                <c:pt idx="518">
                  <c:v>258,50000</c:v>
                </c:pt>
                <c:pt idx="519">
                  <c:v>259,00000</c:v>
                </c:pt>
                <c:pt idx="520">
                  <c:v>259,50000</c:v>
                </c:pt>
                <c:pt idx="521">
                  <c:v>260,00000</c:v>
                </c:pt>
                <c:pt idx="522">
                  <c:v>260,50000</c:v>
                </c:pt>
                <c:pt idx="523">
                  <c:v>261,00000</c:v>
                </c:pt>
                <c:pt idx="524">
                  <c:v>261,50000</c:v>
                </c:pt>
                <c:pt idx="525">
                  <c:v>262,00000</c:v>
                </c:pt>
                <c:pt idx="526">
                  <c:v>262,50000</c:v>
                </c:pt>
                <c:pt idx="527">
                  <c:v>263,00000</c:v>
                </c:pt>
                <c:pt idx="528">
                  <c:v>263,50000</c:v>
                </c:pt>
                <c:pt idx="529">
                  <c:v>264,00000</c:v>
                </c:pt>
                <c:pt idx="530">
                  <c:v>264,50000</c:v>
                </c:pt>
                <c:pt idx="531">
                  <c:v>265,00000</c:v>
                </c:pt>
                <c:pt idx="532">
                  <c:v>265,50000</c:v>
                </c:pt>
                <c:pt idx="533">
                  <c:v>266,00000</c:v>
                </c:pt>
                <c:pt idx="534">
                  <c:v>266,50000</c:v>
                </c:pt>
                <c:pt idx="535">
                  <c:v>267,00000</c:v>
                </c:pt>
                <c:pt idx="536">
                  <c:v>267,50000</c:v>
                </c:pt>
                <c:pt idx="537">
                  <c:v>268,00000</c:v>
                </c:pt>
                <c:pt idx="538">
                  <c:v>268,50000</c:v>
                </c:pt>
                <c:pt idx="539">
                  <c:v>269,00000</c:v>
                </c:pt>
                <c:pt idx="540">
                  <c:v>269,50000</c:v>
                </c:pt>
                <c:pt idx="541">
                  <c:v>270,00000</c:v>
                </c:pt>
                <c:pt idx="542">
                  <c:v>270,50000</c:v>
                </c:pt>
                <c:pt idx="543">
                  <c:v>271,00000</c:v>
                </c:pt>
                <c:pt idx="544">
                  <c:v>271,50000</c:v>
                </c:pt>
                <c:pt idx="545">
                  <c:v>272,00000</c:v>
                </c:pt>
                <c:pt idx="546">
                  <c:v>272,50000</c:v>
                </c:pt>
                <c:pt idx="547">
                  <c:v>273,00000</c:v>
                </c:pt>
                <c:pt idx="548">
                  <c:v>273,50000</c:v>
                </c:pt>
                <c:pt idx="549">
                  <c:v>274,00000</c:v>
                </c:pt>
                <c:pt idx="550">
                  <c:v>274,50000</c:v>
                </c:pt>
                <c:pt idx="551">
                  <c:v>275,00000</c:v>
                </c:pt>
                <c:pt idx="552">
                  <c:v>275,50000</c:v>
                </c:pt>
                <c:pt idx="553">
                  <c:v>276,00000</c:v>
                </c:pt>
                <c:pt idx="554">
                  <c:v>276,50000</c:v>
                </c:pt>
                <c:pt idx="555">
                  <c:v>277,00000</c:v>
                </c:pt>
                <c:pt idx="556">
                  <c:v>277,50000</c:v>
                </c:pt>
                <c:pt idx="557">
                  <c:v>278,00000</c:v>
                </c:pt>
                <c:pt idx="558">
                  <c:v>278,50000</c:v>
                </c:pt>
                <c:pt idx="559">
                  <c:v>279,00000</c:v>
                </c:pt>
                <c:pt idx="560">
                  <c:v>279,50000</c:v>
                </c:pt>
                <c:pt idx="561">
                  <c:v>280,00000</c:v>
                </c:pt>
                <c:pt idx="562">
                  <c:v>280,50000</c:v>
                </c:pt>
                <c:pt idx="563">
                  <c:v>281,00000</c:v>
                </c:pt>
                <c:pt idx="564">
                  <c:v>281,50000</c:v>
                </c:pt>
                <c:pt idx="565">
                  <c:v>282,00000</c:v>
                </c:pt>
                <c:pt idx="566">
                  <c:v>282,50000</c:v>
                </c:pt>
                <c:pt idx="567">
                  <c:v>283,00000</c:v>
                </c:pt>
                <c:pt idx="568">
                  <c:v>283,50000</c:v>
                </c:pt>
                <c:pt idx="569">
                  <c:v>284,00000</c:v>
                </c:pt>
                <c:pt idx="570">
                  <c:v>284,50000</c:v>
                </c:pt>
                <c:pt idx="571">
                  <c:v>285,00000</c:v>
                </c:pt>
                <c:pt idx="572">
                  <c:v>285,50000</c:v>
                </c:pt>
                <c:pt idx="573">
                  <c:v>286,00000</c:v>
                </c:pt>
                <c:pt idx="574">
                  <c:v>286,50000</c:v>
                </c:pt>
                <c:pt idx="575">
                  <c:v>287,00000</c:v>
                </c:pt>
                <c:pt idx="576">
                  <c:v>287,50000</c:v>
                </c:pt>
                <c:pt idx="577">
                  <c:v>288,00000</c:v>
                </c:pt>
                <c:pt idx="578">
                  <c:v>288,50000</c:v>
                </c:pt>
                <c:pt idx="579">
                  <c:v>289,00000</c:v>
                </c:pt>
                <c:pt idx="580">
                  <c:v>289,50000</c:v>
                </c:pt>
                <c:pt idx="581">
                  <c:v>290,00000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'200C (Odin)'!$A$40:$A$620</c:f>
              <c:numCache>
                <c:formatCode>0.00000</c:formatCode>
                <c:ptCount val="581"/>
                <c:pt idx="0">
                  <c:v>45.817999999999998</c:v>
                </c:pt>
                <c:pt idx="1">
                  <c:v>46.728729999999999</c:v>
                </c:pt>
                <c:pt idx="2">
                  <c:v>49.650179999999999</c:v>
                </c:pt>
                <c:pt idx="3">
                  <c:v>57.174500000000002</c:v>
                </c:pt>
                <c:pt idx="4">
                  <c:v>67.848690000000005</c:v>
                </c:pt>
                <c:pt idx="5">
                  <c:v>78.113339999999994</c:v>
                </c:pt>
                <c:pt idx="6">
                  <c:v>87.040589999999995</c:v>
                </c:pt>
                <c:pt idx="7">
                  <c:v>94.359020000000001</c:v>
                </c:pt>
                <c:pt idx="8">
                  <c:v>100.08458</c:v>
                </c:pt>
                <c:pt idx="9">
                  <c:v>104.36458</c:v>
                </c:pt>
                <c:pt idx="10">
                  <c:v>107.41754</c:v>
                </c:pt>
                <c:pt idx="11">
                  <c:v>109.53846</c:v>
                </c:pt>
                <c:pt idx="12">
                  <c:v>111.04961</c:v>
                </c:pt>
                <c:pt idx="13">
                  <c:v>112.18848</c:v>
                </c:pt>
                <c:pt idx="14">
                  <c:v>113.10302</c:v>
                </c:pt>
                <c:pt idx="15">
                  <c:v>113.86445000000001</c:v>
                </c:pt>
                <c:pt idx="16">
                  <c:v>114.47181999999999</c:v>
                </c:pt>
                <c:pt idx="17">
                  <c:v>114.90085999999999</c:v>
                </c:pt>
                <c:pt idx="18">
                  <c:v>115.12802000000001</c:v>
                </c:pt>
                <c:pt idx="19">
                  <c:v>115.14475</c:v>
                </c:pt>
                <c:pt idx="20">
                  <c:v>114.9669</c:v>
                </c:pt>
                <c:pt idx="21">
                  <c:v>114.62254</c:v>
                </c:pt>
                <c:pt idx="22">
                  <c:v>114.14037999999999</c:v>
                </c:pt>
                <c:pt idx="23">
                  <c:v>113.56773</c:v>
                </c:pt>
                <c:pt idx="24">
                  <c:v>112.93671999999999</c:v>
                </c:pt>
                <c:pt idx="25">
                  <c:v>112.27587</c:v>
                </c:pt>
                <c:pt idx="26">
                  <c:v>111.61192</c:v>
                </c:pt>
                <c:pt idx="27">
                  <c:v>110.96119</c:v>
                </c:pt>
                <c:pt idx="28">
                  <c:v>110.3279</c:v>
                </c:pt>
                <c:pt idx="29">
                  <c:v>109.72197</c:v>
                </c:pt>
                <c:pt idx="30">
                  <c:v>109.14487</c:v>
                </c:pt>
                <c:pt idx="31">
                  <c:v>108.60476</c:v>
                </c:pt>
                <c:pt idx="32">
                  <c:v>108.09934</c:v>
                </c:pt>
                <c:pt idx="33">
                  <c:v>107.63082</c:v>
                </c:pt>
                <c:pt idx="34">
                  <c:v>107.19902</c:v>
                </c:pt>
                <c:pt idx="35">
                  <c:v>106.80731</c:v>
                </c:pt>
                <c:pt idx="36">
                  <c:v>106.4547</c:v>
                </c:pt>
                <c:pt idx="37">
                  <c:v>106.14385</c:v>
                </c:pt>
                <c:pt idx="38">
                  <c:v>105.86851</c:v>
                </c:pt>
                <c:pt idx="39">
                  <c:v>105.62854</c:v>
                </c:pt>
                <c:pt idx="40">
                  <c:v>105.42166</c:v>
                </c:pt>
                <c:pt idx="41">
                  <c:v>105.24902</c:v>
                </c:pt>
                <c:pt idx="42">
                  <c:v>105.10551</c:v>
                </c:pt>
                <c:pt idx="43">
                  <c:v>104.98263</c:v>
                </c:pt>
                <c:pt idx="44">
                  <c:v>104.88319</c:v>
                </c:pt>
                <c:pt idx="45">
                  <c:v>104.80226999999999</c:v>
                </c:pt>
                <c:pt idx="46">
                  <c:v>104.74092</c:v>
                </c:pt>
                <c:pt idx="47">
                  <c:v>104.69996</c:v>
                </c:pt>
                <c:pt idx="48">
                  <c:v>104.67393</c:v>
                </c:pt>
                <c:pt idx="49">
                  <c:v>104.65478</c:v>
                </c:pt>
                <c:pt idx="50">
                  <c:v>104.6507</c:v>
                </c:pt>
                <c:pt idx="51">
                  <c:v>104.65535</c:v>
                </c:pt>
                <c:pt idx="52">
                  <c:v>104.65857</c:v>
                </c:pt>
                <c:pt idx="53">
                  <c:v>104.66088999999999</c:v>
                </c:pt>
                <c:pt idx="54">
                  <c:v>104.66930000000001</c:v>
                </c:pt>
                <c:pt idx="55">
                  <c:v>104.6871</c:v>
                </c:pt>
                <c:pt idx="56">
                  <c:v>104.7174</c:v>
                </c:pt>
                <c:pt idx="57">
                  <c:v>104.74794</c:v>
                </c:pt>
                <c:pt idx="58">
                  <c:v>104.77853</c:v>
                </c:pt>
                <c:pt idx="59">
                  <c:v>104.80508</c:v>
                </c:pt>
                <c:pt idx="60">
                  <c:v>104.82901</c:v>
                </c:pt>
                <c:pt idx="61">
                  <c:v>104.84604</c:v>
                </c:pt>
                <c:pt idx="62">
                  <c:v>104.85965</c:v>
                </c:pt>
                <c:pt idx="63">
                  <c:v>104.87397</c:v>
                </c:pt>
                <c:pt idx="64">
                  <c:v>104.98227</c:v>
                </c:pt>
                <c:pt idx="65">
                  <c:v>105.36469</c:v>
                </c:pt>
                <c:pt idx="66">
                  <c:v>106.1455</c:v>
                </c:pt>
                <c:pt idx="67">
                  <c:v>107.4066</c:v>
                </c:pt>
                <c:pt idx="68">
                  <c:v>109.1181</c:v>
                </c:pt>
                <c:pt idx="69">
                  <c:v>111.20704000000001</c:v>
                </c:pt>
                <c:pt idx="70">
                  <c:v>113.55463</c:v>
                </c:pt>
                <c:pt idx="71">
                  <c:v>116.09004</c:v>
                </c:pt>
                <c:pt idx="72">
                  <c:v>118.74473999999999</c:v>
                </c:pt>
                <c:pt idx="73">
                  <c:v>121.50163000000001</c:v>
                </c:pt>
                <c:pt idx="74">
                  <c:v>124.39266000000001</c:v>
                </c:pt>
                <c:pt idx="75">
                  <c:v>127.43886000000001</c:v>
                </c:pt>
                <c:pt idx="76">
                  <c:v>130.60420999999999</c:v>
                </c:pt>
                <c:pt idx="77">
                  <c:v>133.80991</c:v>
                </c:pt>
                <c:pt idx="78">
                  <c:v>136.97778</c:v>
                </c:pt>
                <c:pt idx="79">
                  <c:v>140.09766999999999</c:v>
                </c:pt>
                <c:pt idx="80">
                  <c:v>143.17149000000001</c:v>
                </c:pt>
                <c:pt idx="81">
                  <c:v>146.19922</c:v>
                </c:pt>
                <c:pt idx="82">
                  <c:v>149.18599</c:v>
                </c:pt>
                <c:pt idx="83">
                  <c:v>152.13853</c:v>
                </c:pt>
                <c:pt idx="84">
                  <c:v>155.05627999999999</c:v>
                </c:pt>
                <c:pt idx="85">
                  <c:v>157.93432000000001</c:v>
                </c:pt>
                <c:pt idx="86">
                  <c:v>160.77377000000001</c:v>
                </c:pt>
                <c:pt idx="87">
                  <c:v>163.56755999999999</c:v>
                </c:pt>
                <c:pt idx="88">
                  <c:v>166.31934999999999</c:v>
                </c:pt>
                <c:pt idx="89">
                  <c:v>169.03728000000001</c:v>
                </c:pt>
                <c:pt idx="90">
                  <c:v>171.72389000000001</c:v>
                </c:pt>
                <c:pt idx="91">
                  <c:v>174.38267999999999</c:v>
                </c:pt>
                <c:pt idx="92">
                  <c:v>177.04486</c:v>
                </c:pt>
                <c:pt idx="93">
                  <c:v>179.69649999999999</c:v>
                </c:pt>
                <c:pt idx="94">
                  <c:v>182.33308</c:v>
                </c:pt>
                <c:pt idx="95">
                  <c:v>184.93888999999999</c:v>
                </c:pt>
                <c:pt idx="96">
                  <c:v>187.49861000000001</c:v>
                </c:pt>
                <c:pt idx="97">
                  <c:v>190.03314</c:v>
                </c:pt>
                <c:pt idx="98">
                  <c:v>192.54796999999999</c:v>
                </c:pt>
                <c:pt idx="99">
                  <c:v>195.06948</c:v>
                </c:pt>
                <c:pt idx="100">
                  <c:v>197.60033999999999</c:v>
                </c:pt>
                <c:pt idx="101">
                  <c:v>200.11103</c:v>
                </c:pt>
                <c:pt idx="102">
                  <c:v>202.31092000000001</c:v>
                </c:pt>
                <c:pt idx="103">
                  <c:v>204.03914</c:v>
                </c:pt>
                <c:pt idx="104">
                  <c:v>205.16368</c:v>
                </c:pt>
                <c:pt idx="105">
                  <c:v>205.76915</c:v>
                </c:pt>
                <c:pt idx="106">
                  <c:v>206.02691999999999</c:v>
                </c:pt>
                <c:pt idx="107">
                  <c:v>206.08526000000001</c:v>
                </c:pt>
                <c:pt idx="108">
                  <c:v>206.03245999999999</c:v>
                </c:pt>
                <c:pt idx="109">
                  <c:v>205.90749</c:v>
                </c:pt>
                <c:pt idx="110">
                  <c:v>205.72273000000001</c:v>
                </c:pt>
                <c:pt idx="111">
                  <c:v>205.48319000000001</c:v>
                </c:pt>
                <c:pt idx="112">
                  <c:v>205.18277</c:v>
                </c:pt>
                <c:pt idx="113">
                  <c:v>204.8312</c:v>
                </c:pt>
                <c:pt idx="114">
                  <c:v>204.44404</c:v>
                </c:pt>
                <c:pt idx="115">
                  <c:v>204.04245</c:v>
                </c:pt>
                <c:pt idx="116">
                  <c:v>203.64420000000001</c:v>
                </c:pt>
                <c:pt idx="117">
                  <c:v>203.27386000000001</c:v>
                </c:pt>
                <c:pt idx="118">
                  <c:v>202.93733</c:v>
                </c:pt>
                <c:pt idx="119">
                  <c:v>202.62302</c:v>
                </c:pt>
                <c:pt idx="120">
                  <c:v>202.31540000000001</c:v>
                </c:pt>
                <c:pt idx="121">
                  <c:v>202.00353999999999</c:v>
                </c:pt>
                <c:pt idx="122">
                  <c:v>201.69973999999999</c:v>
                </c:pt>
                <c:pt idx="123">
                  <c:v>201.42119</c:v>
                </c:pt>
                <c:pt idx="124">
                  <c:v>201.18457000000001</c:v>
                </c:pt>
                <c:pt idx="125">
                  <c:v>200.98356999999999</c:v>
                </c:pt>
                <c:pt idx="126">
                  <c:v>200.80101999999999</c:v>
                </c:pt>
                <c:pt idx="127">
                  <c:v>200.63310999999999</c:v>
                </c:pt>
                <c:pt idx="128">
                  <c:v>200.49079</c:v>
                </c:pt>
                <c:pt idx="129">
                  <c:v>200.37730999999999</c:v>
                </c:pt>
                <c:pt idx="130">
                  <c:v>200.30010999999999</c:v>
                </c:pt>
                <c:pt idx="131">
                  <c:v>200.24753000000001</c:v>
                </c:pt>
                <c:pt idx="132">
                  <c:v>200.20774</c:v>
                </c:pt>
                <c:pt idx="133">
                  <c:v>200.17178000000001</c:v>
                </c:pt>
                <c:pt idx="134">
                  <c:v>200.14080999999999</c:v>
                </c:pt>
                <c:pt idx="135">
                  <c:v>200.11722</c:v>
                </c:pt>
                <c:pt idx="136">
                  <c:v>200.09100000000001</c:v>
                </c:pt>
                <c:pt idx="137">
                  <c:v>200.07266000000001</c:v>
                </c:pt>
                <c:pt idx="138">
                  <c:v>200.06287</c:v>
                </c:pt>
                <c:pt idx="139">
                  <c:v>200.04934</c:v>
                </c:pt>
                <c:pt idx="140">
                  <c:v>200.03645</c:v>
                </c:pt>
                <c:pt idx="141">
                  <c:v>200.02247</c:v>
                </c:pt>
                <c:pt idx="142">
                  <c:v>200.00360000000001</c:v>
                </c:pt>
                <c:pt idx="143">
                  <c:v>199.97774999999999</c:v>
                </c:pt>
                <c:pt idx="144">
                  <c:v>199.94002</c:v>
                </c:pt>
                <c:pt idx="145">
                  <c:v>199.90665000000001</c:v>
                </c:pt>
                <c:pt idx="146">
                  <c:v>199.88918000000001</c:v>
                </c:pt>
                <c:pt idx="147">
                  <c:v>199.89019999999999</c:v>
                </c:pt>
                <c:pt idx="148">
                  <c:v>199.90530000000001</c:v>
                </c:pt>
                <c:pt idx="149">
                  <c:v>199.93181000000001</c:v>
                </c:pt>
                <c:pt idx="150">
                  <c:v>199.96362999999999</c:v>
                </c:pt>
                <c:pt idx="151">
                  <c:v>199.97596999999999</c:v>
                </c:pt>
                <c:pt idx="152">
                  <c:v>199.95774</c:v>
                </c:pt>
                <c:pt idx="153">
                  <c:v>199.91352000000001</c:v>
                </c:pt>
                <c:pt idx="154">
                  <c:v>199.86389</c:v>
                </c:pt>
                <c:pt idx="155">
                  <c:v>199.82795999999999</c:v>
                </c:pt>
                <c:pt idx="156">
                  <c:v>199.83024</c:v>
                </c:pt>
                <c:pt idx="157">
                  <c:v>199.88507000000001</c:v>
                </c:pt>
                <c:pt idx="158">
                  <c:v>199.96812</c:v>
                </c:pt>
                <c:pt idx="159">
                  <c:v>200.04366999999999</c:v>
                </c:pt>
                <c:pt idx="160">
                  <c:v>200.08932999999999</c:v>
                </c:pt>
                <c:pt idx="161">
                  <c:v>200.1052</c:v>
                </c:pt>
                <c:pt idx="162">
                  <c:v>200.11276000000001</c:v>
                </c:pt>
                <c:pt idx="163">
                  <c:v>200.11704</c:v>
                </c:pt>
                <c:pt idx="164">
                  <c:v>200.11874</c:v>
                </c:pt>
                <c:pt idx="165">
                  <c:v>200.11364</c:v>
                </c:pt>
                <c:pt idx="166">
                  <c:v>200.09604999999999</c:v>
                </c:pt>
                <c:pt idx="167">
                  <c:v>200.06558999999999</c:v>
                </c:pt>
                <c:pt idx="168">
                  <c:v>200.02741</c:v>
                </c:pt>
                <c:pt idx="169">
                  <c:v>199.99572000000001</c:v>
                </c:pt>
                <c:pt idx="170">
                  <c:v>199.97241</c:v>
                </c:pt>
                <c:pt idx="171">
                  <c:v>199.95903999999999</c:v>
                </c:pt>
                <c:pt idx="172">
                  <c:v>199.94823</c:v>
                </c:pt>
                <c:pt idx="173">
                  <c:v>199.93788000000001</c:v>
                </c:pt>
                <c:pt idx="174">
                  <c:v>199.93573000000001</c:v>
                </c:pt>
                <c:pt idx="175">
                  <c:v>199.93636000000001</c:v>
                </c:pt>
                <c:pt idx="176">
                  <c:v>199.93786</c:v>
                </c:pt>
                <c:pt idx="177">
                  <c:v>199.94238999999999</c:v>
                </c:pt>
                <c:pt idx="178">
                  <c:v>199.94986</c:v>
                </c:pt>
                <c:pt idx="179">
                  <c:v>199.94709</c:v>
                </c:pt>
                <c:pt idx="180">
                  <c:v>199.93655000000001</c:v>
                </c:pt>
                <c:pt idx="181">
                  <c:v>199.92549</c:v>
                </c:pt>
                <c:pt idx="182">
                  <c:v>199.9162</c:v>
                </c:pt>
                <c:pt idx="183">
                  <c:v>199.91752</c:v>
                </c:pt>
                <c:pt idx="184">
                  <c:v>199.93911</c:v>
                </c:pt>
                <c:pt idx="185">
                  <c:v>199.98310000000001</c:v>
                </c:pt>
                <c:pt idx="186">
                  <c:v>200.03607</c:v>
                </c:pt>
                <c:pt idx="187">
                  <c:v>200.07974999999999</c:v>
                </c:pt>
                <c:pt idx="188">
                  <c:v>200.10410999999999</c:v>
                </c:pt>
                <c:pt idx="189">
                  <c:v>200.10308000000001</c:v>
                </c:pt>
                <c:pt idx="190">
                  <c:v>200.08676</c:v>
                </c:pt>
                <c:pt idx="191">
                  <c:v>200.06370999999999</c:v>
                </c:pt>
                <c:pt idx="192">
                  <c:v>200.03886</c:v>
                </c:pt>
                <c:pt idx="193">
                  <c:v>200.02345</c:v>
                </c:pt>
                <c:pt idx="194">
                  <c:v>200.00876</c:v>
                </c:pt>
                <c:pt idx="195">
                  <c:v>199.99112</c:v>
                </c:pt>
                <c:pt idx="196">
                  <c:v>199.96964</c:v>
                </c:pt>
                <c:pt idx="197">
                  <c:v>199.94871000000001</c:v>
                </c:pt>
                <c:pt idx="198">
                  <c:v>199.94092000000001</c:v>
                </c:pt>
                <c:pt idx="199">
                  <c:v>199.95097000000001</c:v>
                </c:pt>
                <c:pt idx="200">
                  <c:v>199.96312</c:v>
                </c:pt>
                <c:pt idx="201">
                  <c:v>199.98047</c:v>
                </c:pt>
                <c:pt idx="202">
                  <c:v>200.01059000000001</c:v>
                </c:pt>
                <c:pt idx="203">
                  <c:v>200.04139000000001</c:v>
                </c:pt>
                <c:pt idx="204">
                  <c:v>200.06037000000001</c:v>
                </c:pt>
                <c:pt idx="205">
                  <c:v>200.06356</c:v>
                </c:pt>
                <c:pt idx="206">
                  <c:v>200.04763</c:v>
                </c:pt>
                <c:pt idx="207">
                  <c:v>200.03021000000001</c:v>
                </c:pt>
                <c:pt idx="208">
                  <c:v>200.01327000000001</c:v>
                </c:pt>
                <c:pt idx="209">
                  <c:v>199.99847</c:v>
                </c:pt>
                <c:pt idx="210">
                  <c:v>200.00205</c:v>
                </c:pt>
                <c:pt idx="211">
                  <c:v>200.01846</c:v>
                </c:pt>
                <c:pt idx="212">
                  <c:v>200.03921</c:v>
                </c:pt>
                <c:pt idx="213">
                  <c:v>200.06591</c:v>
                </c:pt>
                <c:pt idx="214">
                  <c:v>200.08393000000001</c:v>
                </c:pt>
                <c:pt idx="215">
                  <c:v>200.08772999999999</c:v>
                </c:pt>
                <c:pt idx="216">
                  <c:v>200.07603</c:v>
                </c:pt>
                <c:pt idx="217">
                  <c:v>200.05831000000001</c:v>
                </c:pt>
                <c:pt idx="218">
                  <c:v>200.03953000000001</c:v>
                </c:pt>
                <c:pt idx="219">
                  <c:v>200.02089000000001</c:v>
                </c:pt>
                <c:pt idx="220">
                  <c:v>200.01052999999999</c:v>
                </c:pt>
                <c:pt idx="221">
                  <c:v>199.99806000000001</c:v>
                </c:pt>
                <c:pt idx="222">
                  <c:v>199.98267000000001</c:v>
                </c:pt>
                <c:pt idx="223">
                  <c:v>199.96880999999999</c:v>
                </c:pt>
                <c:pt idx="224">
                  <c:v>199.95649</c:v>
                </c:pt>
                <c:pt idx="225">
                  <c:v>199.95067</c:v>
                </c:pt>
                <c:pt idx="226">
                  <c:v>199.95032</c:v>
                </c:pt>
                <c:pt idx="227">
                  <c:v>199.95867999999999</c:v>
                </c:pt>
                <c:pt idx="228">
                  <c:v>199.96795</c:v>
                </c:pt>
                <c:pt idx="229">
                  <c:v>199.98096000000001</c:v>
                </c:pt>
                <c:pt idx="230">
                  <c:v>199.99565999999999</c:v>
                </c:pt>
                <c:pt idx="231">
                  <c:v>200.00665000000001</c:v>
                </c:pt>
                <c:pt idx="232">
                  <c:v>200.01414</c:v>
                </c:pt>
                <c:pt idx="233">
                  <c:v>200.02218999999999</c:v>
                </c:pt>
                <c:pt idx="234">
                  <c:v>200.03205</c:v>
                </c:pt>
                <c:pt idx="235">
                  <c:v>200.03925000000001</c:v>
                </c:pt>
                <c:pt idx="236">
                  <c:v>200.03817000000001</c:v>
                </c:pt>
                <c:pt idx="237">
                  <c:v>200.03555</c:v>
                </c:pt>
                <c:pt idx="238">
                  <c:v>200.0326</c:v>
                </c:pt>
                <c:pt idx="239">
                  <c:v>200.02374</c:v>
                </c:pt>
                <c:pt idx="240">
                  <c:v>200.01461</c:v>
                </c:pt>
                <c:pt idx="241">
                  <c:v>200.00743</c:v>
                </c:pt>
                <c:pt idx="242">
                  <c:v>200.00731999999999</c:v>
                </c:pt>
                <c:pt idx="243">
                  <c:v>200.01301000000001</c:v>
                </c:pt>
                <c:pt idx="244">
                  <c:v>200.01859999999999</c:v>
                </c:pt>
                <c:pt idx="245">
                  <c:v>200.01899</c:v>
                </c:pt>
                <c:pt idx="246">
                  <c:v>200.01349999999999</c:v>
                </c:pt>
                <c:pt idx="247">
                  <c:v>200.01330999999999</c:v>
                </c:pt>
                <c:pt idx="248">
                  <c:v>200.03753</c:v>
                </c:pt>
                <c:pt idx="249">
                  <c:v>200.07830000000001</c:v>
                </c:pt>
                <c:pt idx="250">
                  <c:v>200.11425</c:v>
                </c:pt>
                <c:pt idx="251">
                  <c:v>200.13558</c:v>
                </c:pt>
                <c:pt idx="252">
                  <c:v>200.13667000000001</c:v>
                </c:pt>
                <c:pt idx="253">
                  <c:v>200.11429999999999</c:v>
                </c:pt>
                <c:pt idx="254">
                  <c:v>200.07680999999999</c:v>
                </c:pt>
                <c:pt idx="255">
                  <c:v>200.03979000000001</c:v>
                </c:pt>
                <c:pt idx="256">
                  <c:v>200.01085</c:v>
                </c:pt>
                <c:pt idx="257">
                  <c:v>200.03054</c:v>
                </c:pt>
                <c:pt idx="258">
                  <c:v>200.11544000000001</c:v>
                </c:pt>
                <c:pt idx="259">
                  <c:v>200.21648999999999</c:v>
                </c:pt>
                <c:pt idx="260">
                  <c:v>200.29198</c:v>
                </c:pt>
                <c:pt idx="261">
                  <c:v>200.31068999999999</c:v>
                </c:pt>
                <c:pt idx="262">
                  <c:v>200.27090999999999</c:v>
                </c:pt>
                <c:pt idx="263">
                  <c:v>200.20401000000001</c:v>
                </c:pt>
                <c:pt idx="264">
                  <c:v>200.13284999999999</c:v>
                </c:pt>
                <c:pt idx="265">
                  <c:v>200.07400000000001</c:v>
                </c:pt>
                <c:pt idx="266">
                  <c:v>200.03972999999999</c:v>
                </c:pt>
                <c:pt idx="267">
                  <c:v>200.03227999999999</c:v>
                </c:pt>
                <c:pt idx="268">
                  <c:v>200.03933000000001</c:v>
                </c:pt>
                <c:pt idx="269">
                  <c:v>200.05081999999999</c:v>
                </c:pt>
                <c:pt idx="270">
                  <c:v>200.06577999999999</c:v>
                </c:pt>
                <c:pt idx="271">
                  <c:v>200.07711</c:v>
                </c:pt>
                <c:pt idx="272">
                  <c:v>200.08485999999999</c:v>
                </c:pt>
                <c:pt idx="273">
                  <c:v>200.08894000000001</c:v>
                </c:pt>
                <c:pt idx="274">
                  <c:v>200.09338</c:v>
                </c:pt>
                <c:pt idx="275">
                  <c:v>200.10256000000001</c:v>
                </c:pt>
                <c:pt idx="276">
                  <c:v>200.11194</c:v>
                </c:pt>
                <c:pt idx="277">
                  <c:v>200.12051</c:v>
                </c:pt>
                <c:pt idx="278">
                  <c:v>200.12656000000001</c:v>
                </c:pt>
                <c:pt idx="279">
                  <c:v>200.13069999999999</c:v>
                </c:pt>
                <c:pt idx="280">
                  <c:v>200.13312999999999</c:v>
                </c:pt>
                <c:pt idx="281">
                  <c:v>200.13305</c:v>
                </c:pt>
                <c:pt idx="282">
                  <c:v>200.13570999999999</c:v>
                </c:pt>
                <c:pt idx="283">
                  <c:v>200.13591</c:v>
                </c:pt>
                <c:pt idx="284">
                  <c:v>200.13065</c:v>
                </c:pt>
                <c:pt idx="285">
                  <c:v>200.11534</c:v>
                </c:pt>
                <c:pt idx="286">
                  <c:v>200.10140999999999</c:v>
                </c:pt>
                <c:pt idx="287">
                  <c:v>200.09157999999999</c:v>
                </c:pt>
                <c:pt idx="288">
                  <c:v>200.09075000000001</c:v>
                </c:pt>
                <c:pt idx="289">
                  <c:v>200.09372999999999</c:v>
                </c:pt>
                <c:pt idx="290">
                  <c:v>200.09936999999999</c:v>
                </c:pt>
                <c:pt idx="291">
                  <c:v>200.10396</c:v>
                </c:pt>
                <c:pt idx="292">
                  <c:v>200.11108999999999</c:v>
                </c:pt>
                <c:pt idx="293">
                  <c:v>200.11355</c:v>
                </c:pt>
                <c:pt idx="294">
                  <c:v>200.1105</c:v>
                </c:pt>
                <c:pt idx="295">
                  <c:v>200.11239</c:v>
                </c:pt>
                <c:pt idx="296">
                  <c:v>200.10712000000001</c:v>
                </c:pt>
                <c:pt idx="297">
                  <c:v>200.10068999999999</c:v>
                </c:pt>
                <c:pt idx="298">
                  <c:v>200.09286</c:v>
                </c:pt>
                <c:pt idx="299">
                  <c:v>200.08356000000001</c:v>
                </c:pt>
                <c:pt idx="300">
                  <c:v>200.0761</c:v>
                </c:pt>
                <c:pt idx="301">
                  <c:v>200.07060999999999</c:v>
                </c:pt>
                <c:pt idx="302">
                  <c:v>200.06182000000001</c:v>
                </c:pt>
                <c:pt idx="303">
                  <c:v>200.05529000000001</c:v>
                </c:pt>
                <c:pt idx="304">
                  <c:v>200.0487</c:v>
                </c:pt>
                <c:pt idx="305">
                  <c:v>200.04442</c:v>
                </c:pt>
                <c:pt idx="306">
                  <c:v>200.03737000000001</c:v>
                </c:pt>
                <c:pt idx="307">
                  <c:v>200.03245000000001</c:v>
                </c:pt>
                <c:pt idx="308">
                  <c:v>200.02909</c:v>
                </c:pt>
                <c:pt idx="309">
                  <c:v>200.02906999999999</c:v>
                </c:pt>
                <c:pt idx="310">
                  <c:v>200.02644000000001</c:v>
                </c:pt>
                <c:pt idx="311">
                  <c:v>200.02501000000001</c:v>
                </c:pt>
                <c:pt idx="312">
                  <c:v>200.02334999999999</c:v>
                </c:pt>
                <c:pt idx="313">
                  <c:v>200.01920000000001</c:v>
                </c:pt>
                <c:pt idx="314">
                  <c:v>200.01756</c:v>
                </c:pt>
                <c:pt idx="315">
                  <c:v>200.02489</c:v>
                </c:pt>
                <c:pt idx="316">
                  <c:v>200.02645000000001</c:v>
                </c:pt>
                <c:pt idx="317">
                  <c:v>200.00656000000001</c:v>
                </c:pt>
                <c:pt idx="318">
                  <c:v>199.97026</c:v>
                </c:pt>
                <c:pt idx="319">
                  <c:v>199.94150999999999</c:v>
                </c:pt>
                <c:pt idx="320">
                  <c:v>199.93315000000001</c:v>
                </c:pt>
                <c:pt idx="321">
                  <c:v>199.94424000000001</c:v>
                </c:pt>
                <c:pt idx="322">
                  <c:v>199.96877000000001</c:v>
                </c:pt>
                <c:pt idx="323">
                  <c:v>199.99533</c:v>
                </c:pt>
                <c:pt idx="324">
                  <c:v>200.01366999999999</c:v>
                </c:pt>
                <c:pt idx="325">
                  <c:v>200.01569000000001</c:v>
                </c:pt>
                <c:pt idx="326">
                  <c:v>200.00710000000001</c:v>
                </c:pt>
                <c:pt idx="327">
                  <c:v>199.99329</c:v>
                </c:pt>
                <c:pt idx="328">
                  <c:v>199.98054999999999</c:v>
                </c:pt>
                <c:pt idx="329">
                  <c:v>199.97911999999999</c:v>
                </c:pt>
                <c:pt idx="330">
                  <c:v>199.98406</c:v>
                </c:pt>
                <c:pt idx="331">
                  <c:v>199.98859999999999</c:v>
                </c:pt>
                <c:pt idx="332">
                  <c:v>199.99172999999999</c:v>
                </c:pt>
                <c:pt idx="333">
                  <c:v>199.99363</c:v>
                </c:pt>
                <c:pt idx="334">
                  <c:v>199.99216999999999</c:v>
                </c:pt>
                <c:pt idx="335">
                  <c:v>199.98857000000001</c:v>
                </c:pt>
                <c:pt idx="336">
                  <c:v>199.97593000000001</c:v>
                </c:pt>
                <c:pt idx="337">
                  <c:v>199.96293</c:v>
                </c:pt>
                <c:pt idx="338">
                  <c:v>199.94667999999999</c:v>
                </c:pt>
                <c:pt idx="339">
                  <c:v>199.92012</c:v>
                </c:pt>
                <c:pt idx="340">
                  <c:v>199.90652</c:v>
                </c:pt>
                <c:pt idx="341">
                  <c:v>199.91453000000001</c:v>
                </c:pt>
                <c:pt idx="342">
                  <c:v>199.93351999999999</c:v>
                </c:pt>
                <c:pt idx="343">
                  <c:v>199.94391999999999</c:v>
                </c:pt>
                <c:pt idx="344">
                  <c:v>199.93621999999999</c:v>
                </c:pt>
                <c:pt idx="345">
                  <c:v>199.92705000000001</c:v>
                </c:pt>
                <c:pt idx="346">
                  <c:v>199.92836</c:v>
                </c:pt>
                <c:pt idx="347">
                  <c:v>199.94030000000001</c:v>
                </c:pt>
                <c:pt idx="348">
                  <c:v>199.96247</c:v>
                </c:pt>
                <c:pt idx="349">
                  <c:v>199.98569000000001</c:v>
                </c:pt>
                <c:pt idx="350">
                  <c:v>200.00264000000001</c:v>
                </c:pt>
                <c:pt idx="351">
                  <c:v>200.00989999999999</c:v>
                </c:pt>
                <c:pt idx="352">
                  <c:v>200.00214</c:v>
                </c:pt>
                <c:pt idx="353">
                  <c:v>199.97827000000001</c:v>
                </c:pt>
                <c:pt idx="354">
                  <c:v>199.95296999999999</c:v>
                </c:pt>
                <c:pt idx="355">
                  <c:v>199.94710000000001</c:v>
                </c:pt>
                <c:pt idx="356">
                  <c:v>199.95614</c:v>
                </c:pt>
                <c:pt idx="357">
                  <c:v>199.96520000000001</c:v>
                </c:pt>
                <c:pt idx="358">
                  <c:v>199.95961</c:v>
                </c:pt>
                <c:pt idx="359">
                  <c:v>199.93705</c:v>
                </c:pt>
                <c:pt idx="360">
                  <c:v>199.92335</c:v>
                </c:pt>
                <c:pt idx="361">
                  <c:v>199.92044000000001</c:v>
                </c:pt>
                <c:pt idx="362">
                  <c:v>199.93161000000001</c:v>
                </c:pt>
                <c:pt idx="363">
                  <c:v>199.95235</c:v>
                </c:pt>
                <c:pt idx="364">
                  <c:v>199.97484</c:v>
                </c:pt>
                <c:pt idx="365">
                  <c:v>199.99664999999999</c:v>
                </c:pt>
                <c:pt idx="366">
                  <c:v>200.01958999999999</c:v>
                </c:pt>
                <c:pt idx="367">
                  <c:v>200.0367</c:v>
                </c:pt>
                <c:pt idx="368">
                  <c:v>200.04517000000001</c:v>
                </c:pt>
                <c:pt idx="369">
                  <c:v>200.0402</c:v>
                </c:pt>
                <c:pt idx="370">
                  <c:v>200.02054999999999</c:v>
                </c:pt>
                <c:pt idx="371">
                  <c:v>200.00300999999999</c:v>
                </c:pt>
                <c:pt idx="372">
                  <c:v>199.98964000000001</c:v>
                </c:pt>
                <c:pt idx="373">
                  <c:v>199.97343000000001</c:v>
                </c:pt>
                <c:pt idx="374">
                  <c:v>199.96659</c:v>
                </c:pt>
                <c:pt idx="375">
                  <c:v>199.96693999999999</c:v>
                </c:pt>
                <c:pt idx="376">
                  <c:v>199.97542999999999</c:v>
                </c:pt>
                <c:pt idx="377">
                  <c:v>199.98416</c:v>
                </c:pt>
                <c:pt idx="378">
                  <c:v>199.9889</c:v>
                </c:pt>
                <c:pt idx="379">
                  <c:v>199.99257</c:v>
                </c:pt>
                <c:pt idx="380">
                  <c:v>199.99610000000001</c:v>
                </c:pt>
                <c:pt idx="381">
                  <c:v>199.99596</c:v>
                </c:pt>
                <c:pt idx="382">
                  <c:v>199.99549999999999</c:v>
                </c:pt>
                <c:pt idx="383">
                  <c:v>199.99529999999999</c:v>
                </c:pt>
                <c:pt idx="384">
                  <c:v>199.99476000000001</c:v>
                </c:pt>
                <c:pt idx="385">
                  <c:v>200.00121999999999</c:v>
                </c:pt>
                <c:pt idx="386">
                  <c:v>200.01334</c:v>
                </c:pt>
                <c:pt idx="387">
                  <c:v>200.02424999999999</c:v>
                </c:pt>
                <c:pt idx="388">
                  <c:v>200.02305999999999</c:v>
                </c:pt>
                <c:pt idx="389">
                  <c:v>200.01652000000001</c:v>
                </c:pt>
                <c:pt idx="390">
                  <c:v>200.00820999999999</c:v>
                </c:pt>
                <c:pt idx="391">
                  <c:v>200.00867</c:v>
                </c:pt>
                <c:pt idx="392">
                  <c:v>200.01410000000001</c:v>
                </c:pt>
                <c:pt idx="393">
                  <c:v>200.02598</c:v>
                </c:pt>
                <c:pt idx="394">
                  <c:v>200.03423000000001</c:v>
                </c:pt>
                <c:pt idx="395">
                  <c:v>200.03299000000001</c:v>
                </c:pt>
                <c:pt idx="396">
                  <c:v>200.03353999999999</c:v>
                </c:pt>
                <c:pt idx="397">
                  <c:v>200.036</c:v>
                </c:pt>
                <c:pt idx="398">
                  <c:v>200.03407999999999</c:v>
                </c:pt>
                <c:pt idx="399">
                  <c:v>200.03457</c:v>
                </c:pt>
                <c:pt idx="400">
                  <c:v>200.03247999999999</c:v>
                </c:pt>
                <c:pt idx="401">
                  <c:v>200.03997000000001</c:v>
                </c:pt>
                <c:pt idx="402">
                  <c:v>200.04945000000001</c:v>
                </c:pt>
                <c:pt idx="403">
                  <c:v>200.05375000000001</c:v>
                </c:pt>
                <c:pt idx="404">
                  <c:v>200.05026000000001</c:v>
                </c:pt>
                <c:pt idx="405">
                  <c:v>200.04017999999999</c:v>
                </c:pt>
                <c:pt idx="406">
                  <c:v>200.03536</c:v>
                </c:pt>
                <c:pt idx="407">
                  <c:v>200.03679</c:v>
                </c:pt>
                <c:pt idx="408">
                  <c:v>200.04076000000001</c:v>
                </c:pt>
                <c:pt idx="409">
                  <c:v>200.04928000000001</c:v>
                </c:pt>
                <c:pt idx="410">
                  <c:v>200.05394000000001</c:v>
                </c:pt>
                <c:pt idx="411">
                  <c:v>200.0532</c:v>
                </c:pt>
                <c:pt idx="412">
                  <c:v>200.04741000000001</c:v>
                </c:pt>
                <c:pt idx="413">
                  <c:v>200.04182</c:v>
                </c:pt>
                <c:pt idx="414">
                  <c:v>200.03292999999999</c:v>
                </c:pt>
                <c:pt idx="415">
                  <c:v>200.0172</c:v>
                </c:pt>
                <c:pt idx="416">
                  <c:v>200.00676999999999</c:v>
                </c:pt>
                <c:pt idx="417">
                  <c:v>200.00753</c:v>
                </c:pt>
                <c:pt idx="418">
                  <c:v>200.01240000000001</c:v>
                </c:pt>
                <c:pt idx="419">
                  <c:v>200.01862</c:v>
                </c:pt>
                <c:pt idx="420">
                  <c:v>200.02078</c:v>
                </c:pt>
                <c:pt idx="421">
                  <c:v>200.01226</c:v>
                </c:pt>
                <c:pt idx="422">
                  <c:v>199.99888000000001</c:v>
                </c:pt>
                <c:pt idx="423">
                  <c:v>199.9873</c:v>
                </c:pt>
                <c:pt idx="424">
                  <c:v>199.9931</c:v>
                </c:pt>
                <c:pt idx="425">
                  <c:v>200.01701</c:v>
                </c:pt>
                <c:pt idx="426">
                  <c:v>200.04039</c:v>
                </c:pt>
                <c:pt idx="427">
                  <c:v>200.04625999999999</c:v>
                </c:pt>
                <c:pt idx="428">
                  <c:v>200.04319000000001</c:v>
                </c:pt>
                <c:pt idx="429">
                  <c:v>200.03892999999999</c:v>
                </c:pt>
                <c:pt idx="430">
                  <c:v>200.03697</c:v>
                </c:pt>
                <c:pt idx="431">
                  <c:v>200.04217</c:v>
                </c:pt>
                <c:pt idx="432">
                  <c:v>200.05247</c:v>
                </c:pt>
                <c:pt idx="433">
                  <c:v>200.05385000000001</c:v>
                </c:pt>
                <c:pt idx="434">
                  <c:v>200.04608999999999</c:v>
                </c:pt>
                <c:pt idx="435">
                  <c:v>200.03131999999999</c:v>
                </c:pt>
                <c:pt idx="436">
                  <c:v>200.01573999999999</c:v>
                </c:pt>
                <c:pt idx="437">
                  <c:v>200.00582</c:v>
                </c:pt>
                <c:pt idx="438">
                  <c:v>200.00549000000001</c:v>
                </c:pt>
                <c:pt idx="439">
                  <c:v>200.00892999999999</c:v>
                </c:pt>
                <c:pt idx="440">
                  <c:v>200.01039</c:v>
                </c:pt>
                <c:pt idx="441">
                  <c:v>200.02076</c:v>
                </c:pt>
                <c:pt idx="442">
                  <c:v>200.04536999999999</c:v>
                </c:pt>
                <c:pt idx="443">
                  <c:v>200.07456999999999</c:v>
                </c:pt>
                <c:pt idx="444">
                  <c:v>200.08989</c:v>
                </c:pt>
                <c:pt idx="445">
                  <c:v>200.08201</c:v>
                </c:pt>
                <c:pt idx="446">
                  <c:v>200.05685</c:v>
                </c:pt>
                <c:pt idx="447">
                  <c:v>200.03980999999999</c:v>
                </c:pt>
                <c:pt idx="448">
                  <c:v>200.04549</c:v>
                </c:pt>
                <c:pt idx="449">
                  <c:v>200.0616</c:v>
                </c:pt>
                <c:pt idx="450">
                  <c:v>200.07225</c:v>
                </c:pt>
                <c:pt idx="451">
                  <c:v>200.07311999999999</c:v>
                </c:pt>
                <c:pt idx="452">
                  <c:v>200.06412</c:v>
                </c:pt>
                <c:pt idx="453">
                  <c:v>200.04796999999999</c:v>
                </c:pt>
                <c:pt idx="454">
                  <c:v>200.03738000000001</c:v>
                </c:pt>
                <c:pt idx="455">
                  <c:v>200.02837</c:v>
                </c:pt>
                <c:pt idx="456">
                  <c:v>200.02185</c:v>
                </c:pt>
                <c:pt idx="457">
                  <c:v>200.01541</c:v>
                </c:pt>
                <c:pt idx="458">
                  <c:v>200.00621000000001</c:v>
                </c:pt>
                <c:pt idx="459">
                  <c:v>200.00026</c:v>
                </c:pt>
                <c:pt idx="460">
                  <c:v>199.99969999999999</c:v>
                </c:pt>
                <c:pt idx="461">
                  <c:v>200.00136000000001</c:v>
                </c:pt>
                <c:pt idx="462">
                  <c:v>200.00004999999999</c:v>
                </c:pt>
                <c:pt idx="463">
                  <c:v>200.00200000000001</c:v>
                </c:pt>
                <c:pt idx="464">
                  <c:v>199.99982</c:v>
                </c:pt>
                <c:pt idx="465">
                  <c:v>199.99294</c:v>
                </c:pt>
                <c:pt idx="466">
                  <c:v>199.98931999999999</c:v>
                </c:pt>
                <c:pt idx="467">
                  <c:v>199.99226999999999</c:v>
                </c:pt>
                <c:pt idx="468">
                  <c:v>199.99969999999999</c:v>
                </c:pt>
                <c:pt idx="469">
                  <c:v>200.01424</c:v>
                </c:pt>
                <c:pt idx="470">
                  <c:v>200.03622999999999</c:v>
                </c:pt>
                <c:pt idx="471">
                  <c:v>200.05513999999999</c:v>
                </c:pt>
                <c:pt idx="472">
                  <c:v>200.04427000000001</c:v>
                </c:pt>
                <c:pt idx="473">
                  <c:v>200.01692</c:v>
                </c:pt>
                <c:pt idx="474">
                  <c:v>200.00245000000001</c:v>
                </c:pt>
                <c:pt idx="475">
                  <c:v>200.00348</c:v>
                </c:pt>
                <c:pt idx="476">
                  <c:v>200.02036000000001</c:v>
                </c:pt>
                <c:pt idx="477">
                  <c:v>200.03532000000001</c:v>
                </c:pt>
                <c:pt idx="478">
                  <c:v>200.05016000000001</c:v>
                </c:pt>
                <c:pt idx="479">
                  <c:v>200.07032000000001</c:v>
                </c:pt>
                <c:pt idx="480">
                  <c:v>200.09732</c:v>
                </c:pt>
                <c:pt idx="481">
                  <c:v>200.11854</c:v>
                </c:pt>
                <c:pt idx="482">
                  <c:v>200.12393</c:v>
                </c:pt>
                <c:pt idx="483">
                  <c:v>200.10986</c:v>
                </c:pt>
                <c:pt idx="484">
                  <c:v>200.07953000000001</c:v>
                </c:pt>
                <c:pt idx="485">
                  <c:v>200.05383</c:v>
                </c:pt>
                <c:pt idx="486">
                  <c:v>200.03898000000001</c:v>
                </c:pt>
                <c:pt idx="487">
                  <c:v>200.0325</c:v>
                </c:pt>
                <c:pt idx="488">
                  <c:v>200.03037</c:v>
                </c:pt>
                <c:pt idx="489">
                  <c:v>200.02545000000001</c:v>
                </c:pt>
                <c:pt idx="490">
                  <c:v>200.0188</c:v>
                </c:pt>
                <c:pt idx="491">
                  <c:v>200.00413</c:v>
                </c:pt>
                <c:pt idx="492">
                  <c:v>199.98488</c:v>
                </c:pt>
                <c:pt idx="493">
                  <c:v>199.97645</c:v>
                </c:pt>
                <c:pt idx="494">
                  <c:v>199.98246</c:v>
                </c:pt>
                <c:pt idx="495">
                  <c:v>199.99106</c:v>
                </c:pt>
                <c:pt idx="496">
                  <c:v>200.00211999999999</c:v>
                </c:pt>
                <c:pt idx="497">
                  <c:v>200.00828000000001</c:v>
                </c:pt>
                <c:pt idx="498">
                  <c:v>200.00792999999999</c:v>
                </c:pt>
                <c:pt idx="499">
                  <c:v>200.00837000000001</c:v>
                </c:pt>
                <c:pt idx="500">
                  <c:v>200.00191000000001</c:v>
                </c:pt>
                <c:pt idx="501">
                  <c:v>199.98824999999999</c:v>
                </c:pt>
                <c:pt idx="502">
                  <c:v>199.98407</c:v>
                </c:pt>
                <c:pt idx="503">
                  <c:v>199.99831</c:v>
                </c:pt>
                <c:pt idx="504">
                  <c:v>200.03854000000001</c:v>
                </c:pt>
                <c:pt idx="505">
                  <c:v>200.09404000000001</c:v>
                </c:pt>
                <c:pt idx="506">
                  <c:v>200.14049</c:v>
                </c:pt>
                <c:pt idx="507">
                  <c:v>200.16217</c:v>
                </c:pt>
                <c:pt idx="508">
                  <c:v>200.15879000000001</c:v>
                </c:pt>
                <c:pt idx="509">
                  <c:v>200.13990999999999</c:v>
                </c:pt>
                <c:pt idx="510">
                  <c:v>200.10503</c:v>
                </c:pt>
                <c:pt idx="511">
                  <c:v>200.07714999999999</c:v>
                </c:pt>
                <c:pt idx="512">
                  <c:v>200.05842000000001</c:v>
                </c:pt>
                <c:pt idx="513">
                  <c:v>200.04777999999999</c:v>
                </c:pt>
                <c:pt idx="514">
                  <c:v>200.03989000000001</c:v>
                </c:pt>
                <c:pt idx="515">
                  <c:v>200.03836999999999</c:v>
                </c:pt>
                <c:pt idx="516">
                  <c:v>200.04073</c:v>
                </c:pt>
                <c:pt idx="517">
                  <c:v>200.04611</c:v>
                </c:pt>
                <c:pt idx="518">
                  <c:v>200.04812999999999</c:v>
                </c:pt>
                <c:pt idx="519">
                  <c:v>200.04807</c:v>
                </c:pt>
                <c:pt idx="520">
                  <c:v>200.04365000000001</c:v>
                </c:pt>
                <c:pt idx="521">
                  <c:v>200.03912</c:v>
                </c:pt>
                <c:pt idx="522">
                  <c:v>200.03766999999999</c:v>
                </c:pt>
                <c:pt idx="523">
                  <c:v>200.04590999999999</c:v>
                </c:pt>
                <c:pt idx="524">
                  <c:v>200.04910000000001</c:v>
                </c:pt>
                <c:pt idx="525">
                  <c:v>200.05020999999999</c:v>
                </c:pt>
                <c:pt idx="526">
                  <c:v>200.05213000000001</c:v>
                </c:pt>
                <c:pt idx="527">
                  <c:v>200.05117999999999</c:v>
                </c:pt>
                <c:pt idx="528">
                  <c:v>200.04927000000001</c:v>
                </c:pt>
                <c:pt idx="529">
                  <c:v>200.04548</c:v>
                </c:pt>
                <c:pt idx="530">
                  <c:v>200.04608999999999</c:v>
                </c:pt>
                <c:pt idx="531">
                  <c:v>200.04691</c:v>
                </c:pt>
                <c:pt idx="532">
                  <c:v>200.04713000000001</c:v>
                </c:pt>
                <c:pt idx="533">
                  <c:v>200.05032</c:v>
                </c:pt>
                <c:pt idx="534">
                  <c:v>200.04660000000001</c:v>
                </c:pt>
                <c:pt idx="535">
                  <c:v>200.04306</c:v>
                </c:pt>
                <c:pt idx="536">
                  <c:v>200.04232999999999</c:v>
                </c:pt>
                <c:pt idx="537">
                  <c:v>200.04525000000001</c:v>
                </c:pt>
                <c:pt idx="538">
                  <c:v>200.04722000000001</c:v>
                </c:pt>
                <c:pt idx="539">
                  <c:v>200.04554999999999</c:v>
                </c:pt>
                <c:pt idx="540">
                  <c:v>200.04386</c:v>
                </c:pt>
                <c:pt idx="541">
                  <c:v>200.04490000000001</c:v>
                </c:pt>
                <c:pt idx="542">
                  <c:v>200.04854</c:v>
                </c:pt>
                <c:pt idx="543">
                  <c:v>200.04516000000001</c:v>
                </c:pt>
                <c:pt idx="544">
                  <c:v>200.04417000000001</c:v>
                </c:pt>
                <c:pt idx="545">
                  <c:v>200.04140000000001</c:v>
                </c:pt>
                <c:pt idx="546">
                  <c:v>200.03658999999999</c:v>
                </c:pt>
                <c:pt idx="547">
                  <c:v>200.03823</c:v>
                </c:pt>
                <c:pt idx="548">
                  <c:v>200.03740999999999</c:v>
                </c:pt>
                <c:pt idx="549">
                  <c:v>200.03655000000001</c:v>
                </c:pt>
                <c:pt idx="550">
                  <c:v>200.03352000000001</c:v>
                </c:pt>
                <c:pt idx="551">
                  <c:v>200.03038000000001</c:v>
                </c:pt>
                <c:pt idx="552">
                  <c:v>200.02789000000001</c:v>
                </c:pt>
                <c:pt idx="553">
                  <c:v>200.02458999999999</c:v>
                </c:pt>
                <c:pt idx="554">
                  <c:v>200.02448999999999</c:v>
                </c:pt>
                <c:pt idx="555">
                  <c:v>200.02466999999999</c:v>
                </c:pt>
                <c:pt idx="556">
                  <c:v>200.03577000000001</c:v>
                </c:pt>
                <c:pt idx="557">
                  <c:v>200.04392999999999</c:v>
                </c:pt>
                <c:pt idx="558">
                  <c:v>200.04051999999999</c:v>
                </c:pt>
                <c:pt idx="559">
                  <c:v>200.03381999999999</c:v>
                </c:pt>
                <c:pt idx="560">
                  <c:v>200.03018</c:v>
                </c:pt>
                <c:pt idx="561">
                  <c:v>200.02795</c:v>
                </c:pt>
                <c:pt idx="562">
                  <c:v>200.0258</c:v>
                </c:pt>
                <c:pt idx="563">
                  <c:v>200.02638999999999</c:v>
                </c:pt>
                <c:pt idx="564">
                  <c:v>200.02923999999999</c:v>
                </c:pt>
                <c:pt idx="565">
                  <c:v>200.03226000000001</c:v>
                </c:pt>
                <c:pt idx="566">
                  <c:v>200.03016</c:v>
                </c:pt>
                <c:pt idx="567">
                  <c:v>200.03103999999999</c:v>
                </c:pt>
                <c:pt idx="568">
                  <c:v>200.02932000000001</c:v>
                </c:pt>
                <c:pt idx="569">
                  <c:v>200.0256</c:v>
                </c:pt>
                <c:pt idx="570">
                  <c:v>200.02243000000001</c:v>
                </c:pt>
                <c:pt idx="571">
                  <c:v>200.01911999999999</c:v>
                </c:pt>
                <c:pt idx="572">
                  <c:v>200.01625999999999</c:v>
                </c:pt>
                <c:pt idx="573">
                  <c:v>200.01727</c:v>
                </c:pt>
                <c:pt idx="574">
                  <c:v>200.02252999999999</c:v>
                </c:pt>
                <c:pt idx="575">
                  <c:v>200.02144999999999</c:v>
                </c:pt>
                <c:pt idx="576">
                  <c:v>200.02198000000001</c:v>
                </c:pt>
                <c:pt idx="577">
                  <c:v>200.02402000000001</c:v>
                </c:pt>
                <c:pt idx="578">
                  <c:v>200.02132</c:v>
                </c:pt>
                <c:pt idx="579">
                  <c:v>200.01899</c:v>
                </c:pt>
                <c:pt idx="580">
                  <c:v>200.0214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82-174F-B496-44182E21D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8257632"/>
        <c:axId val="431090064"/>
      </c:lineChart>
      <c:catAx>
        <c:axId val="458257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431090064"/>
        <c:crosses val="autoZero"/>
        <c:auto val="1"/>
        <c:lblAlgn val="ctr"/>
        <c:lblOffset val="100"/>
        <c:noMultiLvlLbl val="0"/>
      </c:catAx>
      <c:valAx>
        <c:axId val="43109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45825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Odin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'225C (Odin)'!$B$151:$B$630</c:f>
              <c:numCache>
                <c:formatCode>0.00000</c:formatCode>
                <c:ptCount val="480"/>
                <c:pt idx="0">
                  <c:v>55.5</c:v>
                </c:pt>
                <c:pt idx="1">
                  <c:v>56</c:v>
                </c:pt>
                <c:pt idx="2">
                  <c:v>56.5</c:v>
                </c:pt>
                <c:pt idx="3">
                  <c:v>57</c:v>
                </c:pt>
                <c:pt idx="4">
                  <c:v>57.5</c:v>
                </c:pt>
                <c:pt idx="5">
                  <c:v>58</c:v>
                </c:pt>
                <c:pt idx="6">
                  <c:v>58.5</c:v>
                </c:pt>
                <c:pt idx="7">
                  <c:v>59</c:v>
                </c:pt>
                <c:pt idx="8">
                  <c:v>59.5</c:v>
                </c:pt>
                <c:pt idx="9">
                  <c:v>60</c:v>
                </c:pt>
                <c:pt idx="10">
                  <c:v>60.5</c:v>
                </c:pt>
                <c:pt idx="11">
                  <c:v>61</c:v>
                </c:pt>
                <c:pt idx="12">
                  <c:v>61.5</c:v>
                </c:pt>
                <c:pt idx="13">
                  <c:v>62</c:v>
                </c:pt>
                <c:pt idx="14">
                  <c:v>62.5</c:v>
                </c:pt>
                <c:pt idx="15">
                  <c:v>63</c:v>
                </c:pt>
                <c:pt idx="16">
                  <c:v>63.5</c:v>
                </c:pt>
                <c:pt idx="17">
                  <c:v>64</c:v>
                </c:pt>
                <c:pt idx="18">
                  <c:v>64.5</c:v>
                </c:pt>
                <c:pt idx="19">
                  <c:v>65</c:v>
                </c:pt>
                <c:pt idx="20">
                  <c:v>65.5</c:v>
                </c:pt>
                <c:pt idx="21">
                  <c:v>66</c:v>
                </c:pt>
                <c:pt idx="22">
                  <c:v>66.5</c:v>
                </c:pt>
                <c:pt idx="23">
                  <c:v>67</c:v>
                </c:pt>
                <c:pt idx="24">
                  <c:v>67.5</c:v>
                </c:pt>
                <c:pt idx="25">
                  <c:v>68</c:v>
                </c:pt>
                <c:pt idx="26">
                  <c:v>68.5</c:v>
                </c:pt>
                <c:pt idx="27">
                  <c:v>69</c:v>
                </c:pt>
                <c:pt idx="28">
                  <c:v>69.5</c:v>
                </c:pt>
                <c:pt idx="29">
                  <c:v>70</c:v>
                </c:pt>
                <c:pt idx="30">
                  <c:v>70.5</c:v>
                </c:pt>
                <c:pt idx="31">
                  <c:v>71</c:v>
                </c:pt>
                <c:pt idx="32">
                  <c:v>71.5</c:v>
                </c:pt>
                <c:pt idx="33">
                  <c:v>72</c:v>
                </c:pt>
                <c:pt idx="34">
                  <c:v>72.5</c:v>
                </c:pt>
                <c:pt idx="35">
                  <c:v>73</c:v>
                </c:pt>
                <c:pt idx="36">
                  <c:v>73.5</c:v>
                </c:pt>
                <c:pt idx="37">
                  <c:v>74</c:v>
                </c:pt>
                <c:pt idx="38">
                  <c:v>74.5</c:v>
                </c:pt>
                <c:pt idx="39">
                  <c:v>75</c:v>
                </c:pt>
                <c:pt idx="40">
                  <c:v>75.5</c:v>
                </c:pt>
                <c:pt idx="41">
                  <c:v>76</c:v>
                </c:pt>
                <c:pt idx="42">
                  <c:v>76.5</c:v>
                </c:pt>
                <c:pt idx="43">
                  <c:v>77</c:v>
                </c:pt>
                <c:pt idx="44">
                  <c:v>77.5</c:v>
                </c:pt>
                <c:pt idx="45">
                  <c:v>78</c:v>
                </c:pt>
                <c:pt idx="46">
                  <c:v>78.5</c:v>
                </c:pt>
                <c:pt idx="47">
                  <c:v>79</c:v>
                </c:pt>
                <c:pt idx="48">
                  <c:v>79.5</c:v>
                </c:pt>
                <c:pt idx="49">
                  <c:v>80</c:v>
                </c:pt>
                <c:pt idx="50">
                  <c:v>80.5</c:v>
                </c:pt>
                <c:pt idx="51">
                  <c:v>81</c:v>
                </c:pt>
                <c:pt idx="52">
                  <c:v>81.5</c:v>
                </c:pt>
                <c:pt idx="53">
                  <c:v>82</c:v>
                </c:pt>
                <c:pt idx="54">
                  <c:v>82.5</c:v>
                </c:pt>
                <c:pt idx="55">
                  <c:v>83</c:v>
                </c:pt>
                <c:pt idx="56">
                  <c:v>83.5</c:v>
                </c:pt>
                <c:pt idx="57">
                  <c:v>84</c:v>
                </c:pt>
                <c:pt idx="58">
                  <c:v>84.5</c:v>
                </c:pt>
                <c:pt idx="59">
                  <c:v>85</c:v>
                </c:pt>
                <c:pt idx="60">
                  <c:v>85.5</c:v>
                </c:pt>
                <c:pt idx="61">
                  <c:v>86</c:v>
                </c:pt>
                <c:pt idx="62">
                  <c:v>86.5</c:v>
                </c:pt>
                <c:pt idx="63">
                  <c:v>87</c:v>
                </c:pt>
                <c:pt idx="64">
                  <c:v>87.5</c:v>
                </c:pt>
                <c:pt idx="65">
                  <c:v>88</c:v>
                </c:pt>
                <c:pt idx="66">
                  <c:v>88.5</c:v>
                </c:pt>
                <c:pt idx="67">
                  <c:v>89</c:v>
                </c:pt>
                <c:pt idx="68">
                  <c:v>89.5</c:v>
                </c:pt>
                <c:pt idx="69">
                  <c:v>90</c:v>
                </c:pt>
                <c:pt idx="70">
                  <c:v>90.5</c:v>
                </c:pt>
                <c:pt idx="71">
                  <c:v>91</c:v>
                </c:pt>
                <c:pt idx="72">
                  <c:v>91.5</c:v>
                </c:pt>
                <c:pt idx="73">
                  <c:v>92</c:v>
                </c:pt>
                <c:pt idx="74">
                  <c:v>92.5</c:v>
                </c:pt>
                <c:pt idx="75">
                  <c:v>93</c:v>
                </c:pt>
                <c:pt idx="76">
                  <c:v>93.5</c:v>
                </c:pt>
                <c:pt idx="77">
                  <c:v>94</c:v>
                </c:pt>
                <c:pt idx="78">
                  <c:v>94.5</c:v>
                </c:pt>
                <c:pt idx="79">
                  <c:v>95</c:v>
                </c:pt>
                <c:pt idx="80">
                  <c:v>95.5</c:v>
                </c:pt>
                <c:pt idx="81">
                  <c:v>96</c:v>
                </c:pt>
                <c:pt idx="82">
                  <c:v>96.5</c:v>
                </c:pt>
                <c:pt idx="83">
                  <c:v>97</c:v>
                </c:pt>
                <c:pt idx="84">
                  <c:v>97.5</c:v>
                </c:pt>
                <c:pt idx="85">
                  <c:v>98</c:v>
                </c:pt>
                <c:pt idx="86">
                  <c:v>98.5</c:v>
                </c:pt>
                <c:pt idx="87">
                  <c:v>99</c:v>
                </c:pt>
                <c:pt idx="88">
                  <c:v>99.5</c:v>
                </c:pt>
                <c:pt idx="89">
                  <c:v>100</c:v>
                </c:pt>
                <c:pt idx="90">
                  <c:v>100.5</c:v>
                </c:pt>
                <c:pt idx="91">
                  <c:v>101</c:v>
                </c:pt>
                <c:pt idx="92">
                  <c:v>101.5</c:v>
                </c:pt>
                <c:pt idx="93">
                  <c:v>102</c:v>
                </c:pt>
                <c:pt idx="94">
                  <c:v>102.5</c:v>
                </c:pt>
                <c:pt idx="95">
                  <c:v>103</c:v>
                </c:pt>
                <c:pt idx="96">
                  <c:v>103.5</c:v>
                </c:pt>
                <c:pt idx="97">
                  <c:v>104</c:v>
                </c:pt>
                <c:pt idx="98">
                  <c:v>104.5</c:v>
                </c:pt>
                <c:pt idx="99">
                  <c:v>105</c:v>
                </c:pt>
                <c:pt idx="100">
                  <c:v>105.5</c:v>
                </c:pt>
                <c:pt idx="101">
                  <c:v>106</c:v>
                </c:pt>
                <c:pt idx="102">
                  <c:v>106.5</c:v>
                </c:pt>
                <c:pt idx="103">
                  <c:v>107</c:v>
                </c:pt>
                <c:pt idx="104">
                  <c:v>107.5</c:v>
                </c:pt>
                <c:pt idx="105">
                  <c:v>108</c:v>
                </c:pt>
                <c:pt idx="106">
                  <c:v>108.5</c:v>
                </c:pt>
                <c:pt idx="107">
                  <c:v>109</c:v>
                </c:pt>
                <c:pt idx="108">
                  <c:v>109.5</c:v>
                </c:pt>
                <c:pt idx="109">
                  <c:v>110</c:v>
                </c:pt>
                <c:pt idx="110">
                  <c:v>110.5</c:v>
                </c:pt>
                <c:pt idx="111">
                  <c:v>111</c:v>
                </c:pt>
                <c:pt idx="112">
                  <c:v>111.5</c:v>
                </c:pt>
                <c:pt idx="113">
                  <c:v>112</c:v>
                </c:pt>
                <c:pt idx="114">
                  <c:v>112.5</c:v>
                </c:pt>
                <c:pt idx="115">
                  <c:v>113</c:v>
                </c:pt>
                <c:pt idx="116">
                  <c:v>113.5</c:v>
                </c:pt>
                <c:pt idx="117">
                  <c:v>114</c:v>
                </c:pt>
                <c:pt idx="118">
                  <c:v>114.5</c:v>
                </c:pt>
                <c:pt idx="119">
                  <c:v>115</c:v>
                </c:pt>
                <c:pt idx="120">
                  <c:v>115.5</c:v>
                </c:pt>
                <c:pt idx="121">
                  <c:v>116</c:v>
                </c:pt>
                <c:pt idx="122">
                  <c:v>116.5</c:v>
                </c:pt>
                <c:pt idx="123">
                  <c:v>117</c:v>
                </c:pt>
                <c:pt idx="124">
                  <c:v>117.5</c:v>
                </c:pt>
                <c:pt idx="125">
                  <c:v>118</c:v>
                </c:pt>
                <c:pt idx="126">
                  <c:v>118.5</c:v>
                </c:pt>
                <c:pt idx="127">
                  <c:v>119</c:v>
                </c:pt>
                <c:pt idx="128">
                  <c:v>119.5</c:v>
                </c:pt>
                <c:pt idx="129">
                  <c:v>120</c:v>
                </c:pt>
                <c:pt idx="130">
                  <c:v>120.5</c:v>
                </c:pt>
                <c:pt idx="131">
                  <c:v>121</c:v>
                </c:pt>
                <c:pt idx="132">
                  <c:v>121.5</c:v>
                </c:pt>
                <c:pt idx="133">
                  <c:v>122</c:v>
                </c:pt>
                <c:pt idx="134">
                  <c:v>122.5</c:v>
                </c:pt>
                <c:pt idx="135">
                  <c:v>123</c:v>
                </c:pt>
                <c:pt idx="136">
                  <c:v>123.5</c:v>
                </c:pt>
                <c:pt idx="137">
                  <c:v>124</c:v>
                </c:pt>
                <c:pt idx="138">
                  <c:v>124.5</c:v>
                </c:pt>
                <c:pt idx="139">
                  <c:v>125</c:v>
                </c:pt>
                <c:pt idx="140">
                  <c:v>125.5</c:v>
                </c:pt>
                <c:pt idx="141">
                  <c:v>126</c:v>
                </c:pt>
                <c:pt idx="142">
                  <c:v>126.5</c:v>
                </c:pt>
                <c:pt idx="143">
                  <c:v>127</c:v>
                </c:pt>
                <c:pt idx="144">
                  <c:v>127.5</c:v>
                </c:pt>
                <c:pt idx="145">
                  <c:v>128</c:v>
                </c:pt>
                <c:pt idx="146">
                  <c:v>128.5</c:v>
                </c:pt>
                <c:pt idx="147">
                  <c:v>129</c:v>
                </c:pt>
                <c:pt idx="148">
                  <c:v>129.5</c:v>
                </c:pt>
                <c:pt idx="149">
                  <c:v>130</c:v>
                </c:pt>
                <c:pt idx="150">
                  <c:v>130.5</c:v>
                </c:pt>
                <c:pt idx="151">
                  <c:v>131</c:v>
                </c:pt>
                <c:pt idx="152">
                  <c:v>131.5</c:v>
                </c:pt>
                <c:pt idx="153">
                  <c:v>132</c:v>
                </c:pt>
                <c:pt idx="154">
                  <c:v>132.5</c:v>
                </c:pt>
                <c:pt idx="155">
                  <c:v>133</c:v>
                </c:pt>
                <c:pt idx="156">
                  <c:v>133.5</c:v>
                </c:pt>
                <c:pt idx="157">
                  <c:v>134</c:v>
                </c:pt>
                <c:pt idx="158">
                  <c:v>134.5</c:v>
                </c:pt>
                <c:pt idx="159">
                  <c:v>135</c:v>
                </c:pt>
                <c:pt idx="160">
                  <c:v>135.5</c:v>
                </c:pt>
                <c:pt idx="161">
                  <c:v>136</c:v>
                </c:pt>
                <c:pt idx="162">
                  <c:v>136.5</c:v>
                </c:pt>
                <c:pt idx="163">
                  <c:v>137</c:v>
                </c:pt>
                <c:pt idx="164">
                  <c:v>137.5</c:v>
                </c:pt>
                <c:pt idx="165">
                  <c:v>138</c:v>
                </c:pt>
                <c:pt idx="166">
                  <c:v>138.5</c:v>
                </c:pt>
                <c:pt idx="167">
                  <c:v>139</c:v>
                </c:pt>
                <c:pt idx="168">
                  <c:v>139.5</c:v>
                </c:pt>
                <c:pt idx="169">
                  <c:v>140</c:v>
                </c:pt>
                <c:pt idx="170">
                  <c:v>140.5</c:v>
                </c:pt>
                <c:pt idx="171">
                  <c:v>141</c:v>
                </c:pt>
                <c:pt idx="172">
                  <c:v>141.5</c:v>
                </c:pt>
                <c:pt idx="173">
                  <c:v>142</c:v>
                </c:pt>
                <c:pt idx="174">
                  <c:v>142.5</c:v>
                </c:pt>
                <c:pt idx="175">
                  <c:v>143</c:v>
                </c:pt>
                <c:pt idx="176">
                  <c:v>143.5</c:v>
                </c:pt>
                <c:pt idx="177">
                  <c:v>144</c:v>
                </c:pt>
                <c:pt idx="178">
                  <c:v>144.5</c:v>
                </c:pt>
                <c:pt idx="179">
                  <c:v>145</c:v>
                </c:pt>
                <c:pt idx="180">
                  <c:v>145.5</c:v>
                </c:pt>
                <c:pt idx="181">
                  <c:v>146</c:v>
                </c:pt>
                <c:pt idx="182">
                  <c:v>146.5</c:v>
                </c:pt>
                <c:pt idx="183">
                  <c:v>147</c:v>
                </c:pt>
                <c:pt idx="184">
                  <c:v>147.5</c:v>
                </c:pt>
                <c:pt idx="185">
                  <c:v>148</c:v>
                </c:pt>
                <c:pt idx="186">
                  <c:v>148.5</c:v>
                </c:pt>
                <c:pt idx="187">
                  <c:v>149</c:v>
                </c:pt>
                <c:pt idx="188">
                  <c:v>149.5</c:v>
                </c:pt>
                <c:pt idx="189">
                  <c:v>150</c:v>
                </c:pt>
                <c:pt idx="190">
                  <c:v>150.5</c:v>
                </c:pt>
                <c:pt idx="191">
                  <c:v>151</c:v>
                </c:pt>
                <c:pt idx="192">
                  <c:v>151.5</c:v>
                </c:pt>
                <c:pt idx="193">
                  <c:v>152</c:v>
                </c:pt>
                <c:pt idx="194">
                  <c:v>152.5</c:v>
                </c:pt>
                <c:pt idx="195">
                  <c:v>153</c:v>
                </c:pt>
                <c:pt idx="196">
                  <c:v>153.5</c:v>
                </c:pt>
                <c:pt idx="197">
                  <c:v>154</c:v>
                </c:pt>
                <c:pt idx="198">
                  <c:v>154.5</c:v>
                </c:pt>
                <c:pt idx="199">
                  <c:v>155</c:v>
                </c:pt>
                <c:pt idx="200">
                  <c:v>155.5</c:v>
                </c:pt>
                <c:pt idx="201">
                  <c:v>156</c:v>
                </c:pt>
                <c:pt idx="202">
                  <c:v>156.5</c:v>
                </c:pt>
                <c:pt idx="203">
                  <c:v>157</c:v>
                </c:pt>
                <c:pt idx="204">
                  <c:v>157.5</c:v>
                </c:pt>
                <c:pt idx="205">
                  <c:v>158</c:v>
                </c:pt>
                <c:pt idx="206">
                  <c:v>158.5</c:v>
                </c:pt>
                <c:pt idx="207">
                  <c:v>159</c:v>
                </c:pt>
                <c:pt idx="208">
                  <c:v>159.5</c:v>
                </c:pt>
                <c:pt idx="209">
                  <c:v>160</c:v>
                </c:pt>
                <c:pt idx="210">
                  <c:v>160.5</c:v>
                </c:pt>
                <c:pt idx="211">
                  <c:v>161</c:v>
                </c:pt>
                <c:pt idx="212">
                  <c:v>161.5</c:v>
                </c:pt>
                <c:pt idx="213">
                  <c:v>162</c:v>
                </c:pt>
                <c:pt idx="214">
                  <c:v>162.5</c:v>
                </c:pt>
                <c:pt idx="215">
                  <c:v>163</c:v>
                </c:pt>
                <c:pt idx="216">
                  <c:v>163.5</c:v>
                </c:pt>
                <c:pt idx="217">
                  <c:v>164</c:v>
                </c:pt>
                <c:pt idx="218">
                  <c:v>164.5</c:v>
                </c:pt>
                <c:pt idx="219">
                  <c:v>165</c:v>
                </c:pt>
                <c:pt idx="220">
                  <c:v>165.5</c:v>
                </c:pt>
                <c:pt idx="221">
                  <c:v>166</c:v>
                </c:pt>
                <c:pt idx="222">
                  <c:v>166.5</c:v>
                </c:pt>
                <c:pt idx="223">
                  <c:v>167</c:v>
                </c:pt>
                <c:pt idx="224">
                  <c:v>167.5</c:v>
                </c:pt>
                <c:pt idx="225">
                  <c:v>168</c:v>
                </c:pt>
                <c:pt idx="226">
                  <c:v>168.5</c:v>
                </c:pt>
                <c:pt idx="227">
                  <c:v>169</c:v>
                </c:pt>
                <c:pt idx="228">
                  <c:v>169.5</c:v>
                </c:pt>
                <c:pt idx="229">
                  <c:v>170</c:v>
                </c:pt>
                <c:pt idx="230">
                  <c:v>170.5</c:v>
                </c:pt>
                <c:pt idx="231">
                  <c:v>171</c:v>
                </c:pt>
                <c:pt idx="232">
                  <c:v>171.5</c:v>
                </c:pt>
                <c:pt idx="233">
                  <c:v>172</c:v>
                </c:pt>
                <c:pt idx="234">
                  <c:v>172.5</c:v>
                </c:pt>
                <c:pt idx="235">
                  <c:v>173</c:v>
                </c:pt>
                <c:pt idx="236">
                  <c:v>173.5</c:v>
                </c:pt>
                <c:pt idx="237">
                  <c:v>174</c:v>
                </c:pt>
                <c:pt idx="238">
                  <c:v>174.5</c:v>
                </c:pt>
                <c:pt idx="239">
                  <c:v>175</c:v>
                </c:pt>
                <c:pt idx="240">
                  <c:v>175.5</c:v>
                </c:pt>
                <c:pt idx="241">
                  <c:v>176</c:v>
                </c:pt>
                <c:pt idx="242">
                  <c:v>176.5</c:v>
                </c:pt>
                <c:pt idx="243">
                  <c:v>177</c:v>
                </c:pt>
                <c:pt idx="244">
                  <c:v>177.5</c:v>
                </c:pt>
                <c:pt idx="245">
                  <c:v>178</c:v>
                </c:pt>
                <c:pt idx="246">
                  <c:v>178.5</c:v>
                </c:pt>
                <c:pt idx="247">
                  <c:v>179</c:v>
                </c:pt>
                <c:pt idx="248">
                  <c:v>179.5</c:v>
                </c:pt>
                <c:pt idx="249">
                  <c:v>180</c:v>
                </c:pt>
                <c:pt idx="250">
                  <c:v>180.5</c:v>
                </c:pt>
                <c:pt idx="251">
                  <c:v>181</c:v>
                </c:pt>
                <c:pt idx="252">
                  <c:v>181.5</c:v>
                </c:pt>
                <c:pt idx="253">
                  <c:v>182</c:v>
                </c:pt>
                <c:pt idx="254">
                  <c:v>182.5</c:v>
                </c:pt>
                <c:pt idx="255">
                  <c:v>183</c:v>
                </c:pt>
                <c:pt idx="256">
                  <c:v>183.5</c:v>
                </c:pt>
                <c:pt idx="257">
                  <c:v>184</c:v>
                </c:pt>
                <c:pt idx="258">
                  <c:v>184.5</c:v>
                </c:pt>
                <c:pt idx="259">
                  <c:v>185</c:v>
                </c:pt>
                <c:pt idx="260">
                  <c:v>185.5</c:v>
                </c:pt>
                <c:pt idx="261">
                  <c:v>186</c:v>
                </c:pt>
                <c:pt idx="262">
                  <c:v>186.5</c:v>
                </c:pt>
                <c:pt idx="263">
                  <c:v>187</c:v>
                </c:pt>
                <c:pt idx="264">
                  <c:v>187.5</c:v>
                </c:pt>
                <c:pt idx="265">
                  <c:v>188</c:v>
                </c:pt>
                <c:pt idx="266">
                  <c:v>188.5</c:v>
                </c:pt>
                <c:pt idx="267">
                  <c:v>189</c:v>
                </c:pt>
                <c:pt idx="268">
                  <c:v>189.5</c:v>
                </c:pt>
                <c:pt idx="269">
                  <c:v>190</c:v>
                </c:pt>
                <c:pt idx="270">
                  <c:v>190.5</c:v>
                </c:pt>
                <c:pt idx="271">
                  <c:v>191</c:v>
                </c:pt>
                <c:pt idx="272">
                  <c:v>191.5</c:v>
                </c:pt>
                <c:pt idx="273">
                  <c:v>192</c:v>
                </c:pt>
                <c:pt idx="274">
                  <c:v>192.5</c:v>
                </c:pt>
                <c:pt idx="275">
                  <c:v>193</c:v>
                </c:pt>
                <c:pt idx="276">
                  <c:v>193.5</c:v>
                </c:pt>
                <c:pt idx="277">
                  <c:v>194</c:v>
                </c:pt>
                <c:pt idx="278">
                  <c:v>194.5</c:v>
                </c:pt>
                <c:pt idx="279">
                  <c:v>195</c:v>
                </c:pt>
                <c:pt idx="280">
                  <c:v>195.5</c:v>
                </c:pt>
                <c:pt idx="281">
                  <c:v>196</c:v>
                </c:pt>
                <c:pt idx="282">
                  <c:v>196.5</c:v>
                </c:pt>
                <c:pt idx="283">
                  <c:v>197</c:v>
                </c:pt>
                <c:pt idx="284">
                  <c:v>197.5</c:v>
                </c:pt>
                <c:pt idx="285">
                  <c:v>198</c:v>
                </c:pt>
                <c:pt idx="286">
                  <c:v>198.5</c:v>
                </c:pt>
                <c:pt idx="287">
                  <c:v>199</c:v>
                </c:pt>
                <c:pt idx="288">
                  <c:v>199.5</c:v>
                </c:pt>
                <c:pt idx="289">
                  <c:v>200</c:v>
                </c:pt>
                <c:pt idx="290">
                  <c:v>200.5</c:v>
                </c:pt>
                <c:pt idx="291">
                  <c:v>201</c:v>
                </c:pt>
                <c:pt idx="292">
                  <c:v>201.5</c:v>
                </c:pt>
                <c:pt idx="293">
                  <c:v>202</c:v>
                </c:pt>
                <c:pt idx="294">
                  <c:v>202.5</c:v>
                </c:pt>
                <c:pt idx="295">
                  <c:v>203</c:v>
                </c:pt>
                <c:pt idx="296">
                  <c:v>203.5</c:v>
                </c:pt>
                <c:pt idx="297">
                  <c:v>204</c:v>
                </c:pt>
                <c:pt idx="298">
                  <c:v>204.5</c:v>
                </c:pt>
                <c:pt idx="299">
                  <c:v>205</c:v>
                </c:pt>
                <c:pt idx="300">
                  <c:v>205.5</c:v>
                </c:pt>
                <c:pt idx="301">
                  <c:v>206</c:v>
                </c:pt>
                <c:pt idx="302">
                  <c:v>206.5</c:v>
                </c:pt>
                <c:pt idx="303">
                  <c:v>207</c:v>
                </c:pt>
                <c:pt idx="304">
                  <c:v>207.5</c:v>
                </c:pt>
                <c:pt idx="305">
                  <c:v>208</c:v>
                </c:pt>
                <c:pt idx="306">
                  <c:v>208.5</c:v>
                </c:pt>
                <c:pt idx="307">
                  <c:v>209</c:v>
                </c:pt>
                <c:pt idx="308">
                  <c:v>209.5</c:v>
                </c:pt>
                <c:pt idx="309">
                  <c:v>210</c:v>
                </c:pt>
                <c:pt idx="310">
                  <c:v>210.5</c:v>
                </c:pt>
                <c:pt idx="311">
                  <c:v>211</c:v>
                </c:pt>
                <c:pt idx="312">
                  <c:v>211.5</c:v>
                </c:pt>
                <c:pt idx="313">
                  <c:v>212</c:v>
                </c:pt>
                <c:pt idx="314">
                  <c:v>212.5</c:v>
                </c:pt>
                <c:pt idx="315">
                  <c:v>213</c:v>
                </c:pt>
                <c:pt idx="316">
                  <c:v>213.5</c:v>
                </c:pt>
                <c:pt idx="317">
                  <c:v>214</c:v>
                </c:pt>
                <c:pt idx="318">
                  <c:v>214.5</c:v>
                </c:pt>
                <c:pt idx="319">
                  <c:v>215</c:v>
                </c:pt>
                <c:pt idx="320">
                  <c:v>215.5</c:v>
                </c:pt>
                <c:pt idx="321">
                  <c:v>216</c:v>
                </c:pt>
                <c:pt idx="322">
                  <c:v>216.5</c:v>
                </c:pt>
                <c:pt idx="323">
                  <c:v>217</c:v>
                </c:pt>
                <c:pt idx="324">
                  <c:v>217.5</c:v>
                </c:pt>
                <c:pt idx="325">
                  <c:v>218</c:v>
                </c:pt>
                <c:pt idx="326">
                  <c:v>218.5</c:v>
                </c:pt>
                <c:pt idx="327">
                  <c:v>219</c:v>
                </c:pt>
                <c:pt idx="328">
                  <c:v>219.5</c:v>
                </c:pt>
                <c:pt idx="329">
                  <c:v>220</c:v>
                </c:pt>
                <c:pt idx="330">
                  <c:v>220.5</c:v>
                </c:pt>
                <c:pt idx="331">
                  <c:v>221</c:v>
                </c:pt>
                <c:pt idx="332">
                  <c:v>221.5</c:v>
                </c:pt>
                <c:pt idx="333">
                  <c:v>222</c:v>
                </c:pt>
                <c:pt idx="334">
                  <c:v>222.5</c:v>
                </c:pt>
                <c:pt idx="335">
                  <c:v>223</c:v>
                </c:pt>
                <c:pt idx="336">
                  <c:v>223.5</c:v>
                </c:pt>
                <c:pt idx="337">
                  <c:v>224</c:v>
                </c:pt>
                <c:pt idx="338">
                  <c:v>224.5</c:v>
                </c:pt>
                <c:pt idx="339">
                  <c:v>225</c:v>
                </c:pt>
                <c:pt idx="340">
                  <c:v>225.5</c:v>
                </c:pt>
                <c:pt idx="341">
                  <c:v>226</c:v>
                </c:pt>
                <c:pt idx="342">
                  <c:v>226.5</c:v>
                </c:pt>
                <c:pt idx="343">
                  <c:v>227</c:v>
                </c:pt>
                <c:pt idx="344">
                  <c:v>227.5</c:v>
                </c:pt>
                <c:pt idx="345">
                  <c:v>228</c:v>
                </c:pt>
                <c:pt idx="346">
                  <c:v>228.5</c:v>
                </c:pt>
                <c:pt idx="347">
                  <c:v>229</c:v>
                </c:pt>
                <c:pt idx="348">
                  <c:v>229.5</c:v>
                </c:pt>
                <c:pt idx="349">
                  <c:v>230</c:v>
                </c:pt>
                <c:pt idx="350">
                  <c:v>230.5</c:v>
                </c:pt>
                <c:pt idx="351">
                  <c:v>231</c:v>
                </c:pt>
                <c:pt idx="352">
                  <c:v>231.5</c:v>
                </c:pt>
                <c:pt idx="353">
                  <c:v>232</c:v>
                </c:pt>
                <c:pt idx="354">
                  <c:v>232.5</c:v>
                </c:pt>
                <c:pt idx="355">
                  <c:v>233</c:v>
                </c:pt>
                <c:pt idx="356">
                  <c:v>233.5</c:v>
                </c:pt>
                <c:pt idx="357">
                  <c:v>234</c:v>
                </c:pt>
                <c:pt idx="358">
                  <c:v>234.5</c:v>
                </c:pt>
                <c:pt idx="359">
                  <c:v>235</c:v>
                </c:pt>
                <c:pt idx="360">
                  <c:v>235.5</c:v>
                </c:pt>
                <c:pt idx="361">
                  <c:v>236</c:v>
                </c:pt>
                <c:pt idx="362">
                  <c:v>236.5</c:v>
                </c:pt>
                <c:pt idx="363">
                  <c:v>237</c:v>
                </c:pt>
                <c:pt idx="364">
                  <c:v>237.5</c:v>
                </c:pt>
                <c:pt idx="365">
                  <c:v>238</c:v>
                </c:pt>
                <c:pt idx="366">
                  <c:v>238.5</c:v>
                </c:pt>
                <c:pt idx="367">
                  <c:v>239</c:v>
                </c:pt>
                <c:pt idx="368">
                  <c:v>239.5</c:v>
                </c:pt>
                <c:pt idx="369">
                  <c:v>240</c:v>
                </c:pt>
                <c:pt idx="370">
                  <c:v>240.5</c:v>
                </c:pt>
                <c:pt idx="371">
                  <c:v>241</c:v>
                </c:pt>
                <c:pt idx="372">
                  <c:v>241.5</c:v>
                </c:pt>
                <c:pt idx="373">
                  <c:v>242</c:v>
                </c:pt>
                <c:pt idx="374">
                  <c:v>242.5</c:v>
                </c:pt>
                <c:pt idx="375">
                  <c:v>243</c:v>
                </c:pt>
                <c:pt idx="376">
                  <c:v>243.5</c:v>
                </c:pt>
                <c:pt idx="377">
                  <c:v>244</c:v>
                </c:pt>
                <c:pt idx="378">
                  <c:v>244.5</c:v>
                </c:pt>
                <c:pt idx="379">
                  <c:v>245</c:v>
                </c:pt>
                <c:pt idx="380">
                  <c:v>245.5</c:v>
                </c:pt>
                <c:pt idx="381">
                  <c:v>246</c:v>
                </c:pt>
                <c:pt idx="382">
                  <c:v>246.5</c:v>
                </c:pt>
                <c:pt idx="383">
                  <c:v>247</c:v>
                </c:pt>
                <c:pt idx="384">
                  <c:v>247.5</c:v>
                </c:pt>
                <c:pt idx="385">
                  <c:v>248</c:v>
                </c:pt>
                <c:pt idx="386">
                  <c:v>248.5</c:v>
                </c:pt>
                <c:pt idx="387">
                  <c:v>249</c:v>
                </c:pt>
                <c:pt idx="388">
                  <c:v>249.5</c:v>
                </c:pt>
                <c:pt idx="389">
                  <c:v>250</c:v>
                </c:pt>
                <c:pt idx="390">
                  <c:v>250.5</c:v>
                </c:pt>
                <c:pt idx="391">
                  <c:v>251</c:v>
                </c:pt>
                <c:pt idx="392">
                  <c:v>251.5</c:v>
                </c:pt>
                <c:pt idx="393">
                  <c:v>252</c:v>
                </c:pt>
                <c:pt idx="394">
                  <c:v>252.5</c:v>
                </c:pt>
                <c:pt idx="395">
                  <c:v>253</c:v>
                </c:pt>
                <c:pt idx="396">
                  <c:v>253.5</c:v>
                </c:pt>
                <c:pt idx="397">
                  <c:v>254</c:v>
                </c:pt>
                <c:pt idx="398">
                  <c:v>254.5</c:v>
                </c:pt>
                <c:pt idx="399">
                  <c:v>255</c:v>
                </c:pt>
                <c:pt idx="400">
                  <c:v>255.5</c:v>
                </c:pt>
                <c:pt idx="401">
                  <c:v>256</c:v>
                </c:pt>
                <c:pt idx="402">
                  <c:v>256.5</c:v>
                </c:pt>
                <c:pt idx="403">
                  <c:v>257</c:v>
                </c:pt>
                <c:pt idx="404">
                  <c:v>257.5</c:v>
                </c:pt>
                <c:pt idx="405">
                  <c:v>258</c:v>
                </c:pt>
                <c:pt idx="406">
                  <c:v>258.5</c:v>
                </c:pt>
                <c:pt idx="407">
                  <c:v>259</c:v>
                </c:pt>
                <c:pt idx="408">
                  <c:v>259.5</c:v>
                </c:pt>
                <c:pt idx="409">
                  <c:v>260</c:v>
                </c:pt>
                <c:pt idx="410">
                  <c:v>260.5</c:v>
                </c:pt>
                <c:pt idx="411">
                  <c:v>261</c:v>
                </c:pt>
                <c:pt idx="412">
                  <c:v>261.5</c:v>
                </c:pt>
                <c:pt idx="413">
                  <c:v>262</c:v>
                </c:pt>
                <c:pt idx="414">
                  <c:v>262.5</c:v>
                </c:pt>
                <c:pt idx="415">
                  <c:v>263</c:v>
                </c:pt>
                <c:pt idx="416">
                  <c:v>263.5</c:v>
                </c:pt>
                <c:pt idx="417">
                  <c:v>264</c:v>
                </c:pt>
                <c:pt idx="418">
                  <c:v>264.5</c:v>
                </c:pt>
                <c:pt idx="419">
                  <c:v>265</c:v>
                </c:pt>
                <c:pt idx="420">
                  <c:v>265.5</c:v>
                </c:pt>
                <c:pt idx="421">
                  <c:v>266</c:v>
                </c:pt>
                <c:pt idx="422">
                  <c:v>266.5</c:v>
                </c:pt>
                <c:pt idx="423">
                  <c:v>267</c:v>
                </c:pt>
                <c:pt idx="424">
                  <c:v>267.5</c:v>
                </c:pt>
                <c:pt idx="425">
                  <c:v>268</c:v>
                </c:pt>
                <c:pt idx="426">
                  <c:v>268.5</c:v>
                </c:pt>
                <c:pt idx="427">
                  <c:v>269</c:v>
                </c:pt>
                <c:pt idx="428">
                  <c:v>269.5</c:v>
                </c:pt>
                <c:pt idx="429">
                  <c:v>270</c:v>
                </c:pt>
                <c:pt idx="430">
                  <c:v>270.5</c:v>
                </c:pt>
                <c:pt idx="431">
                  <c:v>271</c:v>
                </c:pt>
                <c:pt idx="432">
                  <c:v>271.5</c:v>
                </c:pt>
                <c:pt idx="433">
                  <c:v>272</c:v>
                </c:pt>
                <c:pt idx="434">
                  <c:v>272.5</c:v>
                </c:pt>
                <c:pt idx="435">
                  <c:v>273</c:v>
                </c:pt>
                <c:pt idx="436">
                  <c:v>273.5</c:v>
                </c:pt>
                <c:pt idx="437">
                  <c:v>274</c:v>
                </c:pt>
                <c:pt idx="438">
                  <c:v>274.5</c:v>
                </c:pt>
                <c:pt idx="439">
                  <c:v>275</c:v>
                </c:pt>
                <c:pt idx="440">
                  <c:v>275.5</c:v>
                </c:pt>
                <c:pt idx="441">
                  <c:v>276</c:v>
                </c:pt>
                <c:pt idx="442">
                  <c:v>276.5</c:v>
                </c:pt>
                <c:pt idx="443">
                  <c:v>277</c:v>
                </c:pt>
                <c:pt idx="444">
                  <c:v>277.5</c:v>
                </c:pt>
                <c:pt idx="445">
                  <c:v>278</c:v>
                </c:pt>
                <c:pt idx="446">
                  <c:v>278.5</c:v>
                </c:pt>
                <c:pt idx="447">
                  <c:v>279</c:v>
                </c:pt>
                <c:pt idx="448">
                  <c:v>279.5</c:v>
                </c:pt>
                <c:pt idx="449">
                  <c:v>280</c:v>
                </c:pt>
                <c:pt idx="450">
                  <c:v>280.5</c:v>
                </c:pt>
                <c:pt idx="451">
                  <c:v>281</c:v>
                </c:pt>
                <c:pt idx="452">
                  <c:v>281.5</c:v>
                </c:pt>
                <c:pt idx="453">
                  <c:v>282</c:v>
                </c:pt>
                <c:pt idx="454">
                  <c:v>282.5</c:v>
                </c:pt>
                <c:pt idx="455">
                  <c:v>283</c:v>
                </c:pt>
                <c:pt idx="456">
                  <c:v>283.5</c:v>
                </c:pt>
                <c:pt idx="457">
                  <c:v>284</c:v>
                </c:pt>
                <c:pt idx="458">
                  <c:v>284.5</c:v>
                </c:pt>
                <c:pt idx="459">
                  <c:v>285</c:v>
                </c:pt>
                <c:pt idx="460">
                  <c:v>285.5</c:v>
                </c:pt>
                <c:pt idx="461">
                  <c:v>286</c:v>
                </c:pt>
                <c:pt idx="462">
                  <c:v>286.5</c:v>
                </c:pt>
                <c:pt idx="463">
                  <c:v>287</c:v>
                </c:pt>
                <c:pt idx="464">
                  <c:v>287.5</c:v>
                </c:pt>
                <c:pt idx="465">
                  <c:v>288</c:v>
                </c:pt>
                <c:pt idx="466">
                  <c:v>288.5</c:v>
                </c:pt>
                <c:pt idx="467">
                  <c:v>289</c:v>
                </c:pt>
                <c:pt idx="468">
                  <c:v>289.5</c:v>
                </c:pt>
                <c:pt idx="469">
                  <c:v>290</c:v>
                </c:pt>
                <c:pt idx="470">
                  <c:v>290.5</c:v>
                </c:pt>
                <c:pt idx="471">
                  <c:v>291</c:v>
                </c:pt>
                <c:pt idx="472">
                  <c:v>291.5</c:v>
                </c:pt>
                <c:pt idx="473">
                  <c:v>292</c:v>
                </c:pt>
                <c:pt idx="474">
                  <c:v>292.5</c:v>
                </c:pt>
                <c:pt idx="475">
                  <c:v>293</c:v>
                </c:pt>
                <c:pt idx="476">
                  <c:v>293.5</c:v>
                </c:pt>
                <c:pt idx="477">
                  <c:v>294</c:v>
                </c:pt>
                <c:pt idx="478">
                  <c:v>294.5</c:v>
                </c:pt>
                <c:pt idx="479">
                  <c:v>295</c:v>
                </c:pt>
              </c:numCache>
            </c:numRef>
          </c:cat>
          <c:val>
            <c:numRef>
              <c:f>'225C (Odin)'!$D$151:$D$630</c:f>
              <c:numCache>
                <c:formatCode>0.00000</c:formatCode>
                <c:ptCount val="480"/>
                <c:pt idx="0">
                  <c:v>100.07581999999999</c:v>
                </c:pt>
                <c:pt idx="1">
                  <c:v>99.771339999999995</c:v>
                </c:pt>
                <c:pt idx="2">
                  <c:v>100.08382</c:v>
                </c:pt>
                <c:pt idx="3">
                  <c:v>100.08121</c:v>
                </c:pt>
                <c:pt idx="4">
                  <c:v>100.06466</c:v>
                </c:pt>
                <c:pt idx="5">
                  <c:v>100.14502</c:v>
                </c:pt>
                <c:pt idx="6">
                  <c:v>100.17519</c:v>
                </c:pt>
                <c:pt idx="7">
                  <c:v>100.1371</c:v>
                </c:pt>
                <c:pt idx="8">
                  <c:v>100.13039999999999</c:v>
                </c:pt>
                <c:pt idx="9">
                  <c:v>100.24339000000001</c:v>
                </c:pt>
                <c:pt idx="10">
                  <c:v>99.962789999999998</c:v>
                </c:pt>
                <c:pt idx="11">
                  <c:v>100.04909000000001</c:v>
                </c:pt>
                <c:pt idx="12">
                  <c:v>100.13445</c:v>
                </c:pt>
                <c:pt idx="13">
                  <c:v>100.00054</c:v>
                </c:pt>
                <c:pt idx="14">
                  <c:v>100.19450000000001</c:v>
                </c:pt>
                <c:pt idx="15">
                  <c:v>100.10457</c:v>
                </c:pt>
                <c:pt idx="16">
                  <c:v>99.995819999999995</c:v>
                </c:pt>
                <c:pt idx="17">
                  <c:v>99.978070000000002</c:v>
                </c:pt>
                <c:pt idx="18">
                  <c:v>100.00991999999999</c:v>
                </c:pt>
                <c:pt idx="19">
                  <c:v>99.967010000000002</c:v>
                </c:pt>
                <c:pt idx="20">
                  <c:v>100.15365</c:v>
                </c:pt>
                <c:pt idx="21">
                  <c:v>100.02082</c:v>
                </c:pt>
                <c:pt idx="22">
                  <c:v>99.988169999999997</c:v>
                </c:pt>
                <c:pt idx="23">
                  <c:v>100.19926</c:v>
                </c:pt>
                <c:pt idx="24">
                  <c:v>100.10898</c:v>
                </c:pt>
                <c:pt idx="25">
                  <c:v>99.999369999999999</c:v>
                </c:pt>
                <c:pt idx="26">
                  <c:v>99.898430000000005</c:v>
                </c:pt>
                <c:pt idx="27">
                  <c:v>100.0784</c:v>
                </c:pt>
                <c:pt idx="28">
                  <c:v>100.06959999999999</c:v>
                </c:pt>
                <c:pt idx="29">
                  <c:v>99.837159999999997</c:v>
                </c:pt>
                <c:pt idx="30">
                  <c:v>99.973200000000006</c:v>
                </c:pt>
                <c:pt idx="31">
                  <c:v>100.10295000000001</c:v>
                </c:pt>
                <c:pt idx="32">
                  <c:v>100.08857999999999</c:v>
                </c:pt>
                <c:pt idx="33">
                  <c:v>100.10449</c:v>
                </c:pt>
                <c:pt idx="34">
                  <c:v>100.08759000000001</c:v>
                </c:pt>
                <c:pt idx="35">
                  <c:v>99.920680000000004</c:v>
                </c:pt>
                <c:pt idx="36">
                  <c:v>100.16233</c:v>
                </c:pt>
                <c:pt idx="37">
                  <c:v>99.995320000000007</c:v>
                </c:pt>
                <c:pt idx="38">
                  <c:v>100.10939999999999</c:v>
                </c:pt>
                <c:pt idx="39">
                  <c:v>99.941339999999997</c:v>
                </c:pt>
                <c:pt idx="40">
                  <c:v>99.954300000000003</c:v>
                </c:pt>
                <c:pt idx="41">
                  <c:v>100.02202</c:v>
                </c:pt>
                <c:pt idx="42">
                  <c:v>99.902969999999996</c:v>
                </c:pt>
                <c:pt idx="43">
                  <c:v>100.00346999999999</c:v>
                </c:pt>
                <c:pt idx="44">
                  <c:v>99.936710000000005</c:v>
                </c:pt>
                <c:pt idx="45">
                  <c:v>100.06253</c:v>
                </c:pt>
                <c:pt idx="46">
                  <c:v>100.00153</c:v>
                </c:pt>
                <c:pt idx="47">
                  <c:v>99.864369999999994</c:v>
                </c:pt>
                <c:pt idx="48">
                  <c:v>100.01871</c:v>
                </c:pt>
                <c:pt idx="49">
                  <c:v>99.876670000000004</c:v>
                </c:pt>
                <c:pt idx="50">
                  <c:v>99.749499999999998</c:v>
                </c:pt>
                <c:pt idx="51">
                  <c:v>99.910790000000006</c:v>
                </c:pt>
                <c:pt idx="52">
                  <c:v>99.902320000000003</c:v>
                </c:pt>
                <c:pt idx="53">
                  <c:v>99.920879999999997</c:v>
                </c:pt>
                <c:pt idx="54">
                  <c:v>99.913679999999999</c:v>
                </c:pt>
                <c:pt idx="55">
                  <c:v>99.866079999999997</c:v>
                </c:pt>
                <c:pt idx="56">
                  <c:v>99.925439999999995</c:v>
                </c:pt>
                <c:pt idx="57">
                  <c:v>99.849909999999994</c:v>
                </c:pt>
                <c:pt idx="58">
                  <c:v>99.862769999999998</c:v>
                </c:pt>
                <c:pt idx="59">
                  <c:v>99.927030000000002</c:v>
                </c:pt>
                <c:pt idx="60">
                  <c:v>99.862380000000002</c:v>
                </c:pt>
                <c:pt idx="61">
                  <c:v>99.980620000000002</c:v>
                </c:pt>
                <c:pt idx="62">
                  <c:v>99.884050000000002</c:v>
                </c:pt>
                <c:pt idx="63">
                  <c:v>99.848780000000005</c:v>
                </c:pt>
                <c:pt idx="64">
                  <c:v>99.963669999999993</c:v>
                </c:pt>
                <c:pt idx="65">
                  <c:v>99.986109999999996</c:v>
                </c:pt>
                <c:pt idx="66">
                  <c:v>99.779650000000004</c:v>
                </c:pt>
                <c:pt idx="67">
                  <c:v>99.953159999999997</c:v>
                </c:pt>
                <c:pt idx="68">
                  <c:v>99.880210000000005</c:v>
                </c:pt>
                <c:pt idx="69">
                  <c:v>99.874499999999998</c:v>
                </c:pt>
                <c:pt idx="70">
                  <c:v>99.81559</c:v>
                </c:pt>
                <c:pt idx="71">
                  <c:v>99.755809999999997</c:v>
                </c:pt>
                <c:pt idx="72">
                  <c:v>99.935360000000003</c:v>
                </c:pt>
                <c:pt idx="73">
                  <c:v>99.860749999999996</c:v>
                </c:pt>
                <c:pt idx="74">
                  <c:v>99.799499999999995</c:v>
                </c:pt>
                <c:pt idx="75">
                  <c:v>99.830590000000001</c:v>
                </c:pt>
                <c:pt idx="76">
                  <c:v>99.752219999999994</c:v>
                </c:pt>
                <c:pt idx="77">
                  <c:v>99.794359999999998</c:v>
                </c:pt>
                <c:pt idx="78">
                  <c:v>99.851420000000005</c:v>
                </c:pt>
                <c:pt idx="79">
                  <c:v>99.749399999999994</c:v>
                </c:pt>
                <c:pt idx="80">
                  <c:v>99.855860000000007</c:v>
                </c:pt>
                <c:pt idx="81">
                  <c:v>99.724140000000006</c:v>
                </c:pt>
                <c:pt idx="82">
                  <c:v>99.664060000000006</c:v>
                </c:pt>
                <c:pt idx="83">
                  <c:v>99.655559999999994</c:v>
                </c:pt>
                <c:pt idx="84">
                  <c:v>99.542609999999996</c:v>
                </c:pt>
                <c:pt idx="85">
                  <c:v>99.834940000000003</c:v>
                </c:pt>
                <c:pt idx="86">
                  <c:v>99.726609999999994</c:v>
                </c:pt>
                <c:pt idx="87">
                  <c:v>99.767510000000001</c:v>
                </c:pt>
                <c:pt idx="88">
                  <c:v>99.645669999999996</c:v>
                </c:pt>
                <c:pt idx="89">
                  <c:v>99.782790000000006</c:v>
                </c:pt>
                <c:pt idx="90">
                  <c:v>99.709569999999999</c:v>
                </c:pt>
                <c:pt idx="91">
                  <c:v>99.798230000000004</c:v>
                </c:pt>
                <c:pt idx="92">
                  <c:v>99.735060000000004</c:v>
                </c:pt>
                <c:pt idx="93">
                  <c:v>99.764340000000004</c:v>
                </c:pt>
                <c:pt idx="94">
                  <c:v>99.726209999999995</c:v>
                </c:pt>
                <c:pt idx="95">
                  <c:v>99.734390000000005</c:v>
                </c:pt>
                <c:pt idx="96">
                  <c:v>99.786169999999998</c:v>
                </c:pt>
                <c:pt idx="97">
                  <c:v>99.618819999999999</c:v>
                </c:pt>
                <c:pt idx="98">
                  <c:v>99.694879999999998</c:v>
                </c:pt>
                <c:pt idx="99">
                  <c:v>99.741659999999996</c:v>
                </c:pt>
                <c:pt idx="100">
                  <c:v>99.765860000000004</c:v>
                </c:pt>
                <c:pt idx="101">
                  <c:v>99.630129999999994</c:v>
                </c:pt>
                <c:pt idx="102">
                  <c:v>99.603560000000002</c:v>
                </c:pt>
                <c:pt idx="103">
                  <c:v>99.705330000000004</c:v>
                </c:pt>
                <c:pt idx="104">
                  <c:v>99.628960000000006</c:v>
                </c:pt>
                <c:pt idx="105">
                  <c:v>99.676240000000007</c:v>
                </c:pt>
                <c:pt idx="106">
                  <c:v>99.664349999999999</c:v>
                </c:pt>
                <c:pt idx="107">
                  <c:v>99.655600000000007</c:v>
                </c:pt>
                <c:pt idx="108">
                  <c:v>99.707700000000003</c:v>
                </c:pt>
                <c:pt idx="109">
                  <c:v>99.602339999999998</c:v>
                </c:pt>
                <c:pt idx="110">
                  <c:v>99.733069999999998</c:v>
                </c:pt>
                <c:pt idx="111">
                  <c:v>99.664810000000003</c:v>
                </c:pt>
                <c:pt idx="112">
                  <c:v>99.625659999999996</c:v>
                </c:pt>
                <c:pt idx="113">
                  <c:v>99.484949999999998</c:v>
                </c:pt>
                <c:pt idx="114">
                  <c:v>99.651669999999996</c:v>
                </c:pt>
                <c:pt idx="115">
                  <c:v>99.762540000000001</c:v>
                </c:pt>
                <c:pt idx="116">
                  <c:v>99.634219999999999</c:v>
                </c:pt>
                <c:pt idx="117">
                  <c:v>99.571849999999998</c:v>
                </c:pt>
                <c:pt idx="118">
                  <c:v>99.615579999999994</c:v>
                </c:pt>
                <c:pt idx="119">
                  <c:v>99.516080000000002</c:v>
                </c:pt>
                <c:pt idx="120">
                  <c:v>99.658529999999999</c:v>
                </c:pt>
                <c:pt idx="121">
                  <c:v>99.597909999999999</c:v>
                </c:pt>
                <c:pt idx="122">
                  <c:v>99.587350000000001</c:v>
                </c:pt>
                <c:pt idx="123">
                  <c:v>99.558090000000007</c:v>
                </c:pt>
                <c:pt idx="124">
                  <c:v>99.526539999999997</c:v>
                </c:pt>
                <c:pt idx="125">
                  <c:v>99.617130000000003</c:v>
                </c:pt>
                <c:pt idx="126">
                  <c:v>99.375169999999997</c:v>
                </c:pt>
                <c:pt idx="127">
                  <c:v>99.544349999999994</c:v>
                </c:pt>
                <c:pt idx="128">
                  <c:v>99.630939999999995</c:v>
                </c:pt>
                <c:pt idx="129">
                  <c:v>99.572289999999995</c:v>
                </c:pt>
                <c:pt idx="130">
                  <c:v>99.623900000000006</c:v>
                </c:pt>
                <c:pt idx="131">
                  <c:v>99.562709999999996</c:v>
                </c:pt>
                <c:pt idx="132">
                  <c:v>99.615719999999996</c:v>
                </c:pt>
                <c:pt idx="133">
                  <c:v>99.721909999999994</c:v>
                </c:pt>
                <c:pt idx="134">
                  <c:v>99.540430000000001</c:v>
                </c:pt>
                <c:pt idx="135">
                  <c:v>99.615790000000004</c:v>
                </c:pt>
                <c:pt idx="136">
                  <c:v>99.434950000000001</c:v>
                </c:pt>
                <c:pt idx="137">
                  <c:v>99.446349999999995</c:v>
                </c:pt>
                <c:pt idx="138">
                  <c:v>99.515110000000007</c:v>
                </c:pt>
                <c:pt idx="139">
                  <c:v>99.469930000000005</c:v>
                </c:pt>
                <c:pt idx="140">
                  <c:v>99.447519999999997</c:v>
                </c:pt>
                <c:pt idx="141">
                  <c:v>99.542119999999997</c:v>
                </c:pt>
                <c:pt idx="142">
                  <c:v>99.476879999999994</c:v>
                </c:pt>
                <c:pt idx="143">
                  <c:v>99.410889999999995</c:v>
                </c:pt>
                <c:pt idx="144">
                  <c:v>99.469939999999994</c:v>
                </c:pt>
                <c:pt idx="145">
                  <c:v>99.451250000000002</c:v>
                </c:pt>
                <c:pt idx="146">
                  <c:v>99.51491</c:v>
                </c:pt>
                <c:pt idx="147">
                  <c:v>99.534210000000002</c:v>
                </c:pt>
                <c:pt idx="148">
                  <c:v>99.519840000000002</c:v>
                </c:pt>
                <c:pt idx="149">
                  <c:v>99.363380000000006</c:v>
                </c:pt>
                <c:pt idx="150">
                  <c:v>99.538809999999998</c:v>
                </c:pt>
                <c:pt idx="151">
                  <c:v>99.460589999999996</c:v>
                </c:pt>
                <c:pt idx="152">
                  <c:v>99.521960000000007</c:v>
                </c:pt>
                <c:pt idx="153">
                  <c:v>99.483900000000006</c:v>
                </c:pt>
                <c:pt idx="154">
                  <c:v>99.385390000000001</c:v>
                </c:pt>
                <c:pt idx="155">
                  <c:v>99.464770000000001</c:v>
                </c:pt>
                <c:pt idx="156">
                  <c:v>99.418689999999998</c:v>
                </c:pt>
                <c:pt idx="157">
                  <c:v>99.371020000000001</c:v>
                </c:pt>
                <c:pt idx="158">
                  <c:v>99.397800000000004</c:v>
                </c:pt>
                <c:pt idx="159">
                  <c:v>99.3566</c:v>
                </c:pt>
                <c:pt idx="160">
                  <c:v>99.412239999999997</c:v>
                </c:pt>
                <c:pt idx="161">
                  <c:v>99.368610000000004</c:v>
                </c:pt>
                <c:pt idx="162">
                  <c:v>99.372820000000004</c:v>
                </c:pt>
                <c:pt idx="163">
                  <c:v>99.382350000000002</c:v>
                </c:pt>
                <c:pt idx="164">
                  <c:v>99.48357</c:v>
                </c:pt>
                <c:pt idx="165">
                  <c:v>99.416759999999996</c:v>
                </c:pt>
                <c:pt idx="166">
                  <c:v>99.383600000000001</c:v>
                </c:pt>
                <c:pt idx="167">
                  <c:v>99.487759999999994</c:v>
                </c:pt>
                <c:pt idx="168">
                  <c:v>99.438919999999996</c:v>
                </c:pt>
                <c:pt idx="169">
                  <c:v>99.331019999999995</c:v>
                </c:pt>
                <c:pt idx="170">
                  <c:v>99.385329999999996</c:v>
                </c:pt>
                <c:pt idx="171">
                  <c:v>99.359639999999999</c:v>
                </c:pt>
                <c:pt idx="172">
                  <c:v>99.354089999999999</c:v>
                </c:pt>
                <c:pt idx="173">
                  <c:v>99.502669999999995</c:v>
                </c:pt>
                <c:pt idx="174">
                  <c:v>99.40204</c:v>
                </c:pt>
                <c:pt idx="175">
                  <c:v>99.421379999999999</c:v>
                </c:pt>
                <c:pt idx="176">
                  <c:v>99.324579999999997</c:v>
                </c:pt>
                <c:pt idx="177">
                  <c:v>99.413349999999994</c:v>
                </c:pt>
                <c:pt idx="178">
                  <c:v>99.350009999999997</c:v>
                </c:pt>
                <c:pt idx="179">
                  <c:v>99.318600000000004</c:v>
                </c:pt>
                <c:pt idx="180">
                  <c:v>99.305350000000004</c:v>
                </c:pt>
                <c:pt idx="181">
                  <c:v>99.242750000000001</c:v>
                </c:pt>
                <c:pt idx="182">
                  <c:v>99.202079999999995</c:v>
                </c:pt>
                <c:pt idx="183">
                  <c:v>99.316400000000002</c:v>
                </c:pt>
                <c:pt idx="184">
                  <c:v>99.314329999999998</c:v>
                </c:pt>
                <c:pt idx="185">
                  <c:v>99.381919999999994</c:v>
                </c:pt>
                <c:pt idx="186">
                  <c:v>99.419250000000005</c:v>
                </c:pt>
                <c:pt idx="187">
                  <c:v>99.346339999999998</c:v>
                </c:pt>
                <c:pt idx="188">
                  <c:v>99.310699999999997</c:v>
                </c:pt>
                <c:pt idx="189">
                  <c:v>99.344530000000006</c:v>
                </c:pt>
                <c:pt idx="190">
                  <c:v>99.259979999999999</c:v>
                </c:pt>
                <c:pt idx="191">
                  <c:v>99.293229999999994</c:v>
                </c:pt>
                <c:pt idx="192">
                  <c:v>99.295540000000003</c:v>
                </c:pt>
                <c:pt idx="193">
                  <c:v>99.2714</c:v>
                </c:pt>
                <c:pt idx="194">
                  <c:v>99.246960000000001</c:v>
                </c:pt>
                <c:pt idx="195">
                  <c:v>99.218710000000002</c:v>
                </c:pt>
                <c:pt idx="196">
                  <c:v>99.156700000000001</c:v>
                </c:pt>
                <c:pt idx="197">
                  <c:v>99.202039999999997</c:v>
                </c:pt>
                <c:pt idx="198">
                  <c:v>99.186539999999994</c:v>
                </c:pt>
                <c:pt idx="199">
                  <c:v>99.194280000000006</c:v>
                </c:pt>
                <c:pt idx="200">
                  <c:v>99.145939999999996</c:v>
                </c:pt>
                <c:pt idx="201">
                  <c:v>99.338440000000006</c:v>
                </c:pt>
                <c:pt idx="202">
                  <c:v>99.214089999999999</c:v>
                </c:pt>
                <c:pt idx="203">
                  <c:v>99.192920000000001</c:v>
                </c:pt>
                <c:pt idx="204">
                  <c:v>99.279709999999994</c:v>
                </c:pt>
                <c:pt idx="205">
                  <c:v>99.286060000000006</c:v>
                </c:pt>
                <c:pt idx="206">
                  <c:v>99.259309999999999</c:v>
                </c:pt>
                <c:pt idx="207">
                  <c:v>99.219740000000002</c:v>
                </c:pt>
                <c:pt idx="208">
                  <c:v>99.312479999999994</c:v>
                </c:pt>
                <c:pt idx="209">
                  <c:v>99.171400000000006</c:v>
                </c:pt>
                <c:pt idx="210">
                  <c:v>99.128159999999994</c:v>
                </c:pt>
                <c:pt idx="211">
                  <c:v>99.193049999999999</c:v>
                </c:pt>
                <c:pt idx="212">
                  <c:v>99.320419999999999</c:v>
                </c:pt>
                <c:pt idx="213">
                  <c:v>99.129189999999994</c:v>
                </c:pt>
                <c:pt idx="214">
                  <c:v>99.152690000000007</c:v>
                </c:pt>
                <c:pt idx="215">
                  <c:v>99.056439999999995</c:v>
                </c:pt>
                <c:pt idx="216">
                  <c:v>99.084249999999997</c:v>
                </c:pt>
                <c:pt idx="217">
                  <c:v>99.196100000000001</c:v>
                </c:pt>
                <c:pt idx="218">
                  <c:v>99.170599999999993</c:v>
                </c:pt>
                <c:pt idx="219">
                  <c:v>99.137410000000003</c:v>
                </c:pt>
                <c:pt idx="220">
                  <c:v>99.106210000000004</c:v>
                </c:pt>
                <c:pt idx="221">
                  <c:v>99.161100000000005</c:v>
                </c:pt>
                <c:pt idx="222">
                  <c:v>99.180250000000001</c:v>
                </c:pt>
                <c:pt idx="223">
                  <c:v>99.176810000000003</c:v>
                </c:pt>
                <c:pt idx="224">
                  <c:v>99.120090000000005</c:v>
                </c:pt>
                <c:pt idx="225">
                  <c:v>99.138249999999999</c:v>
                </c:pt>
                <c:pt idx="226">
                  <c:v>99.208699999999993</c:v>
                </c:pt>
                <c:pt idx="227">
                  <c:v>99.124870000000001</c:v>
                </c:pt>
                <c:pt idx="228">
                  <c:v>99.094080000000005</c:v>
                </c:pt>
                <c:pt idx="229">
                  <c:v>99.109840000000005</c:v>
                </c:pt>
                <c:pt idx="230">
                  <c:v>99.052800000000005</c:v>
                </c:pt>
                <c:pt idx="231">
                  <c:v>99.137060000000005</c:v>
                </c:pt>
                <c:pt idx="232">
                  <c:v>99.131079999999997</c:v>
                </c:pt>
                <c:pt idx="233">
                  <c:v>99.067610000000002</c:v>
                </c:pt>
                <c:pt idx="234">
                  <c:v>98.933850000000007</c:v>
                </c:pt>
                <c:pt idx="235">
                  <c:v>99.089200000000005</c:v>
                </c:pt>
                <c:pt idx="236">
                  <c:v>99.066400000000002</c:v>
                </c:pt>
                <c:pt idx="237">
                  <c:v>98.963939999999994</c:v>
                </c:pt>
                <c:pt idx="238">
                  <c:v>99.075190000000006</c:v>
                </c:pt>
                <c:pt idx="239">
                  <c:v>99.154420000000002</c:v>
                </c:pt>
                <c:pt idx="240">
                  <c:v>99.059690000000003</c:v>
                </c:pt>
                <c:pt idx="241">
                  <c:v>99.112639999999999</c:v>
                </c:pt>
                <c:pt idx="242">
                  <c:v>99.097930000000005</c:v>
                </c:pt>
                <c:pt idx="243">
                  <c:v>98.974699999999999</c:v>
                </c:pt>
                <c:pt idx="244">
                  <c:v>98.980770000000007</c:v>
                </c:pt>
                <c:pt idx="245">
                  <c:v>99.041129999999995</c:v>
                </c:pt>
                <c:pt idx="246">
                  <c:v>98.97175</c:v>
                </c:pt>
                <c:pt idx="247">
                  <c:v>99.037459999999996</c:v>
                </c:pt>
                <c:pt idx="248">
                  <c:v>99.083340000000007</c:v>
                </c:pt>
                <c:pt idx="249">
                  <c:v>98.878100000000003</c:v>
                </c:pt>
                <c:pt idx="250">
                  <c:v>98.98442</c:v>
                </c:pt>
                <c:pt idx="251">
                  <c:v>98.992930000000001</c:v>
                </c:pt>
                <c:pt idx="252">
                  <c:v>99.032150000000001</c:v>
                </c:pt>
                <c:pt idx="253">
                  <c:v>99.051730000000006</c:v>
                </c:pt>
                <c:pt idx="254">
                  <c:v>99.058459999999997</c:v>
                </c:pt>
                <c:pt idx="255">
                  <c:v>99.124300000000005</c:v>
                </c:pt>
                <c:pt idx="256">
                  <c:v>99.026650000000004</c:v>
                </c:pt>
                <c:pt idx="257">
                  <c:v>99.024959999999993</c:v>
                </c:pt>
                <c:pt idx="258">
                  <c:v>99.021720000000002</c:v>
                </c:pt>
                <c:pt idx="259">
                  <c:v>98.955979999999997</c:v>
                </c:pt>
                <c:pt idx="260">
                  <c:v>99.007949999999994</c:v>
                </c:pt>
                <c:pt idx="261">
                  <c:v>98.965140000000005</c:v>
                </c:pt>
                <c:pt idx="262">
                  <c:v>98.852980000000002</c:v>
                </c:pt>
                <c:pt idx="263">
                  <c:v>98.984430000000003</c:v>
                </c:pt>
                <c:pt idx="264">
                  <c:v>98.997410000000002</c:v>
                </c:pt>
                <c:pt idx="265">
                  <c:v>98.958470000000005</c:v>
                </c:pt>
                <c:pt idx="266">
                  <c:v>98.914150000000006</c:v>
                </c:pt>
                <c:pt idx="267">
                  <c:v>98.852980000000002</c:v>
                </c:pt>
                <c:pt idx="268">
                  <c:v>99.007859999999994</c:v>
                </c:pt>
                <c:pt idx="269">
                  <c:v>98.90222</c:v>
                </c:pt>
                <c:pt idx="270">
                  <c:v>98.907300000000006</c:v>
                </c:pt>
                <c:pt idx="271">
                  <c:v>98.948430000000002</c:v>
                </c:pt>
                <c:pt idx="272">
                  <c:v>99.016810000000007</c:v>
                </c:pt>
                <c:pt idx="273">
                  <c:v>98.907300000000006</c:v>
                </c:pt>
                <c:pt idx="274">
                  <c:v>98.879980000000003</c:v>
                </c:pt>
                <c:pt idx="275">
                  <c:v>98.948480000000004</c:v>
                </c:pt>
                <c:pt idx="276">
                  <c:v>98.828800000000001</c:v>
                </c:pt>
                <c:pt idx="277">
                  <c:v>98.88306</c:v>
                </c:pt>
                <c:pt idx="278">
                  <c:v>98.874480000000005</c:v>
                </c:pt>
                <c:pt idx="279">
                  <c:v>98.876270000000005</c:v>
                </c:pt>
                <c:pt idx="280">
                  <c:v>99.030950000000004</c:v>
                </c:pt>
                <c:pt idx="281">
                  <c:v>98.823419999999999</c:v>
                </c:pt>
                <c:pt idx="282">
                  <c:v>98.875360000000001</c:v>
                </c:pt>
                <c:pt idx="283">
                  <c:v>99.000540000000001</c:v>
                </c:pt>
                <c:pt idx="284">
                  <c:v>98.878410000000002</c:v>
                </c:pt>
                <c:pt idx="285">
                  <c:v>98.71669</c:v>
                </c:pt>
                <c:pt idx="286">
                  <c:v>98.855230000000006</c:v>
                </c:pt>
                <c:pt idx="287">
                  <c:v>98.799620000000004</c:v>
                </c:pt>
                <c:pt idx="288">
                  <c:v>98.861369999999994</c:v>
                </c:pt>
                <c:pt idx="289">
                  <c:v>98.814710000000005</c:v>
                </c:pt>
                <c:pt idx="290">
                  <c:v>98.882490000000004</c:v>
                </c:pt>
                <c:pt idx="291">
                  <c:v>98.857299999999995</c:v>
                </c:pt>
                <c:pt idx="292">
                  <c:v>98.800740000000005</c:v>
                </c:pt>
                <c:pt idx="293">
                  <c:v>98.916510000000002</c:v>
                </c:pt>
                <c:pt idx="294">
                  <c:v>98.763130000000004</c:v>
                </c:pt>
                <c:pt idx="295">
                  <c:v>98.860650000000007</c:v>
                </c:pt>
                <c:pt idx="296">
                  <c:v>98.725629999999995</c:v>
                </c:pt>
                <c:pt idx="297">
                  <c:v>98.909139999999994</c:v>
                </c:pt>
                <c:pt idx="298">
                  <c:v>98.699860000000001</c:v>
                </c:pt>
                <c:pt idx="299">
                  <c:v>98.776300000000006</c:v>
                </c:pt>
                <c:pt idx="300">
                  <c:v>98.796369999999996</c:v>
                </c:pt>
                <c:pt idx="301">
                  <c:v>98.875739999999993</c:v>
                </c:pt>
                <c:pt idx="302">
                  <c:v>98.802580000000006</c:v>
                </c:pt>
                <c:pt idx="303">
                  <c:v>98.757000000000005</c:v>
                </c:pt>
                <c:pt idx="304">
                  <c:v>98.847369999999998</c:v>
                </c:pt>
                <c:pt idx="305">
                  <c:v>98.674099999999996</c:v>
                </c:pt>
                <c:pt idx="306">
                  <c:v>98.651139999999998</c:v>
                </c:pt>
                <c:pt idx="307">
                  <c:v>98.747330000000005</c:v>
                </c:pt>
                <c:pt idx="308">
                  <c:v>98.741680000000002</c:v>
                </c:pt>
                <c:pt idx="309">
                  <c:v>98.691680000000005</c:v>
                </c:pt>
                <c:pt idx="310">
                  <c:v>98.785390000000007</c:v>
                </c:pt>
                <c:pt idx="311">
                  <c:v>98.784679999999994</c:v>
                </c:pt>
                <c:pt idx="312">
                  <c:v>98.645480000000006</c:v>
                </c:pt>
                <c:pt idx="313">
                  <c:v>98.777910000000006</c:v>
                </c:pt>
                <c:pt idx="314">
                  <c:v>98.754140000000007</c:v>
                </c:pt>
                <c:pt idx="315">
                  <c:v>98.753649999999993</c:v>
                </c:pt>
                <c:pt idx="316">
                  <c:v>98.771929999999998</c:v>
                </c:pt>
                <c:pt idx="317">
                  <c:v>98.837760000000003</c:v>
                </c:pt>
                <c:pt idx="318">
                  <c:v>98.659360000000007</c:v>
                </c:pt>
                <c:pt idx="319">
                  <c:v>98.657020000000003</c:v>
                </c:pt>
                <c:pt idx="320">
                  <c:v>98.64658</c:v>
                </c:pt>
                <c:pt idx="321">
                  <c:v>98.674580000000006</c:v>
                </c:pt>
                <c:pt idx="322">
                  <c:v>98.607849999999999</c:v>
                </c:pt>
                <c:pt idx="323">
                  <c:v>98.586209999999994</c:v>
                </c:pt>
                <c:pt idx="324">
                  <c:v>98.697419999999994</c:v>
                </c:pt>
                <c:pt idx="325">
                  <c:v>98.712620000000001</c:v>
                </c:pt>
                <c:pt idx="326">
                  <c:v>98.683949999999996</c:v>
                </c:pt>
                <c:pt idx="327">
                  <c:v>98.628990000000002</c:v>
                </c:pt>
                <c:pt idx="328">
                  <c:v>98.595849999999999</c:v>
                </c:pt>
                <c:pt idx="329">
                  <c:v>98.683300000000003</c:v>
                </c:pt>
                <c:pt idx="330">
                  <c:v>98.621790000000004</c:v>
                </c:pt>
                <c:pt idx="331">
                  <c:v>98.688069999999996</c:v>
                </c:pt>
                <c:pt idx="332">
                  <c:v>98.581019999999995</c:v>
                </c:pt>
                <c:pt idx="333">
                  <c:v>98.518969999999996</c:v>
                </c:pt>
                <c:pt idx="334">
                  <c:v>98.653919999999999</c:v>
                </c:pt>
                <c:pt idx="335">
                  <c:v>98.643680000000003</c:v>
                </c:pt>
                <c:pt idx="336">
                  <c:v>98.66319</c:v>
                </c:pt>
                <c:pt idx="337">
                  <c:v>98.640940000000001</c:v>
                </c:pt>
                <c:pt idx="338">
                  <c:v>98.681399999999996</c:v>
                </c:pt>
                <c:pt idx="339">
                  <c:v>98.702629999999999</c:v>
                </c:pt>
                <c:pt idx="340">
                  <c:v>98.682220000000001</c:v>
                </c:pt>
                <c:pt idx="341">
                  <c:v>98.589389999999995</c:v>
                </c:pt>
                <c:pt idx="342">
                  <c:v>98.534779999999998</c:v>
                </c:pt>
                <c:pt idx="343">
                  <c:v>98.56626</c:v>
                </c:pt>
                <c:pt idx="344">
                  <c:v>98.57029</c:v>
                </c:pt>
                <c:pt idx="345">
                  <c:v>98.573030000000003</c:v>
                </c:pt>
                <c:pt idx="346">
                  <c:v>98.569370000000006</c:v>
                </c:pt>
                <c:pt idx="347">
                  <c:v>98.611189999999993</c:v>
                </c:pt>
                <c:pt idx="348">
                  <c:v>98.527869999999993</c:v>
                </c:pt>
                <c:pt idx="349">
                  <c:v>98.596620000000001</c:v>
                </c:pt>
                <c:pt idx="350">
                  <c:v>98.460999999999999</c:v>
                </c:pt>
                <c:pt idx="351">
                  <c:v>98.530019999999993</c:v>
                </c:pt>
                <c:pt idx="352">
                  <c:v>98.509799999999998</c:v>
                </c:pt>
                <c:pt idx="353">
                  <c:v>98.521889999999999</c:v>
                </c:pt>
                <c:pt idx="354">
                  <c:v>98.594480000000004</c:v>
                </c:pt>
                <c:pt idx="355">
                  <c:v>98.535319999999999</c:v>
                </c:pt>
                <c:pt idx="356">
                  <c:v>98.55789</c:v>
                </c:pt>
                <c:pt idx="357">
                  <c:v>98.606880000000004</c:v>
                </c:pt>
                <c:pt idx="358">
                  <c:v>98.508970000000005</c:v>
                </c:pt>
                <c:pt idx="359">
                  <c:v>98.45523</c:v>
                </c:pt>
                <c:pt idx="360">
                  <c:v>98.543859999999995</c:v>
                </c:pt>
                <c:pt idx="361">
                  <c:v>98.487830000000002</c:v>
                </c:pt>
                <c:pt idx="362">
                  <c:v>98.626249999999999</c:v>
                </c:pt>
                <c:pt idx="363">
                  <c:v>98.486329999999995</c:v>
                </c:pt>
                <c:pt idx="364">
                  <c:v>98.506379999999993</c:v>
                </c:pt>
                <c:pt idx="365">
                  <c:v>98.513099999999994</c:v>
                </c:pt>
                <c:pt idx="366">
                  <c:v>98.4636</c:v>
                </c:pt>
                <c:pt idx="367">
                  <c:v>98.402760000000001</c:v>
                </c:pt>
                <c:pt idx="368">
                  <c:v>98.507189999999994</c:v>
                </c:pt>
                <c:pt idx="369">
                  <c:v>98.545419999999993</c:v>
                </c:pt>
                <c:pt idx="370">
                  <c:v>98.449659999999994</c:v>
                </c:pt>
                <c:pt idx="371">
                  <c:v>98.511870000000002</c:v>
                </c:pt>
                <c:pt idx="372">
                  <c:v>98.492140000000006</c:v>
                </c:pt>
                <c:pt idx="373">
                  <c:v>98.528720000000007</c:v>
                </c:pt>
                <c:pt idx="374">
                  <c:v>98.497540000000001</c:v>
                </c:pt>
                <c:pt idx="375">
                  <c:v>98.425640000000001</c:v>
                </c:pt>
                <c:pt idx="376">
                  <c:v>98.43074</c:v>
                </c:pt>
                <c:pt idx="377">
                  <c:v>98.426820000000006</c:v>
                </c:pt>
                <c:pt idx="378">
                  <c:v>98.486990000000006</c:v>
                </c:pt>
                <c:pt idx="379">
                  <c:v>98.404290000000003</c:v>
                </c:pt>
                <c:pt idx="380">
                  <c:v>98.468559999999997</c:v>
                </c:pt>
                <c:pt idx="381">
                  <c:v>98.502650000000003</c:v>
                </c:pt>
                <c:pt idx="382">
                  <c:v>98.366190000000003</c:v>
                </c:pt>
                <c:pt idx="383">
                  <c:v>98.407309999999995</c:v>
                </c:pt>
                <c:pt idx="384">
                  <c:v>98.393439999999998</c:v>
                </c:pt>
                <c:pt idx="385">
                  <c:v>98.46857</c:v>
                </c:pt>
                <c:pt idx="386">
                  <c:v>98.513530000000003</c:v>
                </c:pt>
                <c:pt idx="387">
                  <c:v>98.474260000000001</c:v>
                </c:pt>
                <c:pt idx="388">
                  <c:v>98.478319999999997</c:v>
                </c:pt>
                <c:pt idx="389">
                  <c:v>98.285619999999994</c:v>
                </c:pt>
                <c:pt idx="390">
                  <c:v>98.470029999999994</c:v>
                </c:pt>
                <c:pt idx="391">
                  <c:v>98.437430000000006</c:v>
                </c:pt>
                <c:pt idx="392">
                  <c:v>98.555719999999994</c:v>
                </c:pt>
                <c:pt idx="393">
                  <c:v>98.437780000000004</c:v>
                </c:pt>
                <c:pt idx="394">
                  <c:v>98.473479999999995</c:v>
                </c:pt>
                <c:pt idx="395">
                  <c:v>98.317639999999997</c:v>
                </c:pt>
                <c:pt idx="396">
                  <c:v>98.376660000000001</c:v>
                </c:pt>
                <c:pt idx="397">
                  <c:v>98.449460000000002</c:v>
                </c:pt>
                <c:pt idx="398">
                  <c:v>98.384169999999997</c:v>
                </c:pt>
                <c:pt idx="399">
                  <c:v>98.396079999999998</c:v>
                </c:pt>
                <c:pt idx="400">
                  <c:v>98.407439999999994</c:v>
                </c:pt>
                <c:pt idx="401">
                  <c:v>98.285560000000004</c:v>
                </c:pt>
                <c:pt idx="402">
                  <c:v>98.336470000000006</c:v>
                </c:pt>
                <c:pt idx="403">
                  <c:v>98.342280000000002</c:v>
                </c:pt>
                <c:pt idx="404">
                  <c:v>98.239450000000005</c:v>
                </c:pt>
                <c:pt idx="405">
                  <c:v>98.398219999999995</c:v>
                </c:pt>
                <c:pt idx="406">
                  <c:v>98.307860000000005</c:v>
                </c:pt>
                <c:pt idx="407">
                  <c:v>98.32884</c:v>
                </c:pt>
                <c:pt idx="408">
                  <c:v>98.406710000000004</c:v>
                </c:pt>
                <c:pt idx="409">
                  <c:v>98.31465</c:v>
                </c:pt>
                <c:pt idx="410">
                  <c:v>98.268180000000001</c:v>
                </c:pt>
                <c:pt idx="411">
                  <c:v>98.403390000000002</c:v>
                </c:pt>
                <c:pt idx="412">
                  <c:v>98.348389999999995</c:v>
                </c:pt>
                <c:pt idx="413">
                  <c:v>98.359840000000005</c:v>
                </c:pt>
                <c:pt idx="414">
                  <c:v>98.27749</c:v>
                </c:pt>
                <c:pt idx="415">
                  <c:v>98.30162</c:v>
                </c:pt>
                <c:pt idx="416">
                  <c:v>98.397980000000004</c:v>
                </c:pt>
                <c:pt idx="417">
                  <c:v>98.317009999999996</c:v>
                </c:pt>
                <c:pt idx="418">
                  <c:v>98.318240000000003</c:v>
                </c:pt>
                <c:pt idx="419">
                  <c:v>98.264769999999999</c:v>
                </c:pt>
                <c:pt idx="420">
                  <c:v>98.357799999999997</c:v>
                </c:pt>
                <c:pt idx="421">
                  <c:v>98.340699999999998</c:v>
                </c:pt>
                <c:pt idx="422">
                  <c:v>98.343249999999998</c:v>
                </c:pt>
                <c:pt idx="423">
                  <c:v>98.414069999999995</c:v>
                </c:pt>
                <c:pt idx="424">
                  <c:v>98.350080000000005</c:v>
                </c:pt>
                <c:pt idx="425">
                  <c:v>98.336330000000004</c:v>
                </c:pt>
                <c:pt idx="426">
                  <c:v>98.439170000000004</c:v>
                </c:pt>
                <c:pt idx="427">
                  <c:v>98.196389999999994</c:v>
                </c:pt>
                <c:pt idx="428">
                  <c:v>98.220309999999998</c:v>
                </c:pt>
                <c:pt idx="429">
                  <c:v>98.292100000000005</c:v>
                </c:pt>
                <c:pt idx="430">
                  <c:v>98.292029999999997</c:v>
                </c:pt>
                <c:pt idx="431">
                  <c:v>98.246709999999993</c:v>
                </c:pt>
                <c:pt idx="432">
                  <c:v>98.295490000000001</c:v>
                </c:pt>
                <c:pt idx="433">
                  <c:v>98.29374</c:v>
                </c:pt>
                <c:pt idx="434">
                  <c:v>98.334000000000003</c:v>
                </c:pt>
                <c:pt idx="435">
                  <c:v>98.312479999999994</c:v>
                </c:pt>
                <c:pt idx="436">
                  <c:v>98.215310000000002</c:v>
                </c:pt>
                <c:pt idx="437">
                  <c:v>98.130859999999998</c:v>
                </c:pt>
                <c:pt idx="438">
                  <c:v>98.236050000000006</c:v>
                </c:pt>
                <c:pt idx="439">
                  <c:v>98.176950000000005</c:v>
                </c:pt>
                <c:pt idx="440">
                  <c:v>98.267870000000002</c:v>
                </c:pt>
                <c:pt idx="441">
                  <c:v>98.195999999999998</c:v>
                </c:pt>
                <c:pt idx="442">
                  <c:v>98.147069999999999</c:v>
                </c:pt>
                <c:pt idx="443">
                  <c:v>98.335480000000004</c:v>
                </c:pt>
                <c:pt idx="444">
                  <c:v>98.190849999999998</c:v>
                </c:pt>
                <c:pt idx="445">
                  <c:v>98.200029999999998</c:v>
                </c:pt>
                <c:pt idx="446">
                  <c:v>98.248440000000002</c:v>
                </c:pt>
                <c:pt idx="447">
                  <c:v>98.312629999999999</c:v>
                </c:pt>
                <c:pt idx="448">
                  <c:v>98.233919999999998</c:v>
                </c:pt>
                <c:pt idx="449">
                  <c:v>98.093289999999996</c:v>
                </c:pt>
                <c:pt idx="450">
                  <c:v>98.208449999999999</c:v>
                </c:pt>
                <c:pt idx="451">
                  <c:v>98.288780000000003</c:v>
                </c:pt>
                <c:pt idx="452">
                  <c:v>98.194550000000007</c:v>
                </c:pt>
                <c:pt idx="453">
                  <c:v>98.206850000000003</c:v>
                </c:pt>
                <c:pt idx="454">
                  <c:v>98.262190000000004</c:v>
                </c:pt>
                <c:pt idx="455">
                  <c:v>98.170540000000003</c:v>
                </c:pt>
                <c:pt idx="456">
                  <c:v>98.222499999999997</c:v>
                </c:pt>
                <c:pt idx="457">
                  <c:v>98.113879999999995</c:v>
                </c:pt>
                <c:pt idx="458">
                  <c:v>98.098399999999998</c:v>
                </c:pt>
                <c:pt idx="459">
                  <c:v>98.252549999999999</c:v>
                </c:pt>
                <c:pt idx="460">
                  <c:v>98.160489999999996</c:v>
                </c:pt>
                <c:pt idx="461">
                  <c:v>98.124189999999999</c:v>
                </c:pt>
                <c:pt idx="462">
                  <c:v>98.170299999999997</c:v>
                </c:pt>
                <c:pt idx="463">
                  <c:v>98.032650000000004</c:v>
                </c:pt>
                <c:pt idx="464">
                  <c:v>98.102119999999999</c:v>
                </c:pt>
                <c:pt idx="465">
                  <c:v>98.223429999999993</c:v>
                </c:pt>
                <c:pt idx="466">
                  <c:v>98.046469999999999</c:v>
                </c:pt>
                <c:pt idx="467">
                  <c:v>98.117609999999999</c:v>
                </c:pt>
                <c:pt idx="468">
                  <c:v>98.225610000000003</c:v>
                </c:pt>
                <c:pt idx="469">
                  <c:v>98.149630000000002</c:v>
                </c:pt>
                <c:pt idx="470">
                  <c:v>98.07226</c:v>
                </c:pt>
                <c:pt idx="471">
                  <c:v>98.287890000000004</c:v>
                </c:pt>
                <c:pt idx="472">
                  <c:v>98.176190000000005</c:v>
                </c:pt>
                <c:pt idx="473">
                  <c:v>98.221149999999994</c:v>
                </c:pt>
                <c:pt idx="474">
                  <c:v>98.195449999999994</c:v>
                </c:pt>
                <c:pt idx="475">
                  <c:v>98.124639999999999</c:v>
                </c:pt>
                <c:pt idx="476">
                  <c:v>98.127589999999998</c:v>
                </c:pt>
                <c:pt idx="477">
                  <c:v>98.114379999999997</c:v>
                </c:pt>
                <c:pt idx="478">
                  <c:v>98.068709999999996</c:v>
                </c:pt>
                <c:pt idx="479">
                  <c:v>98.044129999999996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C2-794D-9F1A-D416CAFED97C}"/>
            </c:ext>
          </c:extLst>
        </c:ser>
        <c:ser>
          <c:idx val="1"/>
          <c:order val="1"/>
          <c:tx>
            <c:v>Sif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'225C (Sif)'!$B$205:$B$684</c:f>
              <c:numCache>
                <c:formatCode>0.00000</c:formatCode>
                <c:ptCount val="480"/>
                <c:pt idx="0">
                  <c:v>87</c:v>
                </c:pt>
                <c:pt idx="1">
                  <c:v>87.5</c:v>
                </c:pt>
                <c:pt idx="2">
                  <c:v>88</c:v>
                </c:pt>
                <c:pt idx="3">
                  <c:v>88.5</c:v>
                </c:pt>
                <c:pt idx="4">
                  <c:v>89</c:v>
                </c:pt>
                <c:pt idx="5">
                  <c:v>89.5</c:v>
                </c:pt>
                <c:pt idx="6">
                  <c:v>90</c:v>
                </c:pt>
                <c:pt idx="7">
                  <c:v>90.5</c:v>
                </c:pt>
                <c:pt idx="8">
                  <c:v>91</c:v>
                </c:pt>
                <c:pt idx="9">
                  <c:v>91.5</c:v>
                </c:pt>
                <c:pt idx="10">
                  <c:v>92</c:v>
                </c:pt>
                <c:pt idx="11">
                  <c:v>92.5</c:v>
                </c:pt>
                <c:pt idx="12">
                  <c:v>93</c:v>
                </c:pt>
                <c:pt idx="13">
                  <c:v>93.5</c:v>
                </c:pt>
                <c:pt idx="14">
                  <c:v>94</c:v>
                </c:pt>
                <c:pt idx="15">
                  <c:v>94.5</c:v>
                </c:pt>
                <c:pt idx="16">
                  <c:v>95</c:v>
                </c:pt>
                <c:pt idx="17">
                  <c:v>95.5</c:v>
                </c:pt>
                <c:pt idx="18">
                  <c:v>96</c:v>
                </c:pt>
                <c:pt idx="19">
                  <c:v>96.5</c:v>
                </c:pt>
                <c:pt idx="20">
                  <c:v>97</c:v>
                </c:pt>
                <c:pt idx="21">
                  <c:v>97.5</c:v>
                </c:pt>
                <c:pt idx="22">
                  <c:v>98</c:v>
                </c:pt>
                <c:pt idx="23">
                  <c:v>98.5</c:v>
                </c:pt>
                <c:pt idx="24">
                  <c:v>99</c:v>
                </c:pt>
                <c:pt idx="25">
                  <c:v>99.5</c:v>
                </c:pt>
                <c:pt idx="26">
                  <c:v>100</c:v>
                </c:pt>
                <c:pt idx="27">
                  <c:v>100.5</c:v>
                </c:pt>
                <c:pt idx="28">
                  <c:v>101</c:v>
                </c:pt>
                <c:pt idx="29">
                  <c:v>101.5</c:v>
                </c:pt>
                <c:pt idx="30">
                  <c:v>102</c:v>
                </c:pt>
                <c:pt idx="31">
                  <c:v>102.5</c:v>
                </c:pt>
                <c:pt idx="32">
                  <c:v>103</c:v>
                </c:pt>
                <c:pt idx="33">
                  <c:v>103.5</c:v>
                </c:pt>
                <c:pt idx="34">
                  <c:v>104</c:v>
                </c:pt>
                <c:pt idx="35">
                  <c:v>104.5</c:v>
                </c:pt>
                <c:pt idx="36">
                  <c:v>105</c:v>
                </c:pt>
                <c:pt idx="37">
                  <c:v>105.5</c:v>
                </c:pt>
                <c:pt idx="38">
                  <c:v>106</c:v>
                </c:pt>
                <c:pt idx="39">
                  <c:v>106.5</c:v>
                </c:pt>
                <c:pt idx="40">
                  <c:v>107</c:v>
                </c:pt>
                <c:pt idx="41">
                  <c:v>107.5</c:v>
                </c:pt>
                <c:pt idx="42">
                  <c:v>108</c:v>
                </c:pt>
                <c:pt idx="43">
                  <c:v>108.5</c:v>
                </c:pt>
                <c:pt idx="44">
                  <c:v>109</c:v>
                </c:pt>
                <c:pt idx="45">
                  <c:v>109.5</c:v>
                </c:pt>
                <c:pt idx="46">
                  <c:v>110</c:v>
                </c:pt>
                <c:pt idx="47">
                  <c:v>110.5</c:v>
                </c:pt>
                <c:pt idx="48">
                  <c:v>111</c:v>
                </c:pt>
                <c:pt idx="49">
                  <c:v>111.5</c:v>
                </c:pt>
                <c:pt idx="50">
                  <c:v>112</c:v>
                </c:pt>
                <c:pt idx="51">
                  <c:v>112.5</c:v>
                </c:pt>
                <c:pt idx="52">
                  <c:v>113</c:v>
                </c:pt>
                <c:pt idx="53">
                  <c:v>113.5</c:v>
                </c:pt>
                <c:pt idx="54">
                  <c:v>114</c:v>
                </c:pt>
                <c:pt idx="55">
                  <c:v>114.5</c:v>
                </c:pt>
                <c:pt idx="56">
                  <c:v>115</c:v>
                </c:pt>
                <c:pt idx="57">
                  <c:v>115.5</c:v>
                </c:pt>
                <c:pt idx="58">
                  <c:v>116</c:v>
                </c:pt>
                <c:pt idx="59">
                  <c:v>116.5</c:v>
                </c:pt>
                <c:pt idx="60">
                  <c:v>117</c:v>
                </c:pt>
                <c:pt idx="61">
                  <c:v>117.5</c:v>
                </c:pt>
                <c:pt idx="62">
                  <c:v>118</c:v>
                </c:pt>
                <c:pt idx="63">
                  <c:v>118.5</c:v>
                </c:pt>
                <c:pt idx="64">
                  <c:v>119</c:v>
                </c:pt>
                <c:pt idx="65">
                  <c:v>119.5</c:v>
                </c:pt>
                <c:pt idx="66">
                  <c:v>120</c:v>
                </c:pt>
                <c:pt idx="67">
                  <c:v>120.5</c:v>
                </c:pt>
                <c:pt idx="68">
                  <c:v>121</c:v>
                </c:pt>
                <c:pt idx="69">
                  <c:v>121.5</c:v>
                </c:pt>
                <c:pt idx="70">
                  <c:v>122</c:v>
                </c:pt>
                <c:pt idx="71">
                  <c:v>122.5</c:v>
                </c:pt>
                <c:pt idx="72">
                  <c:v>123</c:v>
                </c:pt>
                <c:pt idx="73">
                  <c:v>123.5</c:v>
                </c:pt>
                <c:pt idx="74">
                  <c:v>124</c:v>
                </c:pt>
                <c:pt idx="75">
                  <c:v>124.5</c:v>
                </c:pt>
                <c:pt idx="76">
                  <c:v>125</c:v>
                </c:pt>
                <c:pt idx="77">
                  <c:v>125.5</c:v>
                </c:pt>
                <c:pt idx="78">
                  <c:v>126</c:v>
                </c:pt>
                <c:pt idx="79">
                  <c:v>126.5</c:v>
                </c:pt>
                <c:pt idx="80">
                  <c:v>127</c:v>
                </c:pt>
                <c:pt idx="81">
                  <c:v>127.5</c:v>
                </c:pt>
                <c:pt idx="82">
                  <c:v>128</c:v>
                </c:pt>
                <c:pt idx="83">
                  <c:v>128.5</c:v>
                </c:pt>
                <c:pt idx="84">
                  <c:v>129</c:v>
                </c:pt>
                <c:pt idx="85">
                  <c:v>129.5</c:v>
                </c:pt>
                <c:pt idx="86">
                  <c:v>130</c:v>
                </c:pt>
                <c:pt idx="87">
                  <c:v>130.5</c:v>
                </c:pt>
                <c:pt idx="88">
                  <c:v>131</c:v>
                </c:pt>
                <c:pt idx="89">
                  <c:v>131.5</c:v>
                </c:pt>
                <c:pt idx="90">
                  <c:v>132</c:v>
                </c:pt>
                <c:pt idx="91">
                  <c:v>132.5</c:v>
                </c:pt>
                <c:pt idx="92">
                  <c:v>133</c:v>
                </c:pt>
                <c:pt idx="93">
                  <c:v>133.5</c:v>
                </c:pt>
                <c:pt idx="94">
                  <c:v>134</c:v>
                </c:pt>
                <c:pt idx="95">
                  <c:v>134.5</c:v>
                </c:pt>
                <c:pt idx="96">
                  <c:v>135</c:v>
                </c:pt>
                <c:pt idx="97">
                  <c:v>135.5</c:v>
                </c:pt>
                <c:pt idx="98">
                  <c:v>136</c:v>
                </c:pt>
                <c:pt idx="99">
                  <c:v>136.5</c:v>
                </c:pt>
                <c:pt idx="100">
                  <c:v>137</c:v>
                </c:pt>
                <c:pt idx="101">
                  <c:v>137.5</c:v>
                </c:pt>
                <c:pt idx="102">
                  <c:v>138</c:v>
                </c:pt>
                <c:pt idx="103">
                  <c:v>138.5</c:v>
                </c:pt>
                <c:pt idx="104">
                  <c:v>139</c:v>
                </c:pt>
                <c:pt idx="105">
                  <c:v>139.5</c:v>
                </c:pt>
                <c:pt idx="106">
                  <c:v>140</c:v>
                </c:pt>
                <c:pt idx="107">
                  <c:v>140.5</c:v>
                </c:pt>
                <c:pt idx="108">
                  <c:v>141</c:v>
                </c:pt>
                <c:pt idx="109">
                  <c:v>141.5</c:v>
                </c:pt>
                <c:pt idx="110">
                  <c:v>142</c:v>
                </c:pt>
                <c:pt idx="111">
                  <c:v>142.5</c:v>
                </c:pt>
                <c:pt idx="112">
                  <c:v>143</c:v>
                </c:pt>
                <c:pt idx="113">
                  <c:v>143.5</c:v>
                </c:pt>
                <c:pt idx="114">
                  <c:v>144</c:v>
                </c:pt>
                <c:pt idx="115">
                  <c:v>144.5</c:v>
                </c:pt>
                <c:pt idx="116">
                  <c:v>145</c:v>
                </c:pt>
                <c:pt idx="117">
                  <c:v>145.5</c:v>
                </c:pt>
                <c:pt idx="118">
                  <c:v>146</c:v>
                </c:pt>
                <c:pt idx="119">
                  <c:v>146.5</c:v>
                </c:pt>
                <c:pt idx="120">
                  <c:v>147</c:v>
                </c:pt>
                <c:pt idx="121">
                  <c:v>147.5</c:v>
                </c:pt>
                <c:pt idx="122">
                  <c:v>148</c:v>
                </c:pt>
                <c:pt idx="123">
                  <c:v>148.5</c:v>
                </c:pt>
                <c:pt idx="124">
                  <c:v>149</c:v>
                </c:pt>
                <c:pt idx="125">
                  <c:v>149.5</c:v>
                </c:pt>
                <c:pt idx="126">
                  <c:v>150</c:v>
                </c:pt>
                <c:pt idx="127">
                  <c:v>150.5</c:v>
                </c:pt>
                <c:pt idx="128">
                  <c:v>151</c:v>
                </c:pt>
                <c:pt idx="129">
                  <c:v>151.5</c:v>
                </c:pt>
                <c:pt idx="130">
                  <c:v>152</c:v>
                </c:pt>
                <c:pt idx="131">
                  <c:v>152.5</c:v>
                </c:pt>
                <c:pt idx="132">
                  <c:v>153</c:v>
                </c:pt>
                <c:pt idx="133">
                  <c:v>153.5</c:v>
                </c:pt>
                <c:pt idx="134">
                  <c:v>154</c:v>
                </c:pt>
                <c:pt idx="135">
                  <c:v>154.5</c:v>
                </c:pt>
                <c:pt idx="136">
                  <c:v>155</c:v>
                </c:pt>
                <c:pt idx="137">
                  <c:v>155.5</c:v>
                </c:pt>
                <c:pt idx="138">
                  <c:v>156</c:v>
                </c:pt>
                <c:pt idx="139">
                  <c:v>156.5</c:v>
                </c:pt>
                <c:pt idx="140">
                  <c:v>157</c:v>
                </c:pt>
                <c:pt idx="141">
                  <c:v>157.5</c:v>
                </c:pt>
                <c:pt idx="142">
                  <c:v>158</c:v>
                </c:pt>
                <c:pt idx="143">
                  <c:v>158.5</c:v>
                </c:pt>
                <c:pt idx="144">
                  <c:v>159</c:v>
                </c:pt>
                <c:pt idx="145">
                  <c:v>159.5</c:v>
                </c:pt>
                <c:pt idx="146">
                  <c:v>160</c:v>
                </c:pt>
                <c:pt idx="147">
                  <c:v>160.5</c:v>
                </c:pt>
                <c:pt idx="148">
                  <c:v>161</c:v>
                </c:pt>
                <c:pt idx="149">
                  <c:v>161.5</c:v>
                </c:pt>
                <c:pt idx="150">
                  <c:v>162</c:v>
                </c:pt>
                <c:pt idx="151">
                  <c:v>162.5</c:v>
                </c:pt>
                <c:pt idx="152">
                  <c:v>163</c:v>
                </c:pt>
                <c:pt idx="153">
                  <c:v>163.5</c:v>
                </c:pt>
                <c:pt idx="154">
                  <c:v>164</c:v>
                </c:pt>
                <c:pt idx="155">
                  <c:v>164.5</c:v>
                </c:pt>
                <c:pt idx="156">
                  <c:v>165</c:v>
                </c:pt>
                <c:pt idx="157">
                  <c:v>165.5</c:v>
                </c:pt>
                <c:pt idx="158">
                  <c:v>166</c:v>
                </c:pt>
                <c:pt idx="159">
                  <c:v>166.5</c:v>
                </c:pt>
                <c:pt idx="160">
                  <c:v>167</c:v>
                </c:pt>
                <c:pt idx="161">
                  <c:v>167.5</c:v>
                </c:pt>
                <c:pt idx="162">
                  <c:v>168</c:v>
                </c:pt>
                <c:pt idx="163">
                  <c:v>168.5</c:v>
                </c:pt>
                <c:pt idx="164">
                  <c:v>169</c:v>
                </c:pt>
                <c:pt idx="165">
                  <c:v>169.5</c:v>
                </c:pt>
                <c:pt idx="166">
                  <c:v>170</c:v>
                </c:pt>
                <c:pt idx="167">
                  <c:v>170.5</c:v>
                </c:pt>
                <c:pt idx="168">
                  <c:v>171</c:v>
                </c:pt>
                <c:pt idx="169">
                  <c:v>171.5</c:v>
                </c:pt>
                <c:pt idx="170">
                  <c:v>172</c:v>
                </c:pt>
                <c:pt idx="171">
                  <c:v>172.5</c:v>
                </c:pt>
                <c:pt idx="172">
                  <c:v>173</c:v>
                </c:pt>
                <c:pt idx="173">
                  <c:v>173.5</c:v>
                </c:pt>
                <c:pt idx="174">
                  <c:v>174</c:v>
                </c:pt>
                <c:pt idx="175">
                  <c:v>174.5</c:v>
                </c:pt>
                <c:pt idx="176">
                  <c:v>175</c:v>
                </c:pt>
                <c:pt idx="177">
                  <c:v>175.5</c:v>
                </c:pt>
                <c:pt idx="178">
                  <c:v>176</c:v>
                </c:pt>
                <c:pt idx="179">
                  <c:v>176.5</c:v>
                </c:pt>
                <c:pt idx="180">
                  <c:v>177</c:v>
                </c:pt>
                <c:pt idx="181">
                  <c:v>177.5</c:v>
                </c:pt>
                <c:pt idx="182">
                  <c:v>178</c:v>
                </c:pt>
                <c:pt idx="183">
                  <c:v>178.5</c:v>
                </c:pt>
                <c:pt idx="184">
                  <c:v>179</c:v>
                </c:pt>
                <c:pt idx="185">
                  <c:v>179.5</c:v>
                </c:pt>
                <c:pt idx="186">
                  <c:v>180</c:v>
                </c:pt>
                <c:pt idx="187">
                  <c:v>180.5</c:v>
                </c:pt>
                <c:pt idx="188">
                  <c:v>181</c:v>
                </c:pt>
                <c:pt idx="189">
                  <c:v>181.5</c:v>
                </c:pt>
                <c:pt idx="190">
                  <c:v>182</c:v>
                </c:pt>
                <c:pt idx="191">
                  <c:v>182.5</c:v>
                </c:pt>
                <c:pt idx="192">
                  <c:v>183</c:v>
                </c:pt>
                <c:pt idx="193">
                  <c:v>183.5</c:v>
                </c:pt>
                <c:pt idx="194">
                  <c:v>184</c:v>
                </c:pt>
                <c:pt idx="195">
                  <c:v>184.5</c:v>
                </c:pt>
                <c:pt idx="196">
                  <c:v>185</c:v>
                </c:pt>
                <c:pt idx="197">
                  <c:v>185.5</c:v>
                </c:pt>
                <c:pt idx="198">
                  <c:v>186</c:v>
                </c:pt>
                <c:pt idx="199">
                  <c:v>186.5</c:v>
                </c:pt>
                <c:pt idx="200">
                  <c:v>187</c:v>
                </c:pt>
                <c:pt idx="201">
                  <c:v>187.5</c:v>
                </c:pt>
                <c:pt idx="202">
                  <c:v>188</c:v>
                </c:pt>
                <c:pt idx="203">
                  <c:v>188.5</c:v>
                </c:pt>
                <c:pt idx="204">
                  <c:v>189</c:v>
                </c:pt>
                <c:pt idx="205">
                  <c:v>189.5</c:v>
                </c:pt>
                <c:pt idx="206">
                  <c:v>190</c:v>
                </c:pt>
                <c:pt idx="207">
                  <c:v>190.5</c:v>
                </c:pt>
                <c:pt idx="208">
                  <c:v>191</c:v>
                </c:pt>
                <c:pt idx="209">
                  <c:v>191.5</c:v>
                </c:pt>
                <c:pt idx="210">
                  <c:v>192</c:v>
                </c:pt>
                <c:pt idx="211">
                  <c:v>192.5</c:v>
                </c:pt>
                <c:pt idx="212">
                  <c:v>193</c:v>
                </c:pt>
                <c:pt idx="213">
                  <c:v>193.5</c:v>
                </c:pt>
                <c:pt idx="214">
                  <c:v>194</c:v>
                </c:pt>
                <c:pt idx="215">
                  <c:v>194.5</c:v>
                </c:pt>
                <c:pt idx="216">
                  <c:v>195</c:v>
                </c:pt>
                <c:pt idx="217">
                  <c:v>195.5</c:v>
                </c:pt>
                <c:pt idx="218">
                  <c:v>196</c:v>
                </c:pt>
                <c:pt idx="219">
                  <c:v>196.5</c:v>
                </c:pt>
                <c:pt idx="220">
                  <c:v>197</c:v>
                </c:pt>
                <c:pt idx="221">
                  <c:v>197.5</c:v>
                </c:pt>
                <c:pt idx="222">
                  <c:v>198</c:v>
                </c:pt>
                <c:pt idx="223">
                  <c:v>198.5</c:v>
                </c:pt>
                <c:pt idx="224">
                  <c:v>199</c:v>
                </c:pt>
                <c:pt idx="225">
                  <c:v>199.5</c:v>
                </c:pt>
                <c:pt idx="226">
                  <c:v>200</c:v>
                </c:pt>
                <c:pt idx="227">
                  <c:v>200.5</c:v>
                </c:pt>
                <c:pt idx="228">
                  <c:v>201</c:v>
                </c:pt>
                <c:pt idx="229">
                  <c:v>201.5</c:v>
                </c:pt>
                <c:pt idx="230">
                  <c:v>202</c:v>
                </c:pt>
                <c:pt idx="231">
                  <c:v>202.5</c:v>
                </c:pt>
                <c:pt idx="232">
                  <c:v>203</c:v>
                </c:pt>
                <c:pt idx="233">
                  <c:v>203.5</c:v>
                </c:pt>
                <c:pt idx="234">
                  <c:v>204</c:v>
                </c:pt>
                <c:pt idx="235">
                  <c:v>204.5</c:v>
                </c:pt>
                <c:pt idx="236">
                  <c:v>205</c:v>
                </c:pt>
                <c:pt idx="237">
                  <c:v>205.5</c:v>
                </c:pt>
                <c:pt idx="238">
                  <c:v>206</c:v>
                </c:pt>
                <c:pt idx="239">
                  <c:v>206.5</c:v>
                </c:pt>
                <c:pt idx="240">
                  <c:v>207</c:v>
                </c:pt>
                <c:pt idx="241">
                  <c:v>207.5</c:v>
                </c:pt>
                <c:pt idx="242">
                  <c:v>208</c:v>
                </c:pt>
                <c:pt idx="243">
                  <c:v>208.5</c:v>
                </c:pt>
                <c:pt idx="244">
                  <c:v>209</c:v>
                </c:pt>
                <c:pt idx="245">
                  <c:v>209.5</c:v>
                </c:pt>
                <c:pt idx="246">
                  <c:v>210</c:v>
                </c:pt>
                <c:pt idx="247">
                  <c:v>210.5</c:v>
                </c:pt>
                <c:pt idx="248">
                  <c:v>211</c:v>
                </c:pt>
                <c:pt idx="249">
                  <c:v>211.5</c:v>
                </c:pt>
                <c:pt idx="250">
                  <c:v>212</c:v>
                </c:pt>
                <c:pt idx="251">
                  <c:v>212.5</c:v>
                </c:pt>
                <c:pt idx="252">
                  <c:v>213</c:v>
                </c:pt>
                <c:pt idx="253">
                  <c:v>213.5</c:v>
                </c:pt>
                <c:pt idx="254">
                  <c:v>214</c:v>
                </c:pt>
                <c:pt idx="255">
                  <c:v>214.5</c:v>
                </c:pt>
                <c:pt idx="256">
                  <c:v>215</c:v>
                </c:pt>
                <c:pt idx="257">
                  <c:v>215.5</c:v>
                </c:pt>
                <c:pt idx="258">
                  <c:v>216</c:v>
                </c:pt>
                <c:pt idx="259">
                  <c:v>216.5</c:v>
                </c:pt>
                <c:pt idx="260">
                  <c:v>217</c:v>
                </c:pt>
                <c:pt idx="261">
                  <c:v>217.5</c:v>
                </c:pt>
                <c:pt idx="262">
                  <c:v>218</c:v>
                </c:pt>
                <c:pt idx="263">
                  <c:v>218.5</c:v>
                </c:pt>
                <c:pt idx="264">
                  <c:v>219</c:v>
                </c:pt>
                <c:pt idx="265">
                  <c:v>219.5</c:v>
                </c:pt>
                <c:pt idx="266">
                  <c:v>220</c:v>
                </c:pt>
                <c:pt idx="267">
                  <c:v>220.5</c:v>
                </c:pt>
                <c:pt idx="268">
                  <c:v>221</c:v>
                </c:pt>
                <c:pt idx="269">
                  <c:v>221.5</c:v>
                </c:pt>
                <c:pt idx="270">
                  <c:v>222</c:v>
                </c:pt>
                <c:pt idx="271">
                  <c:v>222.5</c:v>
                </c:pt>
                <c:pt idx="272">
                  <c:v>223</c:v>
                </c:pt>
                <c:pt idx="273">
                  <c:v>223.5</c:v>
                </c:pt>
                <c:pt idx="274">
                  <c:v>224</c:v>
                </c:pt>
                <c:pt idx="275">
                  <c:v>224.5</c:v>
                </c:pt>
                <c:pt idx="276">
                  <c:v>225</c:v>
                </c:pt>
                <c:pt idx="277">
                  <c:v>225.5</c:v>
                </c:pt>
                <c:pt idx="278">
                  <c:v>226</c:v>
                </c:pt>
                <c:pt idx="279">
                  <c:v>226.5</c:v>
                </c:pt>
                <c:pt idx="280">
                  <c:v>227</c:v>
                </c:pt>
                <c:pt idx="281">
                  <c:v>227.5</c:v>
                </c:pt>
                <c:pt idx="282">
                  <c:v>228</c:v>
                </c:pt>
                <c:pt idx="283">
                  <c:v>228.5</c:v>
                </c:pt>
                <c:pt idx="284">
                  <c:v>229</c:v>
                </c:pt>
                <c:pt idx="285">
                  <c:v>229.5</c:v>
                </c:pt>
                <c:pt idx="286">
                  <c:v>230</c:v>
                </c:pt>
                <c:pt idx="287">
                  <c:v>230.5</c:v>
                </c:pt>
                <c:pt idx="288">
                  <c:v>231</c:v>
                </c:pt>
                <c:pt idx="289">
                  <c:v>231.5</c:v>
                </c:pt>
                <c:pt idx="290">
                  <c:v>232</c:v>
                </c:pt>
                <c:pt idx="291">
                  <c:v>232.5</c:v>
                </c:pt>
                <c:pt idx="292">
                  <c:v>233</c:v>
                </c:pt>
                <c:pt idx="293">
                  <c:v>233.5</c:v>
                </c:pt>
                <c:pt idx="294">
                  <c:v>234</c:v>
                </c:pt>
                <c:pt idx="295">
                  <c:v>234.5</c:v>
                </c:pt>
                <c:pt idx="296">
                  <c:v>235</c:v>
                </c:pt>
                <c:pt idx="297">
                  <c:v>235.5</c:v>
                </c:pt>
                <c:pt idx="298">
                  <c:v>236</c:v>
                </c:pt>
                <c:pt idx="299">
                  <c:v>236.5</c:v>
                </c:pt>
                <c:pt idx="300">
                  <c:v>237</c:v>
                </c:pt>
                <c:pt idx="301">
                  <c:v>237.5</c:v>
                </c:pt>
                <c:pt idx="302">
                  <c:v>238</c:v>
                </c:pt>
                <c:pt idx="303">
                  <c:v>238.5</c:v>
                </c:pt>
                <c:pt idx="304">
                  <c:v>239</c:v>
                </c:pt>
                <c:pt idx="305">
                  <c:v>239.5</c:v>
                </c:pt>
                <c:pt idx="306">
                  <c:v>240</c:v>
                </c:pt>
                <c:pt idx="307">
                  <c:v>240.5</c:v>
                </c:pt>
                <c:pt idx="308">
                  <c:v>241</c:v>
                </c:pt>
                <c:pt idx="309">
                  <c:v>241.5</c:v>
                </c:pt>
                <c:pt idx="310">
                  <c:v>242</c:v>
                </c:pt>
                <c:pt idx="311">
                  <c:v>242.5</c:v>
                </c:pt>
                <c:pt idx="312">
                  <c:v>243</c:v>
                </c:pt>
                <c:pt idx="313">
                  <c:v>243.5</c:v>
                </c:pt>
                <c:pt idx="314">
                  <c:v>244</c:v>
                </c:pt>
                <c:pt idx="315">
                  <c:v>244.5</c:v>
                </c:pt>
                <c:pt idx="316">
                  <c:v>245</c:v>
                </c:pt>
                <c:pt idx="317">
                  <c:v>245.5</c:v>
                </c:pt>
                <c:pt idx="318">
                  <c:v>246</c:v>
                </c:pt>
                <c:pt idx="319">
                  <c:v>246.5</c:v>
                </c:pt>
                <c:pt idx="320">
                  <c:v>247</c:v>
                </c:pt>
                <c:pt idx="321">
                  <c:v>247.5</c:v>
                </c:pt>
                <c:pt idx="322">
                  <c:v>248</c:v>
                </c:pt>
                <c:pt idx="323">
                  <c:v>248.5</c:v>
                </c:pt>
                <c:pt idx="324">
                  <c:v>249</c:v>
                </c:pt>
                <c:pt idx="325">
                  <c:v>249.5</c:v>
                </c:pt>
                <c:pt idx="326">
                  <c:v>250</c:v>
                </c:pt>
                <c:pt idx="327">
                  <c:v>250.5</c:v>
                </c:pt>
                <c:pt idx="328">
                  <c:v>251</c:v>
                </c:pt>
                <c:pt idx="329">
                  <c:v>251.5</c:v>
                </c:pt>
                <c:pt idx="330">
                  <c:v>252</c:v>
                </c:pt>
                <c:pt idx="331">
                  <c:v>252.5</c:v>
                </c:pt>
                <c:pt idx="332">
                  <c:v>253</c:v>
                </c:pt>
                <c:pt idx="333">
                  <c:v>253.5</c:v>
                </c:pt>
                <c:pt idx="334">
                  <c:v>254</c:v>
                </c:pt>
                <c:pt idx="335">
                  <c:v>254.5</c:v>
                </c:pt>
                <c:pt idx="336">
                  <c:v>255</c:v>
                </c:pt>
                <c:pt idx="337">
                  <c:v>255.5</c:v>
                </c:pt>
                <c:pt idx="338">
                  <c:v>256</c:v>
                </c:pt>
                <c:pt idx="339">
                  <c:v>256.5</c:v>
                </c:pt>
                <c:pt idx="340">
                  <c:v>257</c:v>
                </c:pt>
                <c:pt idx="341">
                  <c:v>257.5</c:v>
                </c:pt>
                <c:pt idx="342">
                  <c:v>258</c:v>
                </c:pt>
                <c:pt idx="343">
                  <c:v>258.5</c:v>
                </c:pt>
                <c:pt idx="344">
                  <c:v>259</c:v>
                </c:pt>
                <c:pt idx="345">
                  <c:v>259.5</c:v>
                </c:pt>
                <c:pt idx="346">
                  <c:v>260</c:v>
                </c:pt>
                <c:pt idx="347">
                  <c:v>260.5</c:v>
                </c:pt>
                <c:pt idx="348">
                  <c:v>261</c:v>
                </c:pt>
                <c:pt idx="349">
                  <c:v>261.5</c:v>
                </c:pt>
                <c:pt idx="350">
                  <c:v>262</c:v>
                </c:pt>
                <c:pt idx="351">
                  <c:v>262.5</c:v>
                </c:pt>
                <c:pt idx="352">
                  <c:v>263</c:v>
                </c:pt>
                <c:pt idx="353">
                  <c:v>263.5</c:v>
                </c:pt>
                <c:pt idx="354">
                  <c:v>264</c:v>
                </c:pt>
                <c:pt idx="355">
                  <c:v>264.5</c:v>
                </c:pt>
                <c:pt idx="356">
                  <c:v>265</c:v>
                </c:pt>
                <c:pt idx="357">
                  <c:v>265.5</c:v>
                </c:pt>
                <c:pt idx="358">
                  <c:v>266</c:v>
                </c:pt>
                <c:pt idx="359">
                  <c:v>266.5</c:v>
                </c:pt>
                <c:pt idx="360">
                  <c:v>267</c:v>
                </c:pt>
                <c:pt idx="361">
                  <c:v>267.5</c:v>
                </c:pt>
                <c:pt idx="362">
                  <c:v>268</c:v>
                </c:pt>
                <c:pt idx="363">
                  <c:v>268.5</c:v>
                </c:pt>
                <c:pt idx="364">
                  <c:v>269</c:v>
                </c:pt>
                <c:pt idx="365">
                  <c:v>269.5</c:v>
                </c:pt>
                <c:pt idx="366">
                  <c:v>270</c:v>
                </c:pt>
                <c:pt idx="367">
                  <c:v>270.5</c:v>
                </c:pt>
                <c:pt idx="368">
                  <c:v>271</c:v>
                </c:pt>
                <c:pt idx="369">
                  <c:v>271.5</c:v>
                </c:pt>
                <c:pt idx="370">
                  <c:v>272</c:v>
                </c:pt>
                <c:pt idx="371">
                  <c:v>272.5</c:v>
                </c:pt>
                <c:pt idx="372">
                  <c:v>273</c:v>
                </c:pt>
                <c:pt idx="373">
                  <c:v>273.5</c:v>
                </c:pt>
                <c:pt idx="374">
                  <c:v>274</c:v>
                </c:pt>
                <c:pt idx="375">
                  <c:v>274.5</c:v>
                </c:pt>
                <c:pt idx="376">
                  <c:v>275</c:v>
                </c:pt>
                <c:pt idx="377">
                  <c:v>275.5</c:v>
                </c:pt>
                <c:pt idx="378">
                  <c:v>276</c:v>
                </c:pt>
                <c:pt idx="379">
                  <c:v>276.5</c:v>
                </c:pt>
                <c:pt idx="380">
                  <c:v>277</c:v>
                </c:pt>
                <c:pt idx="381">
                  <c:v>277.5</c:v>
                </c:pt>
                <c:pt idx="382">
                  <c:v>278</c:v>
                </c:pt>
                <c:pt idx="383">
                  <c:v>278.5</c:v>
                </c:pt>
                <c:pt idx="384">
                  <c:v>279</c:v>
                </c:pt>
                <c:pt idx="385">
                  <c:v>279.5</c:v>
                </c:pt>
                <c:pt idx="386">
                  <c:v>280</c:v>
                </c:pt>
                <c:pt idx="387">
                  <c:v>280.5</c:v>
                </c:pt>
                <c:pt idx="388">
                  <c:v>281</c:v>
                </c:pt>
                <c:pt idx="389">
                  <c:v>281.5</c:v>
                </c:pt>
                <c:pt idx="390">
                  <c:v>282</c:v>
                </c:pt>
                <c:pt idx="391">
                  <c:v>282.5</c:v>
                </c:pt>
                <c:pt idx="392">
                  <c:v>283</c:v>
                </c:pt>
                <c:pt idx="393">
                  <c:v>283.5</c:v>
                </c:pt>
                <c:pt idx="394">
                  <c:v>284</c:v>
                </c:pt>
                <c:pt idx="395">
                  <c:v>284.5</c:v>
                </c:pt>
                <c:pt idx="396">
                  <c:v>285</c:v>
                </c:pt>
                <c:pt idx="397">
                  <c:v>285.5</c:v>
                </c:pt>
                <c:pt idx="398">
                  <c:v>286</c:v>
                </c:pt>
                <c:pt idx="399">
                  <c:v>286.5</c:v>
                </c:pt>
                <c:pt idx="400">
                  <c:v>287</c:v>
                </c:pt>
                <c:pt idx="401">
                  <c:v>287.5</c:v>
                </c:pt>
                <c:pt idx="402">
                  <c:v>288</c:v>
                </c:pt>
                <c:pt idx="403">
                  <c:v>288.5</c:v>
                </c:pt>
                <c:pt idx="404">
                  <c:v>289</c:v>
                </c:pt>
                <c:pt idx="405">
                  <c:v>289.5</c:v>
                </c:pt>
                <c:pt idx="406">
                  <c:v>290</c:v>
                </c:pt>
                <c:pt idx="407">
                  <c:v>290.5</c:v>
                </c:pt>
                <c:pt idx="408">
                  <c:v>291</c:v>
                </c:pt>
                <c:pt idx="409">
                  <c:v>291.5</c:v>
                </c:pt>
                <c:pt idx="410">
                  <c:v>292</c:v>
                </c:pt>
                <c:pt idx="411">
                  <c:v>292.5</c:v>
                </c:pt>
                <c:pt idx="412">
                  <c:v>293</c:v>
                </c:pt>
                <c:pt idx="413">
                  <c:v>293.5</c:v>
                </c:pt>
                <c:pt idx="414">
                  <c:v>294</c:v>
                </c:pt>
                <c:pt idx="415">
                  <c:v>294.5</c:v>
                </c:pt>
                <c:pt idx="416">
                  <c:v>295</c:v>
                </c:pt>
                <c:pt idx="417">
                  <c:v>295.5</c:v>
                </c:pt>
                <c:pt idx="418">
                  <c:v>296</c:v>
                </c:pt>
                <c:pt idx="419">
                  <c:v>296.5</c:v>
                </c:pt>
                <c:pt idx="420">
                  <c:v>297</c:v>
                </c:pt>
                <c:pt idx="421">
                  <c:v>297.5</c:v>
                </c:pt>
                <c:pt idx="422">
                  <c:v>298</c:v>
                </c:pt>
                <c:pt idx="423">
                  <c:v>298.5</c:v>
                </c:pt>
                <c:pt idx="424">
                  <c:v>299</c:v>
                </c:pt>
                <c:pt idx="425">
                  <c:v>299.5</c:v>
                </c:pt>
                <c:pt idx="426">
                  <c:v>300</c:v>
                </c:pt>
                <c:pt idx="427">
                  <c:v>300.5</c:v>
                </c:pt>
                <c:pt idx="428">
                  <c:v>301</c:v>
                </c:pt>
                <c:pt idx="429">
                  <c:v>301.5</c:v>
                </c:pt>
                <c:pt idx="430">
                  <c:v>302</c:v>
                </c:pt>
                <c:pt idx="431">
                  <c:v>302.5</c:v>
                </c:pt>
                <c:pt idx="432">
                  <c:v>303</c:v>
                </c:pt>
                <c:pt idx="433">
                  <c:v>303.5</c:v>
                </c:pt>
                <c:pt idx="434">
                  <c:v>304</c:v>
                </c:pt>
                <c:pt idx="435">
                  <c:v>304.5</c:v>
                </c:pt>
                <c:pt idx="436">
                  <c:v>305</c:v>
                </c:pt>
                <c:pt idx="437">
                  <c:v>305.5</c:v>
                </c:pt>
                <c:pt idx="438">
                  <c:v>306</c:v>
                </c:pt>
                <c:pt idx="439">
                  <c:v>306.5</c:v>
                </c:pt>
                <c:pt idx="440">
                  <c:v>307</c:v>
                </c:pt>
                <c:pt idx="441">
                  <c:v>307.5</c:v>
                </c:pt>
                <c:pt idx="442">
                  <c:v>308</c:v>
                </c:pt>
                <c:pt idx="443">
                  <c:v>308.5</c:v>
                </c:pt>
                <c:pt idx="444">
                  <c:v>309</c:v>
                </c:pt>
                <c:pt idx="445">
                  <c:v>309.5</c:v>
                </c:pt>
                <c:pt idx="446">
                  <c:v>310</c:v>
                </c:pt>
                <c:pt idx="447">
                  <c:v>310.5</c:v>
                </c:pt>
                <c:pt idx="448">
                  <c:v>311</c:v>
                </c:pt>
                <c:pt idx="449">
                  <c:v>311.5</c:v>
                </c:pt>
                <c:pt idx="450">
                  <c:v>312</c:v>
                </c:pt>
                <c:pt idx="451">
                  <c:v>312.5</c:v>
                </c:pt>
                <c:pt idx="452">
                  <c:v>313</c:v>
                </c:pt>
                <c:pt idx="453">
                  <c:v>313.5</c:v>
                </c:pt>
                <c:pt idx="454">
                  <c:v>314</c:v>
                </c:pt>
                <c:pt idx="455">
                  <c:v>314.5</c:v>
                </c:pt>
                <c:pt idx="456">
                  <c:v>315</c:v>
                </c:pt>
                <c:pt idx="457">
                  <c:v>315.5</c:v>
                </c:pt>
                <c:pt idx="458">
                  <c:v>316</c:v>
                </c:pt>
                <c:pt idx="459">
                  <c:v>316.5</c:v>
                </c:pt>
                <c:pt idx="460">
                  <c:v>317</c:v>
                </c:pt>
                <c:pt idx="461">
                  <c:v>317.5</c:v>
                </c:pt>
                <c:pt idx="462">
                  <c:v>318</c:v>
                </c:pt>
                <c:pt idx="463">
                  <c:v>318.5</c:v>
                </c:pt>
                <c:pt idx="464">
                  <c:v>319</c:v>
                </c:pt>
                <c:pt idx="465">
                  <c:v>319.5</c:v>
                </c:pt>
                <c:pt idx="466">
                  <c:v>320</c:v>
                </c:pt>
                <c:pt idx="467">
                  <c:v>320.5</c:v>
                </c:pt>
                <c:pt idx="468">
                  <c:v>321</c:v>
                </c:pt>
                <c:pt idx="469">
                  <c:v>321.5</c:v>
                </c:pt>
                <c:pt idx="470">
                  <c:v>322</c:v>
                </c:pt>
                <c:pt idx="471">
                  <c:v>322.5</c:v>
                </c:pt>
                <c:pt idx="472">
                  <c:v>323</c:v>
                </c:pt>
                <c:pt idx="473">
                  <c:v>323.5</c:v>
                </c:pt>
                <c:pt idx="474">
                  <c:v>324</c:v>
                </c:pt>
                <c:pt idx="475">
                  <c:v>324.5</c:v>
                </c:pt>
                <c:pt idx="476">
                  <c:v>325</c:v>
                </c:pt>
                <c:pt idx="477">
                  <c:v>325.5</c:v>
                </c:pt>
                <c:pt idx="478">
                  <c:v>326</c:v>
                </c:pt>
                <c:pt idx="479">
                  <c:v>326.5</c:v>
                </c:pt>
              </c:numCache>
            </c:numRef>
          </c:cat>
          <c:val>
            <c:numRef>
              <c:f>'225C (Sif)'!$C$205:$C$684</c:f>
              <c:numCache>
                <c:formatCode>0.00000</c:formatCode>
                <c:ptCount val="480"/>
                <c:pt idx="0">
                  <c:v>96.412930000000003</c:v>
                </c:pt>
                <c:pt idx="1">
                  <c:v>96.48939</c:v>
                </c:pt>
                <c:pt idx="2">
                  <c:v>96.643860000000004</c:v>
                </c:pt>
                <c:pt idx="3">
                  <c:v>96.727270000000004</c:v>
                </c:pt>
                <c:pt idx="4">
                  <c:v>96.804040000000001</c:v>
                </c:pt>
                <c:pt idx="5">
                  <c:v>96.834879999999998</c:v>
                </c:pt>
                <c:pt idx="6">
                  <c:v>96.838570000000004</c:v>
                </c:pt>
                <c:pt idx="7">
                  <c:v>96.886449999999996</c:v>
                </c:pt>
                <c:pt idx="8">
                  <c:v>96.906019999999998</c:v>
                </c:pt>
                <c:pt idx="9">
                  <c:v>96.900170000000003</c:v>
                </c:pt>
                <c:pt idx="10">
                  <c:v>96.902519999999996</c:v>
                </c:pt>
                <c:pt idx="11">
                  <c:v>96.930459999999997</c:v>
                </c:pt>
                <c:pt idx="12">
                  <c:v>96.907830000000004</c:v>
                </c:pt>
                <c:pt idx="13">
                  <c:v>96.891589999999994</c:v>
                </c:pt>
                <c:pt idx="14">
                  <c:v>96.924440000000004</c:v>
                </c:pt>
                <c:pt idx="15">
                  <c:v>96.902780000000007</c:v>
                </c:pt>
                <c:pt idx="16">
                  <c:v>96.896640000000005</c:v>
                </c:pt>
                <c:pt idx="17">
                  <c:v>96.869860000000003</c:v>
                </c:pt>
                <c:pt idx="18">
                  <c:v>96.886080000000007</c:v>
                </c:pt>
                <c:pt idx="19">
                  <c:v>96.845849999999999</c:v>
                </c:pt>
                <c:pt idx="20">
                  <c:v>96.848370000000003</c:v>
                </c:pt>
                <c:pt idx="21">
                  <c:v>96.837040000000002</c:v>
                </c:pt>
                <c:pt idx="22">
                  <c:v>96.825190000000006</c:v>
                </c:pt>
                <c:pt idx="23">
                  <c:v>96.807100000000005</c:v>
                </c:pt>
                <c:pt idx="24">
                  <c:v>96.778019999999998</c:v>
                </c:pt>
                <c:pt idx="25">
                  <c:v>96.775109999999998</c:v>
                </c:pt>
                <c:pt idx="26">
                  <c:v>96.754300000000001</c:v>
                </c:pt>
                <c:pt idx="27">
                  <c:v>96.763620000000003</c:v>
                </c:pt>
                <c:pt idx="28">
                  <c:v>96.756190000000004</c:v>
                </c:pt>
                <c:pt idx="29">
                  <c:v>96.718239999999994</c:v>
                </c:pt>
                <c:pt idx="30">
                  <c:v>96.705200000000005</c:v>
                </c:pt>
                <c:pt idx="31">
                  <c:v>96.69623</c:v>
                </c:pt>
                <c:pt idx="32">
                  <c:v>96.677109999999999</c:v>
                </c:pt>
                <c:pt idx="33">
                  <c:v>96.678089999999997</c:v>
                </c:pt>
                <c:pt idx="34">
                  <c:v>96.659450000000007</c:v>
                </c:pt>
                <c:pt idx="35">
                  <c:v>96.644970000000001</c:v>
                </c:pt>
                <c:pt idx="36">
                  <c:v>96.627129999999994</c:v>
                </c:pt>
                <c:pt idx="37">
                  <c:v>96.617940000000004</c:v>
                </c:pt>
                <c:pt idx="38">
                  <c:v>96.593890000000002</c:v>
                </c:pt>
                <c:pt idx="39">
                  <c:v>96.587959999999995</c:v>
                </c:pt>
                <c:pt idx="40">
                  <c:v>96.560389999999998</c:v>
                </c:pt>
                <c:pt idx="41">
                  <c:v>96.552530000000004</c:v>
                </c:pt>
                <c:pt idx="42">
                  <c:v>96.530320000000003</c:v>
                </c:pt>
                <c:pt idx="43">
                  <c:v>96.512680000000003</c:v>
                </c:pt>
                <c:pt idx="44">
                  <c:v>96.493309999999994</c:v>
                </c:pt>
                <c:pt idx="45">
                  <c:v>96.473129999999998</c:v>
                </c:pt>
                <c:pt idx="46">
                  <c:v>96.444159999999997</c:v>
                </c:pt>
                <c:pt idx="47">
                  <c:v>96.444509999999994</c:v>
                </c:pt>
                <c:pt idx="48">
                  <c:v>96.407960000000003</c:v>
                </c:pt>
                <c:pt idx="49">
                  <c:v>96.404399999999995</c:v>
                </c:pt>
                <c:pt idx="50">
                  <c:v>96.384320000000002</c:v>
                </c:pt>
                <c:pt idx="51">
                  <c:v>96.368780000000001</c:v>
                </c:pt>
                <c:pt idx="52">
                  <c:v>96.392560000000003</c:v>
                </c:pt>
                <c:pt idx="53">
                  <c:v>96.331879999999998</c:v>
                </c:pt>
                <c:pt idx="54">
                  <c:v>96.319710000000001</c:v>
                </c:pt>
                <c:pt idx="55">
                  <c:v>96.303460000000001</c:v>
                </c:pt>
                <c:pt idx="56">
                  <c:v>96.280029999999996</c:v>
                </c:pt>
                <c:pt idx="57">
                  <c:v>96.274060000000006</c:v>
                </c:pt>
                <c:pt idx="58">
                  <c:v>96.255120000000005</c:v>
                </c:pt>
                <c:pt idx="59">
                  <c:v>96.226780000000005</c:v>
                </c:pt>
                <c:pt idx="60">
                  <c:v>96.196269999999998</c:v>
                </c:pt>
                <c:pt idx="61">
                  <c:v>96.212090000000003</c:v>
                </c:pt>
                <c:pt idx="62">
                  <c:v>96.186959999999999</c:v>
                </c:pt>
                <c:pt idx="63">
                  <c:v>96.149559999999994</c:v>
                </c:pt>
                <c:pt idx="64">
                  <c:v>96.13176</c:v>
                </c:pt>
                <c:pt idx="65">
                  <c:v>96.124290000000002</c:v>
                </c:pt>
                <c:pt idx="66">
                  <c:v>96.089410000000001</c:v>
                </c:pt>
                <c:pt idx="67">
                  <c:v>96.075140000000005</c:v>
                </c:pt>
                <c:pt idx="68">
                  <c:v>96.062439999999995</c:v>
                </c:pt>
                <c:pt idx="69">
                  <c:v>96.036360000000002</c:v>
                </c:pt>
                <c:pt idx="70">
                  <c:v>96.022390000000001</c:v>
                </c:pt>
                <c:pt idx="71">
                  <c:v>96.031660000000002</c:v>
                </c:pt>
                <c:pt idx="72">
                  <c:v>95.982470000000006</c:v>
                </c:pt>
                <c:pt idx="73">
                  <c:v>95.965350000000001</c:v>
                </c:pt>
                <c:pt idx="74">
                  <c:v>95.939930000000004</c:v>
                </c:pt>
                <c:pt idx="75">
                  <c:v>95.93065</c:v>
                </c:pt>
                <c:pt idx="76">
                  <c:v>95.935699999999997</c:v>
                </c:pt>
                <c:pt idx="77">
                  <c:v>95.893469999999994</c:v>
                </c:pt>
                <c:pt idx="78">
                  <c:v>95.868560000000002</c:v>
                </c:pt>
                <c:pt idx="79">
                  <c:v>95.843109999999996</c:v>
                </c:pt>
                <c:pt idx="80">
                  <c:v>95.820549999999997</c:v>
                </c:pt>
                <c:pt idx="81">
                  <c:v>95.822620000000001</c:v>
                </c:pt>
                <c:pt idx="82">
                  <c:v>95.791669999999996</c:v>
                </c:pt>
                <c:pt idx="83">
                  <c:v>95.795609999999996</c:v>
                </c:pt>
                <c:pt idx="84">
                  <c:v>95.753889999999998</c:v>
                </c:pt>
                <c:pt idx="85">
                  <c:v>95.744519999999994</c:v>
                </c:pt>
                <c:pt idx="86">
                  <c:v>95.728629999999995</c:v>
                </c:pt>
                <c:pt idx="87">
                  <c:v>95.694749999999999</c:v>
                </c:pt>
                <c:pt idx="88">
                  <c:v>95.662450000000007</c:v>
                </c:pt>
                <c:pt idx="89">
                  <c:v>95.649500000000003</c:v>
                </c:pt>
                <c:pt idx="90">
                  <c:v>95.650959999999998</c:v>
                </c:pt>
                <c:pt idx="91">
                  <c:v>95.623630000000006</c:v>
                </c:pt>
                <c:pt idx="92">
                  <c:v>95.590980000000002</c:v>
                </c:pt>
                <c:pt idx="93">
                  <c:v>95.58229</c:v>
                </c:pt>
                <c:pt idx="94">
                  <c:v>95.570629999999994</c:v>
                </c:pt>
                <c:pt idx="95">
                  <c:v>95.530879999999996</c:v>
                </c:pt>
                <c:pt idx="96">
                  <c:v>95.519639999999995</c:v>
                </c:pt>
                <c:pt idx="97">
                  <c:v>95.517870000000002</c:v>
                </c:pt>
                <c:pt idx="98">
                  <c:v>95.485240000000005</c:v>
                </c:pt>
                <c:pt idx="99">
                  <c:v>95.475480000000005</c:v>
                </c:pt>
                <c:pt idx="100">
                  <c:v>95.453609999999998</c:v>
                </c:pt>
                <c:pt idx="101">
                  <c:v>95.457710000000006</c:v>
                </c:pt>
                <c:pt idx="102">
                  <c:v>95.408510000000007</c:v>
                </c:pt>
                <c:pt idx="103">
                  <c:v>95.395709999999994</c:v>
                </c:pt>
                <c:pt idx="104">
                  <c:v>95.386319999999998</c:v>
                </c:pt>
                <c:pt idx="105">
                  <c:v>95.355270000000004</c:v>
                </c:pt>
                <c:pt idx="106">
                  <c:v>95.32647</c:v>
                </c:pt>
                <c:pt idx="107">
                  <c:v>95.309299999999993</c:v>
                </c:pt>
                <c:pt idx="108">
                  <c:v>95.299170000000004</c:v>
                </c:pt>
                <c:pt idx="109">
                  <c:v>95.271640000000005</c:v>
                </c:pt>
                <c:pt idx="110">
                  <c:v>95.254480000000001</c:v>
                </c:pt>
                <c:pt idx="111">
                  <c:v>95.207530000000006</c:v>
                </c:pt>
                <c:pt idx="112">
                  <c:v>95.224029999999999</c:v>
                </c:pt>
                <c:pt idx="113">
                  <c:v>95.188699999999997</c:v>
                </c:pt>
                <c:pt idx="114">
                  <c:v>95.192949999999996</c:v>
                </c:pt>
                <c:pt idx="115">
                  <c:v>95.152990000000003</c:v>
                </c:pt>
                <c:pt idx="116">
                  <c:v>95.125540000000001</c:v>
                </c:pt>
                <c:pt idx="117">
                  <c:v>95.090180000000004</c:v>
                </c:pt>
                <c:pt idx="118">
                  <c:v>95.079909999999998</c:v>
                </c:pt>
                <c:pt idx="119">
                  <c:v>95.067149999999998</c:v>
                </c:pt>
                <c:pt idx="120">
                  <c:v>95.047219999999996</c:v>
                </c:pt>
                <c:pt idx="121">
                  <c:v>95.039259999999999</c:v>
                </c:pt>
                <c:pt idx="122">
                  <c:v>94.990189999999998</c:v>
                </c:pt>
                <c:pt idx="123">
                  <c:v>94.973609999999994</c:v>
                </c:pt>
                <c:pt idx="124">
                  <c:v>94.968050000000005</c:v>
                </c:pt>
                <c:pt idx="125">
                  <c:v>94.936660000000003</c:v>
                </c:pt>
                <c:pt idx="126">
                  <c:v>94.902550000000005</c:v>
                </c:pt>
                <c:pt idx="127">
                  <c:v>94.875929999999997</c:v>
                </c:pt>
                <c:pt idx="128">
                  <c:v>94.886179999999996</c:v>
                </c:pt>
                <c:pt idx="129">
                  <c:v>94.840400000000002</c:v>
                </c:pt>
                <c:pt idx="130">
                  <c:v>94.829459999999997</c:v>
                </c:pt>
                <c:pt idx="131">
                  <c:v>94.820300000000003</c:v>
                </c:pt>
                <c:pt idx="132">
                  <c:v>94.802260000000004</c:v>
                </c:pt>
                <c:pt idx="133">
                  <c:v>94.762270000000001</c:v>
                </c:pt>
                <c:pt idx="134">
                  <c:v>94.750979999999998</c:v>
                </c:pt>
                <c:pt idx="135">
                  <c:v>94.744739999999993</c:v>
                </c:pt>
                <c:pt idx="136">
                  <c:v>94.692409999999995</c:v>
                </c:pt>
                <c:pt idx="137">
                  <c:v>94.688429999999997</c:v>
                </c:pt>
                <c:pt idx="138">
                  <c:v>94.645510000000002</c:v>
                </c:pt>
                <c:pt idx="139">
                  <c:v>94.64161</c:v>
                </c:pt>
                <c:pt idx="140">
                  <c:v>94.60284</c:v>
                </c:pt>
                <c:pt idx="141">
                  <c:v>94.610079999999996</c:v>
                </c:pt>
                <c:pt idx="142">
                  <c:v>94.55556</c:v>
                </c:pt>
                <c:pt idx="143">
                  <c:v>94.564009999999996</c:v>
                </c:pt>
                <c:pt idx="144">
                  <c:v>94.523300000000006</c:v>
                </c:pt>
                <c:pt idx="145">
                  <c:v>94.507930000000002</c:v>
                </c:pt>
                <c:pt idx="146">
                  <c:v>94.510069999999999</c:v>
                </c:pt>
                <c:pt idx="147">
                  <c:v>94.462530000000001</c:v>
                </c:pt>
                <c:pt idx="148">
                  <c:v>94.430660000000003</c:v>
                </c:pt>
                <c:pt idx="149">
                  <c:v>94.440029999999993</c:v>
                </c:pt>
                <c:pt idx="150">
                  <c:v>94.411479999999997</c:v>
                </c:pt>
                <c:pt idx="151">
                  <c:v>94.394869999999997</c:v>
                </c:pt>
                <c:pt idx="152">
                  <c:v>94.375870000000006</c:v>
                </c:pt>
                <c:pt idx="153">
                  <c:v>94.349450000000004</c:v>
                </c:pt>
                <c:pt idx="154">
                  <c:v>94.342060000000004</c:v>
                </c:pt>
                <c:pt idx="155">
                  <c:v>94.344589999999997</c:v>
                </c:pt>
                <c:pt idx="156">
                  <c:v>94.303719999999998</c:v>
                </c:pt>
                <c:pt idx="157">
                  <c:v>94.283019999999993</c:v>
                </c:pt>
                <c:pt idx="158">
                  <c:v>94.239549999999994</c:v>
                </c:pt>
                <c:pt idx="159">
                  <c:v>94.252250000000004</c:v>
                </c:pt>
                <c:pt idx="160">
                  <c:v>94.201239999999999</c:v>
                </c:pt>
                <c:pt idx="161">
                  <c:v>94.208470000000005</c:v>
                </c:pt>
                <c:pt idx="162">
                  <c:v>94.184740000000005</c:v>
                </c:pt>
                <c:pt idx="163">
                  <c:v>94.164519999999996</c:v>
                </c:pt>
                <c:pt idx="164">
                  <c:v>94.143109999999993</c:v>
                </c:pt>
                <c:pt idx="165">
                  <c:v>94.117270000000005</c:v>
                </c:pt>
                <c:pt idx="166">
                  <c:v>94.104470000000006</c:v>
                </c:pt>
                <c:pt idx="167">
                  <c:v>94.084040000000002</c:v>
                </c:pt>
                <c:pt idx="168">
                  <c:v>94.065730000000002</c:v>
                </c:pt>
                <c:pt idx="169">
                  <c:v>94.058329999999998</c:v>
                </c:pt>
                <c:pt idx="170">
                  <c:v>94.054670000000002</c:v>
                </c:pt>
                <c:pt idx="171">
                  <c:v>94.033050000000003</c:v>
                </c:pt>
                <c:pt idx="172">
                  <c:v>94.022040000000004</c:v>
                </c:pt>
                <c:pt idx="173">
                  <c:v>94.002549999999999</c:v>
                </c:pt>
                <c:pt idx="174">
                  <c:v>93.985569999999996</c:v>
                </c:pt>
                <c:pt idx="175">
                  <c:v>93.976910000000004</c:v>
                </c:pt>
                <c:pt idx="176">
                  <c:v>93.947649999999996</c:v>
                </c:pt>
                <c:pt idx="177">
                  <c:v>93.921430000000001</c:v>
                </c:pt>
                <c:pt idx="178">
                  <c:v>93.903270000000006</c:v>
                </c:pt>
                <c:pt idx="179">
                  <c:v>93.886740000000003</c:v>
                </c:pt>
                <c:pt idx="180">
                  <c:v>93.862960000000001</c:v>
                </c:pt>
                <c:pt idx="181">
                  <c:v>93.850279999999998</c:v>
                </c:pt>
                <c:pt idx="182">
                  <c:v>93.843260000000001</c:v>
                </c:pt>
                <c:pt idx="183">
                  <c:v>93.819580000000002</c:v>
                </c:pt>
                <c:pt idx="184">
                  <c:v>93.819339999999997</c:v>
                </c:pt>
                <c:pt idx="185">
                  <c:v>93.793660000000003</c:v>
                </c:pt>
                <c:pt idx="186">
                  <c:v>93.76361</c:v>
                </c:pt>
                <c:pt idx="187">
                  <c:v>93.746279999999999</c:v>
                </c:pt>
                <c:pt idx="188">
                  <c:v>93.753410000000002</c:v>
                </c:pt>
                <c:pt idx="189">
                  <c:v>93.717110000000005</c:v>
                </c:pt>
                <c:pt idx="190">
                  <c:v>93.727450000000005</c:v>
                </c:pt>
                <c:pt idx="191">
                  <c:v>93.707790000000003</c:v>
                </c:pt>
                <c:pt idx="192">
                  <c:v>93.690089999999998</c:v>
                </c:pt>
                <c:pt idx="193">
                  <c:v>93.664450000000002</c:v>
                </c:pt>
                <c:pt idx="194">
                  <c:v>93.656800000000004</c:v>
                </c:pt>
                <c:pt idx="195">
                  <c:v>93.635149999999996</c:v>
                </c:pt>
                <c:pt idx="196">
                  <c:v>93.633499999999998</c:v>
                </c:pt>
                <c:pt idx="197">
                  <c:v>93.601990000000001</c:v>
                </c:pt>
                <c:pt idx="198">
                  <c:v>93.589169999999996</c:v>
                </c:pt>
                <c:pt idx="199">
                  <c:v>93.568870000000004</c:v>
                </c:pt>
                <c:pt idx="200">
                  <c:v>93.554760000000002</c:v>
                </c:pt>
                <c:pt idx="201">
                  <c:v>93.53613</c:v>
                </c:pt>
                <c:pt idx="202">
                  <c:v>93.544020000000003</c:v>
                </c:pt>
                <c:pt idx="203">
                  <c:v>93.517970000000005</c:v>
                </c:pt>
                <c:pt idx="204">
                  <c:v>93.494020000000006</c:v>
                </c:pt>
                <c:pt idx="205">
                  <c:v>93.481859999999998</c:v>
                </c:pt>
                <c:pt idx="206">
                  <c:v>93.466279999999998</c:v>
                </c:pt>
                <c:pt idx="207">
                  <c:v>93.442909999999998</c:v>
                </c:pt>
                <c:pt idx="208">
                  <c:v>93.439430000000002</c:v>
                </c:pt>
                <c:pt idx="209">
                  <c:v>93.419659999999993</c:v>
                </c:pt>
                <c:pt idx="210">
                  <c:v>93.403090000000006</c:v>
                </c:pt>
                <c:pt idx="211">
                  <c:v>93.393730000000005</c:v>
                </c:pt>
                <c:pt idx="212">
                  <c:v>93.347949999999997</c:v>
                </c:pt>
                <c:pt idx="213">
                  <c:v>93.342799999999997</c:v>
                </c:pt>
                <c:pt idx="214">
                  <c:v>93.326449999999994</c:v>
                </c:pt>
                <c:pt idx="215">
                  <c:v>93.324380000000005</c:v>
                </c:pt>
                <c:pt idx="216">
                  <c:v>93.307450000000003</c:v>
                </c:pt>
                <c:pt idx="217">
                  <c:v>93.302440000000004</c:v>
                </c:pt>
                <c:pt idx="218">
                  <c:v>93.289590000000004</c:v>
                </c:pt>
                <c:pt idx="219">
                  <c:v>93.254059999999996</c:v>
                </c:pt>
                <c:pt idx="220">
                  <c:v>93.264619999999994</c:v>
                </c:pt>
                <c:pt idx="221">
                  <c:v>93.260900000000007</c:v>
                </c:pt>
                <c:pt idx="222">
                  <c:v>93.231309999999993</c:v>
                </c:pt>
                <c:pt idx="223">
                  <c:v>93.209209999999999</c:v>
                </c:pt>
                <c:pt idx="224">
                  <c:v>93.191190000000006</c:v>
                </c:pt>
                <c:pt idx="225">
                  <c:v>93.189409999999995</c:v>
                </c:pt>
                <c:pt idx="226">
                  <c:v>93.162000000000006</c:v>
                </c:pt>
                <c:pt idx="227">
                  <c:v>93.159760000000006</c:v>
                </c:pt>
                <c:pt idx="228">
                  <c:v>93.125529999999998</c:v>
                </c:pt>
                <c:pt idx="229">
                  <c:v>93.13073</c:v>
                </c:pt>
                <c:pt idx="230">
                  <c:v>93.105069999999998</c:v>
                </c:pt>
                <c:pt idx="231">
                  <c:v>93.103179999999995</c:v>
                </c:pt>
                <c:pt idx="232">
                  <c:v>93.085470000000001</c:v>
                </c:pt>
                <c:pt idx="233">
                  <c:v>93.058070000000001</c:v>
                </c:pt>
                <c:pt idx="234">
                  <c:v>93.033249999999995</c:v>
                </c:pt>
                <c:pt idx="235">
                  <c:v>93.051969999999997</c:v>
                </c:pt>
                <c:pt idx="236">
                  <c:v>93.03116</c:v>
                </c:pt>
                <c:pt idx="237">
                  <c:v>93.016409999999993</c:v>
                </c:pt>
                <c:pt idx="238">
                  <c:v>92.988730000000004</c:v>
                </c:pt>
                <c:pt idx="239">
                  <c:v>92.997290000000007</c:v>
                </c:pt>
                <c:pt idx="240">
                  <c:v>92.984849999999994</c:v>
                </c:pt>
                <c:pt idx="241">
                  <c:v>92.963160000000002</c:v>
                </c:pt>
                <c:pt idx="242">
                  <c:v>92.945779999999999</c:v>
                </c:pt>
                <c:pt idx="243">
                  <c:v>92.917370000000005</c:v>
                </c:pt>
                <c:pt idx="244">
                  <c:v>92.911879999999996</c:v>
                </c:pt>
                <c:pt idx="245">
                  <c:v>92.884320000000002</c:v>
                </c:pt>
                <c:pt idx="246">
                  <c:v>92.883859999999999</c:v>
                </c:pt>
                <c:pt idx="247">
                  <c:v>92.862340000000003</c:v>
                </c:pt>
                <c:pt idx="248">
                  <c:v>92.835229999999996</c:v>
                </c:pt>
                <c:pt idx="249">
                  <c:v>92.81268</c:v>
                </c:pt>
                <c:pt idx="250">
                  <c:v>92.82226</c:v>
                </c:pt>
                <c:pt idx="251">
                  <c:v>92.824200000000005</c:v>
                </c:pt>
                <c:pt idx="252">
                  <c:v>92.804050000000004</c:v>
                </c:pt>
                <c:pt idx="253">
                  <c:v>92.803960000000004</c:v>
                </c:pt>
                <c:pt idx="254">
                  <c:v>92.783299999999997</c:v>
                </c:pt>
                <c:pt idx="255">
                  <c:v>92.758089999999996</c:v>
                </c:pt>
                <c:pt idx="256">
                  <c:v>92.758459999999999</c:v>
                </c:pt>
                <c:pt idx="257">
                  <c:v>92.738579999999999</c:v>
                </c:pt>
                <c:pt idx="258">
                  <c:v>92.707629999999995</c:v>
                </c:pt>
                <c:pt idx="259">
                  <c:v>92.697339999999997</c:v>
                </c:pt>
                <c:pt idx="260">
                  <c:v>92.688450000000003</c:v>
                </c:pt>
                <c:pt idx="261">
                  <c:v>92.683890000000005</c:v>
                </c:pt>
                <c:pt idx="262">
                  <c:v>92.696259999999995</c:v>
                </c:pt>
                <c:pt idx="263">
                  <c:v>92.671710000000004</c:v>
                </c:pt>
                <c:pt idx="264">
                  <c:v>92.654570000000007</c:v>
                </c:pt>
                <c:pt idx="265">
                  <c:v>92.630340000000004</c:v>
                </c:pt>
                <c:pt idx="266">
                  <c:v>92.637799999999999</c:v>
                </c:pt>
                <c:pt idx="267">
                  <c:v>92.615790000000004</c:v>
                </c:pt>
                <c:pt idx="268">
                  <c:v>92.586150000000004</c:v>
                </c:pt>
                <c:pt idx="269">
                  <c:v>92.581100000000006</c:v>
                </c:pt>
                <c:pt idx="270">
                  <c:v>92.575729999999993</c:v>
                </c:pt>
                <c:pt idx="271">
                  <c:v>92.560879999999997</c:v>
                </c:pt>
                <c:pt idx="272">
                  <c:v>92.52807</c:v>
                </c:pt>
                <c:pt idx="273">
                  <c:v>92.548109999999994</c:v>
                </c:pt>
                <c:pt idx="274">
                  <c:v>92.533500000000004</c:v>
                </c:pt>
                <c:pt idx="275">
                  <c:v>92.510760000000005</c:v>
                </c:pt>
                <c:pt idx="276">
                  <c:v>92.491829999999993</c:v>
                </c:pt>
                <c:pt idx="277">
                  <c:v>92.466300000000004</c:v>
                </c:pt>
                <c:pt idx="278">
                  <c:v>92.467910000000003</c:v>
                </c:pt>
                <c:pt idx="279">
                  <c:v>92.442670000000007</c:v>
                </c:pt>
                <c:pt idx="280">
                  <c:v>92.440259999999995</c:v>
                </c:pt>
                <c:pt idx="281">
                  <c:v>92.435169999999999</c:v>
                </c:pt>
                <c:pt idx="282">
                  <c:v>92.405109999999993</c:v>
                </c:pt>
                <c:pt idx="283">
                  <c:v>92.412670000000006</c:v>
                </c:pt>
                <c:pt idx="284">
                  <c:v>92.401799999999994</c:v>
                </c:pt>
                <c:pt idx="285">
                  <c:v>92.364090000000004</c:v>
                </c:pt>
                <c:pt idx="286">
                  <c:v>92.382689999999997</c:v>
                </c:pt>
                <c:pt idx="287">
                  <c:v>92.349059999999994</c:v>
                </c:pt>
                <c:pt idx="288">
                  <c:v>92.350620000000006</c:v>
                </c:pt>
                <c:pt idx="289">
                  <c:v>92.324920000000006</c:v>
                </c:pt>
                <c:pt idx="290">
                  <c:v>92.329580000000007</c:v>
                </c:pt>
                <c:pt idx="291">
                  <c:v>92.308980000000005</c:v>
                </c:pt>
                <c:pt idx="292">
                  <c:v>92.294560000000004</c:v>
                </c:pt>
                <c:pt idx="293">
                  <c:v>92.287430000000001</c:v>
                </c:pt>
                <c:pt idx="294">
                  <c:v>92.263400000000004</c:v>
                </c:pt>
                <c:pt idx="295">
                  <c:v>92.23563</c:v>
                </c:pt>
                <c:pt idx="296">
                  <c:v>92.239940000000004</c:v>
                </c:pt>
                <c:pt idx="297">
                  <c:v>92.26361</c:v>
                </c:pt>
                <c:pt idx="298">
                  <c:v>92.212500000000006</c:v>
                </c:pt>
                <c:pt idx="299">
                  <c:v>92.22139</c:v>
                </c:pt>
                <c:pt idx="300">
                  <c:v>92.196439999999996</c:v>
                </c:pt>
                <c:pt idx="301">
                  <c:v>92.179640000000006</c:v>
                </c:pt>
                <c:pt idx="302">
                  <c:v>92.176580000000001</c:v>
                </c:pt>
                <c:pt idx="303">
                  <c:v>92.161649999999995</c:v>
                </c:pt>
                <c:pt idx="304">
                  <c:v>92.139139999999998</c:v>
                </c:pt>
                <c:pt idx="305">
                  <c:v>92.144810000000007</c:v>
                </c:pt>
                <c:pt idx="306">
                  <c:v>92.135670000000005</c:v>
                </c:pt>
                <c:pt idx="307">
                  <c:v>92.135090000000005</c:v>
                </c:pt>
                <c:pt idx="308">
                  <c:v>92.109949999999998</c:v>
                </c:pt>
                <c:pt idx="309">
                  <c:v>92.095349999999996</c:v>
                </c:pt>
                <c:pt idx="310">
                  <c:v>92.097160000000002</c:v>
                </c:pt>
                <c:pt idx="311">
                  <c:v>92.090050000000005</c:v>
                </c:pt>
                <c:pt idx="312">
                  <c:v>92.06268</c:v>
                </c:pt>
                <c:pt idx="313">
                  <c:v>92.051150000000007</c:v>
                </c:pt>
                <c:pt idx="314">
                  <c:v>92.049499999999995</c:v>
                </c:pt>
                <c:pt idx="315">
                  <c:v>92.033500000000004</c:v>
                </c:pt>
                <c:pt idx="316">
                  <c:v>92.016769999999994</c:v>
                </c:pt>
                <c:pt idx="317">
                  <c:v>92.015020000000007</c:v>
                </c:pt>
                <c:pt idx="318">
                  <c:v>91.980379999999997</c:v>
                </c:pt>
                <c:pt idx="319">
                  <c:v>91.987799999999993</c:v>
                </c:pt>
                <c:pt idx="320">
                  <c:v>91.980369999999994</c:v>
                </c:pt>
                <c:pt idx="321">
                  <c:v>91.968950000000007</c:v>
                </c:pt>
                <c:pt idx="322">
                  <c:v>91.963719999999995</c:v>
                </c:pt>
                <c:pt idx="323">
                  <c:v>91.963470000000001</c:v>
                </c:pt>
                <c:pt idx="324">
                  <c:v>91.930639999999997</c:v>
                </c:pt>
                <c:pt idx="325">
                  <c:v>91.908159999999995</c:v>
                </c:pt>
                <c:pt idx="326">
                  <c:v>91.91995</c:v>
                </c:pt>
                <c:pt idx="327">
                  <c:v>91.933930000000004</c:v>
                </c:pt>
                <c:pt idx="328">
                  <c:v>91.875500000000002</c:v>
                </c:pt>
                <c:pt idx="329">
                  <c:v>91.896460000000005</c:v>
                </c:pt>
                <c:pt idx="330">
                  <c:v>91.883470000000003</c:v>
                </c:pt>
                <c:pt idx="331">
                  <c:v>91.874030000000005</c:v>
                </c:pt>
                <c:pt idx="332">
                  <c:v>91.866879999999995</c:v>
                </c:pt>
                <c:pt idx="333">
                  <c:v>91.861980000000003</c:v>
                </c:pt>
                <c:pt idx="334">
                  <c:v>91.830190000000002</c:v>
                </c:pt>
                <c:pt idx="335">
                  <c:v>91.843109999999996</c:v>
                </c:pt>
                <c:pt idx="336">
                  <c:v>91.834130000000002</c:v>
                </c:pt>
                <c:pt idx="337">
                  <c:v>91.804950000000005</c:v>
                </c:pt>
                <c:pt idx="338">
                  <c:v>91.808409999999995</c:v>
                </c:pt>
                <c:pt idx="339">
                  <c:v>91.803479999999993</c:v>
                </c:pt>
                <c:pt idx="340">
                  <c:v>91.792069999999995</c:v>
                </c:pt>
                <c:pt idx="341">
                  <c:v>91.762020000000007</c:v>
                </c:pt>
                <c:pt idx="342">
                  <c:v>91.751739999999998</c:v>
                </c:pt>
                <c:pt idx="343">
                  <c:v>91.762680000000003</c:v>
                </c:pt>
                <c:pt idx="344">
                  <c:v>91.742710000000002</c:v>
                </c:pt>
                <c:pt idx="345">
                  <c:v>91.726399999999998</c:v>
                </c:pt>
                <c:pt idx="346">
                  <c:v>91.73339</c:v>
                </c:pt>
                <c:pt idx="347">
                  <c:v>91.697149999999993</c:v>
                </c:pt>
                <c:pt idx="348">
                  <c:v>91.69717</c:v>
                </c:pt>
                <c:pt idx="349">
                  <c:v>91.680899999999994</c:v>
                </c:pt>
                <c:pt idx="350">
                  <c:v>91.681020000000004</c:v>
                </c:pt>
                <c:pt idx="351">
                  <c:v>91.662480000000002</c:v>
                </c:pt>
                <c:pt idx="352">
                  <c:v>91.664699999999996</c:v>
                </c:pt>
                <c:pt idx="353">
                  <c:v>91.655289999999994</c:v>
                </c:pt>
                <c:pt idx="354">
                  <c:v>91.611360000000005</c:v>
                </c:pt>
                <c:pt idx="355">
                  <c:v>91.631640000000004</c:v>
                </c:pt>
                <c:pt idx="356">
                  <c:v>91.593649999999997</c:v>
                </c:pt>
                <c:pt idx="357">
                  <c:v>91.604140000000001</c:v>
                </c:pt>
                <c:pt idx="358">
                  <c:v>91.572789999999998</c:v>
                </c:pt>
                <c:pt idx="359">
                  <c:v>91.560280000000006</c:v>
                </c:pt>
                <c:pt idx="360">
                  <c:v>91.560249999999996</c:v>
                </c:pt>
                <c:pt idx="361">
                  <c:v>91.545550000000006</c:v>
                </c:pt>
                <c:pt idx="362">
                  <c:v>91.521569999999997</c:v>
                </c:pt>
                <c:pt idx="363">
                  <c:v>91.535979999999995</c:v>
                </c:pt>
                <c:pt idx="364">
                  <c:v>91.521550000000005</c:v>
                </c:pt>
                <c:pt idx="365">
                  <c:v>91.504230000000007</c:v>
                </c:pt>
                <c:pt idx="366">
                  <c:v>91.489239999999995</c:v>
                </c:pt>
                <c:pt idx="367">
                  <c:v>91.476209999999995</c:v>
                </c:pt>
                <c:pt idx="368">
                  <c:v>91.461619999999996</c:v>
                </c:pt>
                <c:pt idx="369">
                  <c:v>91.430509999999998</c:v>
                </c:pt>
                <c:pt idx="370">
                  <c:v>91.437839999999994</c:v>
                </c:pt>
                <c:pt idx="371">
                  <c:v>91.403670000000005</c:v>
                </c:pt>
                <c:pt idx="372">
                  <c:v>91.412689999999998</c:v>
                </c:pt>
                <c:pt idx="373">
                  <c:v>91.398910000000001</c:v>
                </c:pt>
                <c:pt idx="374">
                  <c:v>91.394239999999996</c:v>
                </c:pt>
                <c:pt idx="375">
                  <c:v>91.380619999999993</c:v>
                </c:pt>
                <c:pt idx="376">
                  <c:v>91.353579999999994</c:v>
                </c:pt>
                <c:pt idx="377">
                  <c:v>91.329580000000007</c:v>
                </c:pt>
                <c:pt idx="378">
                  <c:v>91.353719999999996</c:v>
                </c:pt>
                <c:pt idx="379">
                  <c:v>91.300759999999997</c:v>
                </c:pt>
                <c:pt idx="380">
                  <c:v>91.304670000000002</c:v>
                </c:pt>
                <c:pt idx="381">
                  <c:v>91.286090000000002</c:v>
                </c:pt>
                <c:pt idx="382">
                  <c:v>91.304310000000001</c:v>
                </c:pt>
                <c:pt idx="383">
                  <c:v>91.273399999999995</c:v>
                </c:pt>
                <c:pt idx="384">
                  <c:v>91.256659999999997</c:v>
                </c:pt>
                <c:pt idx="385">
                  <c:v>91.25564</c:v>
                </c:pt>
                <c:pt idx="386">
                  <c:v>91.231340000000003</c:v>
                </c:pt>
                <c:pt idx="387">
                  <c:v>91.2089</c:v>
                </c:pt>
                <c:pt idx="388">
                  <c:v>91.236400000000003</c:v>
                </c:pt>
                <c:pt idx="389">
                  <c:v>91.18441</c:v>
                </c:pt>
                <c:pt idx="390">
                  <c:v>91.18759</c:v>
                </c:pt>
                <c:pt idx="391">
                  <c:v>91.170820000000006</c:v>
                </c:pt>
                <c:pt idx="392">
                  <c:v>91.180059999999997</c:v>
                </c:pt>
                <c:pt idx="393">
                  <c:v>91.152649999999994</c:v>
                </c:pt>
                <c:pt idx="394">
                  <c:v>91.125550000000004</c:v>
                </c:pt>
                <c:pt idx="395">
                  <c:v>91.134950000000003</c:v>
                </c:pt>
                <c:pt idx="396">
                  <c:v>91.098479999999995</c:v>
                </c:pt>
                <c:pt idx="397">
                  <c:v>91.10342</c:v>
                </c:pt>
                <c:pt idx="398">
                  <c:v>91.110820000000004</c:v>
                </c:pt>
                <c:pt idx="399">
                  <c:v>91.093860000000006</c:v>
                </c:pt>
                <c:pt idx="400">
                  <c:v>91.084999999999994</c:v>
                </c:pt>
                <c:pt idx="401">
                  <c:v>91.072069999999997</c:v>
                </c:pt>
                <c:pt idx="402">
                  <c:v>91.040369999999996</c:v>
                </c:pt>
                <c:pt idx="403">
                  <c:v>91.068740000000005</c:v>
                </c:pt>
                <c:pt idx="404">
                  <c:v>91.021960000000007</c:v>
                </c:pt>
                <c:pt idx="405">
                  <c:v>91.026210000000006</c:v>
                </c:pt>
                <c:pt idx="406">
                  <c:v>91.021150000000006</c:v>
                </c:pt>
                <c:pt idx="407">
                  <c:v>91.015550000000005</c:v>
                </c:pt>
                <c:pt idx="408">
                  <c:v>91.004940000000005</c:v>
                </c:pt>
                <c:pt idx="409">
                  <c:v>90.999390000000005</c:v>
                </c:pt>
                <c:pt idx="410">
                  <c:v>90.987350000000006</c:v>
                </c:pt>
                <c:pt idx="411">
                  <c:v>90.948449999999994</c:v>
                </c:pt>
                <c:pt idx="412">
                  <c:v>90.968689999999995</c:v>
                </c:pt>
                <c:pt idx="413">
                  <c:v>90.930670000000006</c:v>
                </c:pt>
                <c:pt idx="414">
                  <c:v>90.942769999999996</c:v>
                </c:pt>
                <c:pt idx="415">
                  <c:v>90.950419999999994</c:v>
                </c:pt>
                <c:pt idx="416">
                  <c:v>90.931690000000003</c:v>
                </c:pt>
                <c:pt idx="417">
                  <c:v>90.907979999999995</c:v>
                </c:pt>
                <c:pt idx="418">
                  <c:v>90.919470000000004</c:v>
                </c:pt>
                <c:pt idx="419">
                  <c:v>90.890339999999995</c:v>
                </c:pt>
                <c:pt idx="420">
                  <c:v>90.911320000000003</c:v>
                </c:pt>
                <c:pt idx="421">
                  <c:v>90.873729999999995</c:v>
                </c:pt>
                <c:pt idx="422">
                  <c:v>90.873559999999998</c:v>
                </c:pt>
                <c:pt idx="423">
                  <c:v>90.848020000000005</c:v>
                </c:pt>
                <c:pt idx="424">
                  <c:v>90.854969999999994</c:v>
                </c:pt>
                <c:pt idx="425">
                  <c:v>90.815280000000001</c:v>
                </c:pt>
                <c:pt idx="426">
                  <c:v>90.854770000000002</c:v>
                </c:pt>
                <c:pt idx="427">
                  <c:v>90.844139999999996</c:v>
                </c:pt>
                <c:pt idx="428">
                  <c:v>90.806089999999998</c:v>
                </c:pt>
                <c:pt idx="429">
                  <c:v>90.825739999999996</c:v>
                </c:pt>
                <c:pt idx="430">
                  <c:v>90.805959999999999</c:v>
                </c:pt>
                <c:pt idx="431">
                  <c:v>90.794079999999994</c:v>
                </c:pt>
                <c:pt idx="432">
                  <c:v>90.777209999999997</c:v>
                </c:pt>
                <c:pt idx="433">
                  <c:v>90.760180000000005</c:v>
                </c:pt>
                <c:pt idx="434">
                  <c:v>90.751249999999999</c:v>
                </c:pt>
                <c:pt idx="435">
                  <c:v>90.751670000000004</c:v>
                </c:pt>
                <c:pt idx="436">
                  <c:v>90.752529999999993</c:v>
                </c:pt>
                <c:pt idx="437">
                  <c:v>90.756320000000002</c:v>
                </c:pt>
                <c:pt idx="438">
                  <c:v>90.692340000000002</c:v>
                </c:pt>
                <c:pt idx="439">
                  <c:v>90.721770000000006</c:v>
                </c:pt>
                <c:pt idx="440">
                  <c:v>90.731930000000006</c:v>
                </c:pt>
                <c:pt idx="441">
                  <c:v>90.678219999999996</c:v>
                </c:pt>
                <c:pt idx="442">
                  <c:v>90.665899999999993</c:v>
                </c:pt>
                <c:pt idx="443">
                  <c:v>90.654210000000006</c:v>
                </c:pt>
                <c:pt idx="444">
                  <c:v>90.643330000000006</c:v>
                </c:pt>
                <c:pt idx="445">
                  <c:v>90.636060000000001</c:v>
                </c:pt>
                <c:pt idx="446">
                  <c:v>90.637749999999997</c:v>
                </c:pt>
                <c:pt idx="447">
                  <c:v>90.623239999999996</c:v>
                </c:pt>
                <c:pt idx="448">
                  <c:v>90.619299999999996</c:v>
                </c:pt>
                <c:pt idx="449">
                  <c:v>90.604939999999999</c:v>
                </c:pt>
                <c:pt idx="450">
                  <c:v>90.595489999999998</c:v>
                </c:pt>
                <c:pt idx="451">
                  <c:v>90.582740000000001</c:v>
                </c:pt>
                <c:pt idx="452">
                  <c:v>90.593670000000003</c:v>
                </c:pt>
                <c:pt idx="453">
                  <c:v>90.570580000000007</c:v>
                </c:pt>
                <c:pt idx="454">
                  <c:v>90.572280000000006</c:v>
                </c:pt>
                <c:pt idx="455">
                  <c:v>90.524339999999995</c:v>
                </c:pt>
                <c:pt idx="456">
                  <c:v>90.522180000000006</c:v>
                </c:pt>
                <c:pt idx="457">
                  <c:v>90.54853</c:v>
                </c:pt>
                <c:pt idx="458">
                  <c:v>90.515519999999995</c:v>
                </c:pt>
                <c:pt idx="459">
                  <c:v>90.537869999999998</c:v>
                </c:pt>
                <c:pt idx="460">
                  <c:v>90.476640000000003</c:v>
                </c:pt>
                <c:pt idx="461">
                  <c:v>90.480980000000002</c:v>
                </c:pt>
                <c:pt idx="462">
                  <c:v>90.498930000000001</c:v>
                </c:pt>
                <c:pt idx="463">
                  <c:v>90.479100000000003</c:v>
                </c:pt>
                <c:pt idx="464">
                  <c:v>90.464299999999994</c:v>
                </c:pt>
                <c:pt idx="465">
                  <c:v>90.446299999999994</c:v>
                </c:pt>
                <c:pt idx="466">
                  <c:v>90.451809999999995</c:v>
                </c:pt>
                <c:pt idx="467">
                  <c:v>90.441370000000006</c:v>
                </c:pt>
                <c:pt idx="468">
                  <c:v>90.428970000000007</c:v>
                </c:pt>
                <c:pt idx="469">
                  <c:v>90.420169999999999</c:v>
                </c:pt>
                <c:pt idx="470">
                  <c:v>90.409710000000004</c:v>
                </c:pt>
                <c:pt idx="471">
                  <c:v>90.416690000000003</c:v>
                </c:pt>
                <c:pt idx="472">
                  <c:v>90.351159999999993</c:v>
                </c:pt>
                <c:pt idx="473">
                  <c:v>90.385540000000006</c:v>
                </c:pt>
                <c:pt idx="474">
                  <c:v>90.35163</c:v>
                </c:pt>
                <c:pt idx="475">
                  <c:v>90.378230000000002</c:v>
                </c:pt>
                <c:pt idx="476">
                  <c:v>90.374830000000003</c:v>
                </c:pt>
                <c:pt idx="477">
                  <c:v>90.356179999999995</c:v>
                </c:pt>
                <c:pt idx="478">
                  <c:v>90.349540000000005</c:v>
                </c:pt>
                <c:pt idx="479">
                  <c:v>90.359690000000001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C2-794D-9F1A-D416CAFED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0626240"/>
        <c:axId val="2053610159"/>
      </c:lineChart>
      <c:catAx>
        <c:axId val="136062624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053610159"/>
        <c:crosses val="autoZero"/>
        <c:auto val="1"/>
        <c:lblAlgn val="ctr"/>
        <c:lblOffset val="100"/>
        <c:noMultiLvlLbl val="0"/>
      </c:catAx>
      <c:valAx>
        <c:axId val="205361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36062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mass% /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'250C (Sif)'!$B$31:$B$1411</c:f>
              <c:strCache>
                <c:ptCount val="1381"/>
                <c:pt idx="0">
                  <c:v>Time/min</c:v>
                </c:pt>
                <c:pt idx="1">
                  <c:v>0,50000</c:v>
                </c:pt>
                <c:pt idx="2">
                  <c:v>1,00000</c:v>
                </c:pt>
                <c:pt idx="3">
                  <c:v>1,50000</c:v>
                </c:pt>
                <c:pt idx="4">
                  <c:v>2,00000</c:v>
                </c:pt>
                <c:pt idx="5">
                  <c:v>2,50000</c:v>
                </c:pt>
                <c:pt idx="6">
                  <c:v>3,00000</c:v>
                </c:pt>
                <c:pt idx="7">
                  <c:v>3,50000</c:v>
                </c:pt>
                <c:pt idx="8">
                  <c:v>4,00000</c:v>
                </c:pt>
                <c:pt idx="9">
                  <c:v>4,50000</c:v>
                </c:pt>
                <c:pt idx="10">
                  <c:v>5,00000</c:v>
                </c:pt>
                <c:pt idx="11">
                  <c:v>5,50000</c:v>
                </c:pt>
                <c:pt idx="12">
                  <c:v>6,00000</c:v>
                </c:pt>
                <c:pt idx="13">
                  <c:v>6,50000</c:v>
                </c:pt>
                <c:pt idx="14">
                  <c:v>7,00000</c:v>
                </c:pt>
                <c:pt idx="15">
                  <c:v>7,50000</c:v>
                </c:pt>
                <c:pt idx="16">
                  <c:v>8,00000</c:v>
                </c:pt>
                <c:pt idx="17">
                  <c:v>8,50000</c:v>
                </c:pt>
                <c:pt idx="18">
                  <c:v>9,00000</c:v>
                </c:pt>
                <c:pt idx="19">
                  <c:v>9,50000</c:v>
                </c:pt>
                <c:pt idx="20">
                  <c:v>10,00000</c:v>
                </c:pt>
                <c:pt idx="21">
                  <c:v>10,50000</c:v>
                </c:pt>
                <c:pt idx="22">
                  <c:v>11,00000</c:v>
                </c:pt>
                <c:pt idx="23">
                  <c:v>11,50000</c:v>
                </c:pt>
                <c:pt idx="24">
                  <c:v>12,00000</c:v>
                </c:pt>
                <c:pt idx="25">
                  <c:v>12,50000</c:v>
                </c:pt>
                <c:pt idx="26">
                  <c:v>13,00000</c:v>
                </c:pt>
                <c:pt idx="27">
                  <c:v>13,50000</c:v>
                </c:pt>
                <c:pt idx="28">
                  <c:v>14,00000</c:v>
                </c:pt>
                <c:pt idx="29">
                  <c:v>14,50000</c:v>
                </c:pt>
                <c:pt idx="30">
                  <c:v>15,00000</c:v>
                </c:pt>
                <c:pt idx="31">
                  <c:v>15,50000</c:v>
                </c:pt>
                <c:pt idx="32">
                  <c:v>16,00000</c:v>
                </c:pt>
                <c:pt idx="33">
                  <c:v>16,50000</c:v>
                </c:pt>
                <c:pt idx="34">
                  <c:v>17,00000</c:v>
                </c:pt>
                <c:pt idx="35">
                  <c:v>17,50000</c:v>
                </c:pt>
                <c:pt idx="36">
                  <c:v>18,00000</c:v>
                </c:pt>
                <c:pt idx="37">
                  <c:v>18,50000</c:v>
                </c:pt>
                <c:pt idx="38">
                  <c:v>19,00000</c:v>
                </c:pt>
                <c:pt idx="39">
                  <c:v>19,50000</c:v>
                </c:pt>
                <c:pt idx="40">
                  <c:v>20,00000</c:v>
                </c:pt>
                <c:pt idx="41">
                  <c:v>20,50000</c:v>
                </c:pt>
                <c:pt idx="42">
                  <c:v>21,00000</c:v>
                </c:pt>
                <c:pt idx="43">
                  <c:v>21,50000</c:v>
                </c:pt>
                <c:pt idx="44">
                  <c:v>22,00000</c:v>
                </c:pt>
                <c:pt idx="45">
                  <c:v>22,50000</c:v>
                </c:pt>
                <c:pt idx="46">
                  <c:v>23,00000</c:v>
                </c:pt>
                <c:pt idx="47">
                  <c:v>23,50000</c:v>
                </c:pt>
                <c:pt idx="48">
                  <c:v>24,00000</c:v>
                </c:pt>
                <c:pt idx="49">
                  <c:v>24,50000</c:v>
                </c:pt>
                <c:pt idx="50">
                  <c:v>25,00000</c:v>
                </c:pt>
                <c:pt idx="51">
                  <c:v>25,50000</c:v>
                </c:pt>
                <c:pt idx="52">
                  <c:v>26,00000</c:v>
                </c:pt>
                <c:pt idx="53">
                  <c:v>26,50000</c:v>
                </c:pt>
                <c:pt idx="54">
                  <c:v>27,00000</c:v>
                </c:pt>
                <c:pt idx="55">
                  <c:v>27,50000</c:v>
                </c:pt>
                <c:pt idx="56">
                  <c:v>28,00000</c:v>
                </c:pt>
                <c:pt idx="57">
                  <c:v>28,50000</c:v>
                </c:pt>
                <c:pt idx="58">
                  <c:v>29,00000</c:v>
                </c:pt>
                <c:pt idx="59">
                  <c:v>29,50000</c:v>
                </c:pt>
                <c:pt idx="60">
                  <c:v>30,00000</c:v>
                </c:pt>
                <c:pt idx="61">
                  <c:v>30,50000</c:v>
                </c:pt>
                <c:pt idx="62">
                  <c:v>31,00000</c:v>
                </c:pt>
                <c:pt idx="63">
                  <c:v>31,50000</c:v>
                </c:pt>
                <c:pt idx="64">
                  <c:v>32,00000</c:v>
                </c:pt>
                <c:pt idx="65">
                  <c:v>32,50000</c:v>
                </c:pt>
                <c:pt idx="66">
                  <c:v>33,00000</c:v>
                </c:pt>
                <c:pt idx="67">
                  <c:v>33,50000</c:v>
                </c:pt>
                <c:pt idx="68">
                  <c:v>34,00000</c:v>
                </c:pt>
                <c:pt idx="69">
                  <c:v>34,50000</c:v>
                </c:pt>
                <c:pt idx="70">
                  <c:v>35,00000</c:v>
                </c:pt>
                <c:pt idx="71">
                  <c:v>35,50000</c:v>
                </c:pt>
                <c:pt idx="72">
                  <c:v>36,00000</c:v>
                </c:pt>
                <c:pt idx="73">
                  <c:v>36,50000</c:v>
                </c:pt>
                <c:pt idx="74">
                  <c:v>37,00000</c:v>
                </c:pt>
                <c:pt idx="75">
                  <c:v>37,50000</c:v>
                </c:pt>
                <c:pt idx="76">
                  <c:v>38,00000</c:v>
                </c:pt>
                <c:pt idx="77">
                  <c:v>38,50000</c:v>
                </c:pt>
                <c:pt idx="78">
                  <c:v>39,00000</c:v>
                </c:pt>
                <c:pt idx="79">
                  <c:v>39,50000</c:v>
                </c:pt>
                <c:pt idx="80">
                  <c:v>40,00000</c:v>
                </c:pt>
                <c:pt idx="81">
                  <c:v>40,50000</c:v>
                </c:pt>
                <c:pt idx="82">
                  <c:v>41,00000</c:v>
                </c:pt>
                <c:pt idx="83">
                  <c:v>41,50000</c:v>
                </c:pt>
                <c:pt idx="84">
                  <c:v>42,00000</c:v>
                </c:pt>
                <c:pt idx="85">
                  <c:v>42,50000</c:v>
                </c:pt>
                <c:pt idx="86">
                  <c:v>43,00000</c:v>
                </c:pt>
                <c:pt idx="87">
                  <c:v>43,50000</c:v>
                </c:pt>
                <c:pt idx="88">
                  <c:v>44,00000</c:v>
                </c:pt>
                <c:pt idx="89">
                  <c:v>44,50000</c:v>
                </c:pt>
                <c:pt idx="90">
                  <c:v>45,00000</c:v>
                </c:pt>
                <c:pt idx="91">
                  <c:v>45,50000</c:v>
                </c:pt>
                <c:pt idx="92">
                  <c:v>46,00000</c:v>
                </c:pt>
                <c:pt idx="93">
                  <c:v>46,50000</c:v>
                </c:pt>
                <c:pt idx="94">
                  <c:v>47,00000</c:v>
                </c:pt>
                <c:pt idx="95">
                  <c:v>47,50000</c:v>
                </c:pt>
                <c:pt idx="96">
                  <c:v>48,00000</c:v>
                </c:pt>
                <c:pt idx="97">
                  <c:v>48,50000</c:v>
                </c:pt>
                <c:pt idx="98">
                  <c:v>49,00000</c:v>
                </c:pt>
                <c:pt idx="99">
                  <c:v>49,50000</c:v>
                </c:pt>
                <c:pt idx="100">
                  <c:v>50,00000</c:v>
                </c:pt>
                <c:pt idx="101">
                  <c:v>50,50000</c:v>
                </c:pt>
                <c:pt idx="102">
                  <c:v>51,00000</c:v>
                </c:pt>
                <c:pt idx="103">
                  <c:v>51,50000</c:v>
                </c:pt>
                <c:pt idx="104">
                  <c:v>52,00000</c:v>
                </c:pt>
                <c:pt idx="105">
                  <c:v>52,50000</c:v>
                </c:pt>
                <c:pt idx="106">
                  <c:v>53,00000</c:v>
                </c:pt>
                <c:pt idx="107">
                  <c:v>53,50000</c:v>
                </c:pt>
                <c:pt idx="108">
                  <c:v>54,00000</c:v>
                </c:pt>
                <c:pt idx="109">
                  <c:v>54,50000</c:v>
                </c:pt>
                <c:pt idx="110">
                  <c:v>55,00000</c:v>
                </c:pt>
                <c:pt idx="111">
                  <c:v>55,50000</c:v>
                </c:pt>
                <c:pt idx="112">
                  <c:v>56,00000</c:v>
                </c:pt>
                <c:pt idx="113">
                  <c:v>56,50000</c:v>
                </c:pt>
                <c:pt idx="114">
                  <c:v>57,00000</c:v>
                </c:pt>
                <c:pt idx="115">
                  <c:v>57,50000</c:v>
                </c:pt>
                <c:pt idx="116">
                  <c:v>58,00000</c:v>
                </c:pt>
                <c:pt idx="117">
                  <c:v>58,50000</c:v>
                </c:pt>
                <c:pt idx="118">
                  <c:v>59,00000</c:v>
                </c:pt>
                <c:pt idx="119">
                  <c:v>59,50000</c:v>
                </c:pt>
                <c:pt idx="120">
                  <c:v>60,00000</c:v>
                </c:pt>
                <c:pt idx="121">
                  <c:v>60,50000</c:v>
                </c:pt>
                <c:pt idx="122">
                  <c:v>61,00000</c:v>
                </c:pt>
                <c:pt idx="123">
                  <c:v>61,50000</c:v>
                </c:pt>
                <c:pt idx="124">
                  <c:v>62,00000</c:v>
                </c:pt>
                <c:pt idx="125">
                  <c:v>62,50000</c:v>
                </c:pt>
                <c:pt idx="126">
                  <c:v>63,00000</c:v>
                </c:pt>
                <c:pt idx="127">
                  <c:v>63,50000</c:v>
                </c:pt>
                <c:pt idx="128">
                  <c:v>64,00000</c:v>
                </c:pt>
                <c:pt idx="129">
                  <c:v>64,50000</c:v>
                </c:pt>
                <c:pt idx="130">
                  <c:v>65,00000</c:v>
                </c:pt>
                <c:pt idx="131">
                  <c:v>65,50000</c:v>
                </c:pt>
                <c:pt idx="132">
                  <c:v>66,00000</c:v>
                </c:pt>
                <c:pt idx="133">
                  <c:v>66,50000</c:v>
                </c:pt>
                <c:pt idx="134">
                  <c:v>67,00000</c:v>
                </c:pt>
                <c:pt idx="135">
                  <c:v>67,50000</c:v>
                </c:pt>
                <c:pt idx="136">
                  <c:v>68,00000</c:v>
                </c:pt>
                <c:pt idx="137">
                  <c:v>68,50000</c:v>
                </c:pt>
                <c:pt idx="138">
                  <c:v>69,00000</c:v>
                </c:pt>
                <c:pt idx="139">
                  <c:v>69,50000</c:v>
                </c:pt>
                <c:pt idx="140">
                  <c:v>70,00000</c:v>
                </c:pt>
                <c:pt idx="141">
                  <c:v>70,50000</c:v>
                </c:pt>
                <c:pt idx="142">
                  <c:v>71,00000</c:v>
                </c:pt>
                <c:pt idx="143">
                  <c:v>71,50000</c:v>
                </c:pt>
                <c:pt idx="144">
                  <c:v>72,00000</c:v>
                </c:pt>
                <c:pt idx="145">
                  <c:v>72,50000</c:v>
                </c:pt>
                <c:pt idx="146">
                  <c:v>73,00000</c:v>
                </c:pt>
                <c:pt idx="147">
                  <c:v>73,50000</c:v>
                </c:pt>
                <c:pt idx="148">
                  <c:v>74,00000</c:v>
                </c:pt>
                <c:pt idx="149">
                  <c:v>74,50000</c:v>
                </c:pt>
                <c:pt idx="150">
                  <c:v>75,00000</c:v>
                </c:pt>
                <c:pt idx="151">
                  <c:v>75,50000</c:v>
                </c:pt>
                <c:pt idx="152">
                  <c:v>76,00000</c:v>
                </c:pt>
                <c:pt idx="153">
                  <c:v>76,50000</c:v>
                </c:pt>
                <c:pt idx="154">
                  <c:v>77,00000</c:v>
                </c:pt>
                <c:pt idx="155">
                  <c:v>77,50000</c:v>
                </c:pt>
                <c:pt idx="156">
                  <c:v>78,00000</c:v>
                </c:pt>
                <c:pt idx="157">
                  <c:v>78,50000</c:v>
                </c:pt>
                <c:pt idx="158">
                  <c:v>79,00000</c:v>
                </c:pt>
                <c:pt idx="159">
                  <c:v>79,50000</c:v>
                </c:pt>
                <c:pt idx="160">
                  <c:v>80,00000</c:v>
                </c:pt>
                <c:pt idx="161">
                  <c:v>80,50000</c:v>
                </c:pt>
                <c:pt idx="162">
                  <c:v>81,00000</c:v>
                </c:pt>
                <c:pt idx="163">
                  <c:v>81,50000</c:v>
                </c:pt>
                <c:pt idx="164">
                  <c:v>82,00000</c:v>
                </c:pt>
                <c:pt idx="165">
                  <c:v>82,50000</c:v>
                </c:pt>
                <c:pt idx="166">
                  <c:v>83,00000</c:v>
                </c:pt>
                <c:pt idx="167">
                  <c:v>83,50000</c:v>
                </c:pt>
                <c:pt idx="168">
                  <c:v>84,00000</c:v>
                </c:pt>
                <c:pt idx="169">
                  <c:v>84,50000</c:v>
                </c:pt>
                <c:pt idx="170">
                  <c:v>85,00000</c:v>
                </c:pt>
                <c:pt idx="171">
                  <c:v>85,50000</c:v>
                </c:pt>
                <c:pt idx="172">
                  <c:v>86,00000</c:v>
                </c:pt>
                <c:pt idx="173">
                  <c:v>86,50000</c:v>
                </c:pt>
                <c:pt idx="174">
                  <c:v>87,00000</c:v>
                </c:pt>
                <c:pt idx="175">
                  <c:v>87,50000</c:v>
                </c:pt>
                <c:pt idx="176">
                  <c:v>88,00000</c:v>
                </c:pt>
                <c:pt idx="177">
                  <c:v>88,50000</c:v>
                </c:pt>
                <c:pt idx="178">
                  <c:v>89,00000</c:v>
                </c:pt>
                <c:pt idx="179">
                  <c:v>89,50000</c:v>
                </c:pt>
                <c:pt idx="180">
                  <c:v>90,00000</c:v>
                </c:pt>
                <c:pt idx="181">
                  <c:v>90,50000</c:v>
                </c:pt>
                <c:pt idx="182">
                  <c:v>91,00000</c:v>
                </c:pt>
                <c:pt idx="183">
                  <c:v>91,50000</c:v>
                </c:pt>
                <c:pt idx="184">
                  <c:v>92,00000</c:v>
                </c:pt>
                <c:pt idx="185">
                  <c:v>92,50000</c:v>
                </c:pt>
                <c:pt idx="186">
                  <c:v>93,00000</c:v>
                </c:pt>
                <c:pt idx="187">
                  <c:v>93,50000</c:v>
                </c:pt>
                <c:pt idx="188">
                  <c:v>94,00000</c:v>
                </c:pt>
                <c:pt idx="189">
                  <c:v>94,50000</c:v>
                </c:pt>
                <c:pt idx="190">
                  <c:v>95,00000</c:v>
                </c:pt>
                <c:pt idx="191">
                  <c:v>95,50000</c:v>
                </c:pt>
                <c:pt idx="192">
                  <c:v>96,00000</c:v>
                </c:pt>
                <c:pt idx="193">
                  <c:v>96,50000</c:v>
                </c:pt>
                <c:pt idx="194">
                  <c:v>97,00000</c:v>
                </c:pt>
                <c:pt idx="195">
                  <c:v>97,50000</c:v>
                </c:pt>
                <c:pt idx="196">
                  <c:v>98,00000</c:v>
                </c:pt>
                <c:pt idx="197">
                  <c:v>98,50000</c:v>
                </c:pt>
                <c:pt idx="198">
                  <c:v>99,00000</c:v>
                </c:pt>
                <c:pt idx="199">
                  <c:v>99,50000</c:v>
                </c:pt>
                <c:pt idx="200">
                  <c:v>100,00000</c:v>
                </c:pt>
                <c:pt idx="201">
                  <c:v>100,50000</c:v>
                </c:pt>
                <c:pt idx="202">
                  <c:v>101,00000</c:v>
                </c:pt>
                <c:pt idx="203">
                  <c:v>101,50000</c:v>
                </c:pt>
                <c:pt idx="204">
                  <c:v>102,00000</c:v>
                </c:pt>
                <c:pt idx="205">
                  <c:v>102,50000</c:v>
                </c:pt>
                <c:pt idx="206">
                  <c:v>103,00000</c:v>
                </c:pt>
                <c:pt idx="207">
                  <c:v>103,50000</c:v>
                </c:pt>
                <c:pt idx="208">
                  <c:v>104,00000</c:v>
                </c:pt>
                <c:pt idx="209">
                  <c:v>104,50000</c:v>
                </c:pt>
                <c:pt idx="210">
                  <c:v>105,00000</c:v>
                </c:pt>
                <c:pt idx="211">
                  <c:v>105,50000</c:v>
                </c:pt>
                <c:pt idx="212">
                  <c:v>106,00000</c:v>
                </c:pt>
                <c:pt idx="213">
                  <c:v>106,50000</c:v>
                </c:pt>
                <c:pt idx="214">
                  <c:v>107,00000</c:v>
                </c:pt>
                <c:pt idx="215">
                  <c:v>107,50000</c:v>
                </c:pt>
                <c:pt idx="216">
                  <c:v>108,00000</c:v>
                </c:pt>
                <c:pt idx="217">
                  <c:v>108,50000</c:v>
                </c:pt>
                <c:pt idx="218">
                  <c:v>109,00000</c:v>
                </c:pt>
                <c:pt idx="219">
                  <c:v>109,50000</c:v>
                </c:pt>
                <c:pt idx="220">
                  <c:v>110,00000</c:v>
                </c:pt>
                <c:pt idx="221">
                  <c:v>110,50000</c:v>
                </c:pt>
                <c:pt idx="222">
                  <c:v>111,00000</c:v>
                </c:pt>
                <c:pt idx="223">
                  <c:v>111,50000</c:v>
                </c:pt>
                <c:pt idx="224">
                  <c:v>112,00000</c:v>
                </c:pt>
                <c:pt idx="225">
                  <c:v>112,50000</c:v>
                </c:pt>
                <c:pt idx="226">
                  <c:v>113,00000</c:v>
                </c:pt>
                <c:pt idx="227">
                  <c:v>113,50000</c:v>
                </c:pt>
                <c:pt idx="228">
                  <c:v>114,00000</c:v>
                </c:pt>
                <c:pt idx="229">
                  <c:v>114,50000</c:v>
                </c:pt>
                <c:pt idx="230">
                  <c:v>115,00000</c:v>
                </c:pt>
                <c:pt idx="231">
                  <c:v>115,50000</c:v>
                </c:pt>
                <c:pt idx="232">
                  <c:v>116,00000</c:v>
                </c:pt>
                <c:pt idx="233">
                  <c:v>116,50000</c:v>
                </c:pt>
                <c:pt idx="234">
                  <c:v>117,00000</c:v>
                </c:pt>
                <c:pt idx="235">
                  <c:v>117,50000</c:v>
                </c:pt>
                <c:pt idx="236">
                  <c:v>118,00000</c:v>
                </c:pt>
                <c:pt idx="237">
                  <c:v>118,50000</c:v>
                </c:pt>
                <c:pt idx="238">
                  <c:v>119,00000</c:v>
                </c:pt>
                <c:pt idx="239">
                  <c:v>119,50000</c:v>
                </c:pt>
                <c:pt idx="240">
                  <c:v>120,00000</c:v>
                </c:pt>
                <c:pt idx="241">
                  <c:v>120,50000</c:v>
                </c:pt>
                <c:pt idx="242">
                  <c:v>121,00000</c:v>
                </c:pt>
                <c:pt idx="243">
                  <c:v>121,50000</c:v>
                </c:pt>
                <c:pt idx="244">
                  <c:v>122,00000</c:v>
                </c:pt>
                <c:pt idx="245">
                  <c:v>122,50000</c:v>
                </c:pt>
                <c:pt idx="246">
                  <c:v>123,00000</c:v>
                </c:pt>
                <c:pt idx="247">
                  <c:v>123,50000</c:v>
                </c:pt>
                <c:pt idx="248">
                  <c:v>124,00000</c:v>
                </c:pt>
                <c:pt idx="249">
                  <c:v>124,50000</c:v>
                </c:pt>
                <c:pt idx="250">
                  <c:v>125,00000</c:v>
                </c:pt>
                <c:pt idx="251">
                  <c:v>125,50000</c:v>
                </c:pt>
                <c:pt idx="252">
                  <c:v>126,00000</c:v>
                </c:pt>
                <c:pt idx="253">
                  <c:v>126,50000</c:v>
                </c:pt>
                <c:pt idx="254">
                  <c:v>127,00000</c:v>
                </c:pt>
                <c:pt idx="255">
                  <c:v>127,50000</c:v>
                </c:pt>
                <c:pt idx="256">
                  <c:v>128,00000</c:v>
                </c:pt>
                <c:pt idx="257">
                  <c:v>128,50000</c:v>
                </c:pt>
                <c:pt idx="258">
                  <c:v>129,00000</c:v>
                </c:pt>
                <c:pt idx="259">
                  <c:v>129,50000</c:v>
                </c:pt>
                <c:pt idx="260">
                  <c:v>130,00000</c:v>
                </c:pt>
                <c:pt idx="261">
                  <c:v>130,50000</c:v>
                </c:pt>
                <c:pt idx="262">
                  <c:v>131,00000</c:v>
                </c:pt>
                <c:pt idx="263">
                  <c:v>131,50000</c:v>
                </c:pt>
                <c:pt idx="264">
                  <c:v>132,00000</c:v>
                </c:pt>
                <c:pt idx="265">
                  <c:v>132,50000</c:v>
                </c:pt>
                <c:pt idx="266">
                  <c:v>133,00000</c:v>
                </c:pt>
                <c:pt idx="267">
                  <c:v>133,50000</c:v>
                </c:pt>
                <c:pt idx="268">
                  <c:v>134,00000</c:v>
                </c:pt>
                <c:pt idx="269">
                  <c:v>134,50000</c:v>
                </c:pt>
                <c:pt idx="270">
                  <c:v>135,00000</c:v>
                </c:pt>
                <c:pt idx="271">
                  <c:v>135,50000</c:v>
                </c:pt>
                <c:pt idx="272">
                  <c:v>136,00000</c:v>
                </c:pt>
                <c:pt idx="273">
                  <c:v>136,50000</c:v>
                </c:pt>
                <c:pt idx="274">
                  <c:v>137,00000</c:v>
                </c:pt>
                <c:pt idx="275">
                  <c:v>137,50000</c:v>
                </c:pt>
                <c:pt idx="276">
                  <c:v>138,00000</c:v>
                </c:pt>
                <c:pt idx="277">
                  <c:v>138,50000</c:v>
                </c:pt>
                <c:pt idx="278">
                  <c:v>139,00000</c:v>
                </c:pt>
                <c:pt idx="279">
                  <c:v>139,50000</c:v>
                </c:pt>
                <c:pt idx="280">
                  <c:v>140,00000</c:v>
                </c:pt>
                <c:pt idx="281">
                  <c:v>140,50000</c:v>
                </c:pt>
                <c:pt idx="282">
                  <c:v>141,00000</c:v>
                </c:pt>
                <c:pt idx="283">
                  <c:v>141,50000</c:v>
                </c:pt>
                <c:pt idx="284">
                  <c:v>142,00000</c:v>
                </c:pt>
                <c:pt idx="285">
                  <c:v>142,50000</c:v>
                </c:pt>
                <c:pt idx="286">
                  <c:v>143,00000</c:v>
                </c:pt>
                <c:pt idx="287">
                  <c:v>143,50000</c:v>
                </c:pt>
                <c:pt idx="288">
                  <c:v>144,00000</c:v>
                </c:pt>
                <c:pt idx="289">
                  <c:v>144,50000</c:v>
                </c:pt>
                <c:pt idx="290">
                  <c:v>145,00000</c:v>
                </c:pt>
                <c:pt idx="291">
                  <c:v>145,50000</c:v>
                </c:pt>
                <c:pt idx="292">
                  <c:v>146,00000</c:v>
                </c:pt>
                <c:pt idx="293">
                  <c:v>146,50000</c:v>
                </c:pt>
                <c:pt idx="294">
                  <c:v>147,00000</c:v>
                </c:pt>
                <c:pt idx="295">
                  <c:v>147,50000</c:v>
                </c:pt>
                <c:pt idx="296">
                  <c:v>148,00000</c:v>
                </c:pt>
                <c:pt idx="297">
                  <c:v>148,50000</c:v>
                </c:pt>
                <c:pt idx="298">
                  <c:v>149,00000</c:v>
                </c:pt>
                <c:pt idx="299">
                  <c:v>149,50000</c:v>
                </c:pt>
                <c:pt idx="300">
                  <c:v>150,00000</c:v>
                </c:pt>
                <c:pt idx="301">
                  <c:v>150,50000</c:v>
                </c:pt>
                <c:pt idx="302">
                  <c:v>151,00000</c:v>
                </c:pt>
                <c:pt idx="303">
                  <c:v>151,50000</c:v>
                </c:pt>
                <c:pt idx="304">
                  <c:v>152,00000</c:v>
                </c:pt>
                <c:pt idx="305">
                  <c:v>152,50000</c:v>
                </c:pt>
                <c:pt idx="306">
                  <c:v>153,00000</c:v>
                </c:pt>
                <c:pt idx="307">
                  <c:v>153,50000</c:v>
                </c:pt>
                <c:pt idx="308">
                  <c:v>154,00000</c:v>
                </c:pt>
                <c:pt idx="309">
                  <c:v>154,50000</c:v>
                </c:pt>
                <c:pt idx="310">
                  <c:v>155,00000</c:v>
                </c:pt>
                <c:pt idx="311">
                  <c:v>155,50000</c:v>
                </c:pt>
                <c:pt idx="312">
                  <c:v>156,00000</c:v>
                </c:pt>
                <c:pt idx="313">
                  <c:v>156,50000</c:v>
                </c:pt>
                <c:pt idx="314">
                  <c:v>157,00000</c:v>
                </c:pt>
                <c:pt idx="315">
                  <c:v>157,50000</c:v>
                </c:pt>
                <c:pt idx="316">
                  <c:v>158,00000</c:v>
                </c:pt>
                <c:pt idx="317">
                  <c:v>158,50000</c:v>
                </c:pt>
                <c:pt idx="318">
                  <c:v>159,00000</c:v>
                </c:pt>
                <c:pt idx="319">
                  <c:v>159,50000</c:v>
                </c:pt>
                <c:pt idx="320">
                  <c:v>160,00000</c:v>
                </c:pt>
                <c:pt idx="321">
                  <c:v>160,50000</c:v>
                </c:pt>
                <c:pt idx="322">
                  <c:v>161,00000</c:v>
                </c:pt>
                <c:pt idx="323">
                  <c:v>161,50000</c:v>
                </c:pt>
                <c:pt idx="324">
                  <c:v>162,00000</c:v>
                </c:pt>
                <c:pt idx="325">
                  <c:v>162,50000</c:v>
                </c:pt>
                <c:pt idx="326">
                  <c:v>163,00000</c:v>
                </c:pt>
                <c:pt idx="327">
                  <c:v>163,50000</c:v>
                </c:pt>
                <c:pt idx="328">
                  <c:v>164,00000</c:v>
                </c:pt>
                <c:pt idx="329">
                  <c:v>164,50000</c:v>
                </c:pt>
                <c:pt idx="330">
                  <c:v>165,00000</c:v>
                </c:pt>
                <c:pt idx="331">
                  <c:v>165,50000</c:v>
                </c:pt>
                <c:pt idx="332">
                  <c:v>166,00000</c:v>
                </c:pt>
                <c:pt idx="333">
                  <c:v>166,50000</c:v>
                </c:pt>
                <c:pt idx="334">
                  <c:v>167,00000</c:v>
                </c:pt>
                <c:pt idx="335">
                  <c:v>167,50000</c:v>
                </c:pt>
                <c:pt idx="336">
                  <c:v>168,00000</c:v>
                </c:pt>
                <c:pt idx="337">
                  <c:v>168,50000</c:v>
                </c:pt>
                <c:pt idx="338">
                  <c:v>169,00000</c:v>
                </c:pt>
                <c:pt idx="339">
                  <c:v>169,50000</c:v>
                </c:pt>
                <c:pt idx="340">
                  <c:v>170,00000</c:v>
                </c:pt>
                <c:pt idx="341">
                  <c:v>170,50000</c:v>
                </c:pt>
                <c:pt idx="342">
                  <c:v>171,00000</c:v>
                </c:pt>
                <c:pt idx="343">
                  <c:v>171,50000</c:v>
                </c:pt>
                <c:pt idx="344">
                  <c:v>172,00000</c:v>
                </c:pt>
                <c:pt idx="345">
                  <c:v>172,50000</c:v>
                </c:pt>
                <c:pt idx="346">
                  <c:v>173,00000</c:v>
                </c:pt>
                <c:pt idx="347">
                  <c:v>173,50000</c:v>
                </c:pt>
                <c:pt idx="348">
                  <c:v>174,00000</c:v>
                </c:pt>
                <c:pt idx="349">
                  <c:v>174,50000</c:v>
                </c:pt>
                <c:pt idx="350">
                  <c:v>175,00000</c:v>
                </c:pt>
                <c:pt idx="351">
                  <c:v>175,50000</c:v>
                </c:pt>
                <c:pt idx="352">
                  <c:v>176,00000</c:v>
                </c:pt>
                <c:pt idx="353">
                  <c:v>176,50000</c:v>
                </c:pt>
                <c:pt idx="354">
                  <c:v>177,00000</c:v>
                </c:pt>
                <c:pt idx="355">
                  <c:v>177,50000</c:v>
                </c:pt>
                <c:pt idx="356">
                  <c:v>178,00000</c:v>
                </c:pt>
                <c:pt idx="357">
                  <c:v>178,50000</c:v>
                </c:pt>
                <c:pt idx="358">
                  <c:v>179,00000</c:v>
                </c:pt>
                <c:pt idx="359">
                  <c:v>179,50000</c:v>
                </c:pt>
                <c:pt idx="360">
                  <c:v>180,00000</c:v>
                </c:pt>
                <c:pt idx="361">
                  <c:v>180,50000</c:v>
                </c:pt>
                <c:pt idx="362">
                  <c:v>181,00000</c:v>
                </c:pt>
                <c:pt idx="363">
                  <c:v>181,50000</c:v>
                </c:pt>
                <c:pt idx="364">
                  <c:v>182,00000</c:v>
                </c:pt>
                <c:pt idx="365">
                  <c:v>182,50000</c:v>
                </c:pt>
                <c:pt idx="366">
                  <c:v>183,00000</c:v>
                </c:pt>
                <c:pt idx="367">
                  <c:v>183,50000</c:v>
                </c:pt>
                <c:pt idx="368">
                  <c:v>184,00000</c:v>
                </c:pt>
                <c:pt idx="369">
                  <c:v>184,50000</c:v>
                </c:pt>
                <c:pt idx="370">
                  <c:v>185,00000</c:v>
                </c:pt>
                <c:pt idx="371">
                  <c:v>185,50000</c:v>
                </c:pt>
                <c:pt idx="372">
                  <c:v>186,00000</c:v>
                </c:pt>
                <c:pt idx="373">
                  <c:v>186,50000</c:v>
                </c:pt>
                <c:pt idx="374">
                  <c:v>187,00000</c:v>
                </c:pt>
                <c:pt idx="375">
                  <c:v>187,50000</c:v>
                </c:pt>
                <c:pt idx="376">
                  <c:v>188,00000</c:v>
                </c:pt>
                <c:pt idx="377">
                  <c:v>188,50000</c:v>
                </c:pt>
                <c:pt idx="378">
                  <c:v>189,00000</c:v>
                </c:pt>
                <c:pt idx="379">
                  <c:v>189,50000</c:v>
                </c:pt>
                <c:pt idx="380">
                  <c:v>190,00000</c:v>
                </c:pt>
                <c:pt idx="381">
                  <c:v>190,50000</c:v>
                </c:pt>
                <c:pt idx="382">
                  <c:v>191,00000</c:v>
                </c:pt>
                <c:pt idx="383">
                  <c:v>191,50000</c:v>
                </c:pt>
                <c:pt idx="384">
                  <c:v>192,00000</c:v>
                </c:pt>
                <c:pt idx="385">
                  <c:v>192,50000</c:v>
                </c:pt>
                <c:pt idx="386">
                  <c:v>193,00000</c:v>
                </c:pt>
                <c:pt idx="387">
                  <c:v>193,50000</c:v>
                </c:pt>
                <c:pt idx="388">
                  <c:v>194,00000</c:v>
                </c:pt>
                <c:pt idx="389">
                  <c:v>194,50000</c:v>
                </c:pt>
                <c:pt idx="390">
                  <c:v>195,00000</c:v>
                </c:pt>
                <c:pt idx="391">
                  <c:v>195,50000</c:v>
                </c:pt>
                <c:pt idx="392">
                  <c:v>196,00000</c:v>
                </c:pt>
                <c:pt idx="393">
                  <c:v>196,50000</c:v>
                </c:pt>
                <c:pt idx="394">
                  <c:v>197,00000</c:v>
                </c:pt>
                <c:pt idx="395">
                  <c:v>197,50000</c:v>
                </c:pt>
                <c:pt idx="396">
                  <c:v>198,00000</c:v>
                </c:pt>
                <c:pt idx="397">
                  <c:v>198,50000</c:v>
                </c:pt>
                <c:pt idx="398">
                  <c:v>199,00000</c:v>
                </c:pt>
                <c:pt idx="399">
                  <c:v>199,50000</c:v>
                </c:pt>
                <c:pt idx="400">
                  <c:v>200,00000</c:v>
                </c:pt>
                <c:pt idx="401">
                  <c:v>200,50000</c:v>
                </c:pt>
                <c:pt idx="402">
                  <c:v>201,00000</c:v>
                </c:pt>
                <c:pt idx="403">
                  <c:v>201,50000</c:v>
                </c:pt>
                <c:pt idx="404">
                  <c:v>202,00000</c:v>
                </c:pt>
                <c:pt idx="405">
                  <c:v>202,50000</c:v>
                </c:pt>
                <c:pt idx="406">
                  <c:v>203,00000</c:v>
                </c:pt>
                <c:pt idx="407">
                  <c:v>203,50000</c:v>
                </c:pt>
                <c:pt idx="408">
                  <c:v>204,00000</c:v>
                </c:pt>
                <c:pt idx="409">
                  <c:v>204,50000</c:v>
                </c:pt>
                <c:pt idx="410">
                  <c:v>205,00000</c:v>
                </c:pt>
                <c:pt idx="411">
                  <c:v>205,50000</c:v>
                </c:pt>
                <c:pt idx="412">
                  <c:v>206,00000</c:v>
                </c:pt>
                <c:pt idx="413">
                  <c:v>206,50000</c:v>
                </c:pt>
                <c:pt idx="414">
                  <c:v>207,00000</c:v>
                </c:pt>
                <c:pt idx="415">
                  <c:v>207,50000</c:v>
                </c:pt>
                <c:pt idx="416">
                  <c:v>208,00000</c:v>
                </c:pt>
                <c:pt idx="417">
                  <c:v>208,50000</c:v>
                </c:pt>
                <c:pt idx="418">
                  <c:v>209,00000</c:v>
                </c:pt>
                <c:pt idx="419">
                  <c:v>209,50000</c:v>
                </c:pt>
                <c:pt idx="420">
                  <c:v>210,00000</c:v>
                </c:pt>
                <c:pt idx="421">
                  <c:v>210,50000</c:v>
                </c:pt>
                <c:pt idx="422">
                  <c:v>211,00000</c:v>
                </c:pt>
                <c:pt idx="423">
                  <c:v>211,50000</c:v>
                </c:pt>
                <c:pt idx="424">
                  <c:v>212,00000</c:v>
                </c:pt>
                <c:pt idx="425">
                  <c:v>212,50000</c:v>
                </c:pt>
                <c:pt idx="426">
                  <c:v>213,00000</c:v>
                </c:pt>
                <c:pt idx="427">
                  <c:v>213,50000</c:v>
                </c:pt>
                <c:pt idx="428">
                  <c:v>214,00000</c:v>
                </c:pt>
                <c:pt idx="429">
                  <c:v>214,50000</c:v>
                </c:pt>
                <c:pt idx="430">
                  <c:v>215,00000</c:v>
                </c:pt>
                <c:pt idx="431">
                  <c:v>215,50000</c:v>
                </c:pt>
                <c:pt idx="432">
                  <c:v>216,00000</c:v>
                </c:pt>
                <c:pt idx="433">
                  <c:v>216,50000</c:v>
                </c:pt>
                <c:pt idx="434">
                  <c:v>217,00000</c:v>
                </c:pt>
                <c:pt idx="435">
                  <c:v>217,50000</c:v>
                </c:pt>
                <c:pt idx="436">
                  <c:v>218,00000</c:v>
                </c:pt>
                <c:pt idx="437">
                  <c:v>218,50000</c:v>
                </c:pt>
                <c:pt idx="438">
                  <c:v>219,00000</c:v>
                </c:pt>
                <c:pt idx="439">
                  <c:v>219,50000</c:v>
                </c:pt>
                <c:pt idx="440">
                  <c:v>220,00000</c:v>
                </c:pt>
                <c:pt idx="441">
                  <c:v>220,50000</c:v>
                </c:pt>
                <c:pt idx="442">
                  <c:v>221,00000</c:v>
                </c:pt>
                <c:pt idx="443">
                  <c:v>221,50000</c:v>
                </c:pt>
                <c:pt idx="444">
                  <c:v>222,00000</c:v>
                </c:pt>
                <c:pt idx="445">
                  <c:v>222,50000</c:v>
                </c:pt>
                <c:pt idx="446">
                  <c:v>223,00000</c:v>
                </c:pt>
                <c:pt idx="447">
                  <c:v>223,50000</c:v>
                </c:pt>
                <c:pt idx="448">
                  <c:v>224,00000</c:v>
                </c:pt>
                <c:pt idx="449">
                  <c:v>224,50000</c:v>
                </c:pt>
                <c:pt idx="450">
                  <c:v>225,00000</c:v>
                </c:pt>
                <c:pt idx="451">
                  <c:v>225,50000</c:v>
                </c:pt>
                <c:pt idx="452">
                  <c:v>226,00000</c:v>
                </c:pt>
                <c:pt idx="453">
                  <c:v>226,50000</c:v>
                </c:pt>
                <c:pt idx="454">
                  <c:v>227,00000</c:v>
                </c:pt>
                <c:pt idx="455">
                  <c:v>227,50000</c:v>
                </c:pt>
                <c:pt idx="456">
                  <c:v>228,00000</c:v>
                </c:pt>
                <c:pt idx="457">
                  <c:v>228,50000</c:v>
                </c:pt>
                <c:pt idx="458">
                  <c:v>229,00000</c:v>
                </c:pt>
                <c:pt idx="459">
                  <c:v>229,50000</c:v>
                </c:pt>
                <c:pt idx="460">
                  <c:v>230,00000</c:v>
                </c:pt>
                <c:pt idx="461">
                  <c:v>230,50000</c:v>
                </c:pt>
                <c:pt idx="462">
                  <c:v>231,00000</c:v>
                </c:pt>
                <c:pt idx="463">
                  <c:v>231,50000</c:v>
                </c:pt>
                <c:pt idx="464">
                  <c:v>232,00000</c:v>
                </c:pt>
                <c:pt idx="465">
                  <c:v>232,50000</c:v>
                </c:pt>
                <c:pt idx="466">
                  <c:v>233,00000</c:v>
                </c:pt>
                <c:pt idx="467">
                  <c:v>233,50000</c:v>
                </c:pt>
                <c:pt idx="468">
                  <c:v>234,00000</c:v>
                </c:pt>
                <c:pt idx="469">
                  <c:v>234,50000</c:v>
                </c:pt>
                <c:pt idx="470">
                  <c:v>235,00000</c:v>
                </c:pt>
                <c:pt idx="471">
                  <c:v>235,50000</c:v>
                </c:pt>
                <c:pt idx="472">
                  <c:v>236,00000</c:v>
                </c:pt>
                <c:pt idx="473">
                  <c:v>236,50000</c:v>
                </c:pt>
                <c:pt idx="474">
                  <c:v>237,00000</c:v>
                </c:pt>
                <c:pt idx="475">
                  <c:v>237,50000</c:v>
                </c:pt>
                <c:pt idx="476">
                  <c:v>238,00000</c:v>
                </c:pt>
                <c:pt idx="477">
                  <c:v>238,50000</c:v>
                </c:pt>
                <c:pt idx="478">
                  <c:v>239,00000</c:v>
                </c:pt>
                <c:pt idx="479">
                  <c:v>239,50000</c:v>
                </c:pt>
                <c:pt idx="480">
                  <c:v>240,00000</c:v>
                </c:pt>
                <c:pt idx="481">
                  <c:v>240,50000</c:v>
                </c:pt>
                <c:pt idx="482">
                  <c:v>241,00000</c:v>
                </c:pt>
                <c:pt idx="483">
                  <c:v>241,50000</c:v>
                </c:pt>
                <c:pt idx="484">
                  <c:v>242,00000</c:v>
                </c:pt>
                <c:pt idx="485">
                  <c:v>242,50000</c:v>
                </c:pt>
                <c:pt idx="486">
                  <c:v>243,00000</c:v>
                </c:pt>
                <c:pt idx="487">
                  <c:v>243,50000</c:v>
                </c:pt>
                <c:pt idx="488">
                  <c:v>244,00000</c:v>
                </c:pt>
                <c:pt idx="489">
                  <c:v>244,50000</c:v>
                </c:pt>
                <c:pt idx="490">
                  <c:v>245,00000</c:v>
                </c:pt>
                <c:pt idx="491">
                  <c:v>245,50000</c:v>
                </c:pt>
                <c:pt idx="492">
                  <c:v>246,00000</c:v>
                </c:pt>
                <c:pt idx="493">
                  <c:v>246,50000</c:v>
                </c:pt>
                <c:pt idx="494">
                  <c:v>247,00000</c:v>
                </c:pt>
                <c:pt idx="495">
                  <c:v>247,50000</c:v>
                </c:pt>
                <c:pt idx="496">
                  <c:v>248,00000</c:v>
                </c:pt>
                <c:pt idx="497">
                  <c:v>248,50000</c:v>
                </c:pt>
                <c:pt idx="498">
                  <c:v>249,00000</c:v>
                </c:pt>
                <c:pt idx="499">
                  <c:v>249,50000</c:v>
                </c:pt>
                <c:pt idx="500">
                  <c:v>250,00000</c:v>
                </c:pt>
                <c:pt idx="501">
                  <c:v>250,50000</c:v>
                </c:pt>
                <c:pt idx="502">
                  <c:v>251,00000</c:v>
                </c:pt>
                <c:pt idx="503">
                  <c:v>251,50000</c:v>
                </c:pt>
                <c:pt idx="504">
                  <c:v>252,00000</c:v>
                </c:pt>
                <c:pt idx="505">
                  <c:v>252,50000</c:v>
                </c:pt>
                <c:pt idx="506">
                  <c:v>253,00000</c:v>
                </c:pt>
                <c:pt idx="507">
                  <c:v>253,50000</c:v>
                </c:pt>
                <c:pt idx="508">
                  <c:v>254,00000</c:v>
                </c:pt>
                <c:pt idx="509">
                  <c:v>254,50000</c:v>
                </c:pt>
                <c:pt idx="510">
                  <c:v>255,00000</c:v>
                </c:pt>
                <c:pt idx="511">
                  <c:v>255,50000</c:v>
                </c:pt>
                <c:pt idx="512">
                  <c:v>256,00000</c:v>
                </c:pt>
                <c:pt idx="513">
                  <c:v>256,50000</c:v>
                </c:pt>
                <c:pt idx="514">
                  <c:v>257,00000</c:v>
                </c:pt>
                <c:pt idx="515">
                  <c:v>257,50000</c:v>
                </c:pt>
                <c:pt idx="516">
                  <c:v>258,00000</c:v>
                </c:pt>
                <c:pt idx="517">
                  <c:v>258,50000</c:v>
                </c:pt>
                <c:pt idx="518">
                  <c:v>259,00000</c:v>
                </c:pt>
                <c:pt idx="519">
                  <c:v>259,50000</c:v>
                </c:pt>
                <c:pt idx="520">
                  <c:v>260,00000</c:v>
                </c:pt>
                <c:pt idx="521">
                  <c:v>260,50000</c:v>
                </c:pt>
                <c:pt idx="522">
                  <c:v>261,00000</c:v>
                </c:pt>
                <c:pt idx="523">
                  <c:v>261,50000</c:v>
                </c:pt>
                <c:pt idx="524">
                  <c:v>262,00000</c:v>
                </c:pt>
                <c:pt idx="525">
                  <c:v>262,50000</c:v>
                </c:pt>
                <c:pt idx="526">
                  <c:v>263,00000</c:v>
                </c:pt>
                <c:pt idx="527">
                  <c:v>263,50000</c:v>
                </c:pt>
                <c:pt idx="528">
                  <c:v>264,00000</c:v>
                </c:pt>
                <c:pt idx="529">
                  <c:v>264,50000</c:v>
                </c:pt>
                <c:pt idx="530">
                  <c:v>265,00000</c:v>
                </c:pt>
                <c:pt idx="531">
                  <c:v>265,50000</c:v>
                </c:pt>
                <c:pt idx="532">
                  <c:v>266,00000</c:v>
                </c:pt>
                <c:pt idx="533">
                  <c:v>266,50000</c:v>
                </c:pt>
                <c:pt idx="534">
                  <c:v>267,00000</c:v>
                </c:pt>
                <c:pt idx="535">
                  <c:v>267,50000</c:v>
                </c:pt>
                <c:pt idx="536">
                  <c:v>268,00000</c:v>
                </c:pt>
                <c:pt idx="537">
                  <c:v>268,50000</c:v>
                </c:pt>
                <c:pt idx="538">
                  <c:v>269,00000</c:v>
                </c:pt>
                <c:pt idx="539">
                  <c:v>269,50000</c:v>
                </c:pt>
                <c:pt idx="540">
                  <c:v>270,00000</c:v>
                </c:pt>
                <c:pt idx="541">
                  <c:v>270,50000</c:v>
                </c:pt>
                <c:pt idx="542">
                  <c:v>271,00000</c:v>
                </c:pt>
                <c:pt idx="543">
                  <c:v>271,50000</c:v>
                </c:pt>
                <c:pt idx="544">
                  <c:v>272,00000</c:v>
                </c:pt>
                <c:pt idx="545">
                  <c:v>272,50000</c:v>
                </c:pt>
                <c:pt idx="546">
                  <c:v>273,00000</c:v>
                </c:pt>
                <c:pt idx="547">
                  <c:v>273,50000</c:v>
                </c:pt>
                <c:pt idx="548">
                  <c:v>274,00000</c:v>
                </c:pt>
                <c:pt idx="549">
                  <c:v>274,50000</c:v>
                </c:pt>
                <c:pt idx="550">
                  <c:v>275,00000</c:v>
                </c:pt>
                <c:pt idx="551">
                  <c:v>275,50000</c:v>
                </c:pt>
                <c:pt idx="552">
                  <c:v>276,00000</c:v>
                </c:pt>
                <c:pt idx="553">
                  <c:v>276,50000</c:v>
                </c:pt>
                <c:pt idx="554">
                  <c:v>277,00000</c:v>
                </c:pt>
                <c:pt idx="555">
                  <c:v>277,50000</c:v>
                </c:pt>
                <c:pt idx="556">
                  <c:v>278,00000</c:v>
                </c:pt>
                <c:pt idx="557">
                  <c:v>278,50000</c:v>
                </c:pt>
                <c:pt idx="558">
                  <c:v>279,00000</c:v>
                </c:pt>
                <c:pt idx="559">
                  <c:v>279,50000</c:v>
                </c:pt>
                <c:pt idx="560">
                  <c:v>280,00000</c:v>
                </c:pt>
                <c:pt idx="561">
                  <c:v>280,50000</c:v>
                </c:pt>
                <c:pt idx="562">
                  <c:v>281,00000</c:v>
                </c:pt>
                <c:pt idx="563">
                  <c:v>281,50000</c:v>
                </c:pt>
                <c:pt idx="564">
                  <c:v>282,00000</c:v>
                </c:pt>
                <c:pt idx="565">
                  <c:v>282,50000</c:v>
                </c:pt>
                <c:pt idx="566">
                  <c:v>283,00000</c:v>
                </c:pt>
                <c:pt idx="567">
                  <c:v>283,50000</c:v>
                </c:pt>
                <c:pt idx="568">
                  <c:v>284,00000</c:v>
                </c:pt>
                <c:pt idx="569">
                  <c:v>284,50000</c:v>
                </c:pt>
                <c:pt idx="570">
                  <c:v>285,00000</c:v>
                </c:pt>
                <c:pt idx="571">
                  <c:v>285,50000</c:v>
                </c:pt>
                <c:pt idx="572">
                  <c:v>286,00000</c:v>
                </c:pt>
                <c:pt idx="573">
                  <c:v>286,50000</c:v>
                </c:pt>
                <c:pt idx="574">
                  <c:v>287,00000</c:v>
                </c:pt>
                <c:pt idx="575">
                  <c:v>287,50000</c:v>
                </c:pt>
                <c:pt idx="576">
                  <c:v>288,00000</c:v>
                </c:pt>
                <c:pt idx="577">
                  <c:v>288,50000</c:v>
                </c:pt>
                <c:pt idx="578">
                  <c:v>289,00000</c:v>
                </c:pt>
                <c:pt idx="579">
                  <c:v>289,50000</c:v>
                </c:pt>
                <c:pt idx="580">
                  <c:v>290,00000</c:v>
                </c:pt>
                <c:pt idx="581">
                  <c:v>290,50000</c:v>
                </c:pt>
                <c:pt idx="582">
                  <c:v>291,00000</c:v>
                </c:pt>
                <c:pt idx="583">
                  <c:v>291,50000</c:v>
                </c:pt>
                <c:pt idx="584">
                  <c:v>292,00000</c:v>
                </c:pt>
                <c:pt idx="585">
                  <c:v>292,50000</c:v>
                </c:pt>
                <c:pt idx="586">
                  <c:v>293,00000</c:v>
                </c:pt>
                <c:pt idx="587">
                  <c:v>293,50000</c:v>
                </c:pt>
                <c:pt idx="588">
                  <c:v>294,00000</c:v>
                </c:pt>
                <c:pt idx="589">
                  <c:v>294,50000</c:v>
                </c:pt>
                <c:pt idx="590">
                  <c:v>295,00000</c:v>
                </c:pt>
                <c:pt idx="591">
                  <c:v>295,50000</c:v>
                </c:pt>
                <c:pt idx="592">
                  <c:v>296,00000</c:v>
                </c:pt>
                <c:pt idx="593">
                  <c:v>296,50000</c:v>
                </c:pt>
                <c:pt idx="594">
                  <c:v>297,00000</c:v>
                </c:pt>
                <c:pt idx="595">
                  <c:v>297,50000</c:v>
                </c:pt>
                <c:pt idx="596">
                  <c:v>298,00000</c:v>
                </c:pt>
                <c:pt idx="597">
                  <c:v>298,50000</c:v>
                </c:pt>
                <c:pt idx="598">
                  <c:v>299,00000</c:v>
                </c:pt>
                <c:pt idx="599">
                  <c:v>299,50000</c:v>
                </c:pt>
                <c:pt idx="600">
                  <c:v>300,00000</c:v>
                </c:pt>
                <c:pt idx="601">
                  <c:v>300,50000</c:v>
                </c:pt>
                <c:pt idx="602">
                  <c:v>301,00000</c:v>
                </c:pt>
                <c:pt idx="603">
                  <c:v>301,50000</c:v>
                </c:pt>
                <c:pt idx="604">
                  <c:v>302,00000</c:v>
                </c:pt>
                <c:pt idx="605">
                  <c:v>302,50000</c:v>
                </c:pt>
                <c:pt idx="606">
                  <c:v>303,00000</c:v>
                </c:pt>
                <c:pt idx="607">
                  <c:v>303,50000</c:v>
                </c:pt>
                <c:pt idx="608">
                  <c:v>304,00000</c:v>
                </c:pt>
                <c:pt idx="609">
                  <c:v>304,50000</c:v>
                </c:pt>
                <c:pt idx="610">
                  <c:v>305,00000</c:v>
                </c:pt>
                <c:pt idx="611">
                  <c:v>305,50000</c:v>
                </c:pt>
                <c:pt idx="612">
                  <c:v>306,00000</c:v>
                </c:pt>
                <c:pt idx="613">
                  <c:v>306,50000</c:v>
                </c:pt>
                <c:pt idx="614">
                  <c:v>307,00000</c:v>
                </c:pt>
                <c:pt idx="615">
                  <c:v>307,50000</c:v>
                </c:pt>
                <c:pt idx="616">
                  <c:v>308,00000</c:v>
                </c:pt>
                <c:pt idx="617">
                  <c:v>308,50000</c:v>
                </c:pt>
                <c:pt idx="618">
                  <c:v>309,00000</c:v>
                </c:pt>
                <c:pt idx="619">
                  <c:v>309,50000</c:v>
                </c:pt>
                <c:pt idx="620">
                  <c:v>310,00000</c:v>
                </c:pt>
                <c:pt idx="621">
                  <c:v>310,50000</c:v>
                </c:pt>
                <c:pt idx="622">
                  <c:v>311,00000</c:v>
                </c:pt>
                <c:pt idx="623">
                  <c:v>311,50000</c:v>
                </c:pt>
                <c:pt idx="624">
                  <c:v>312,00000</c:v>
                </c:pt>
                <c:pt idx="625">
                  <c:v>312,50000</c:v>
                </c:pt>
                <c:pt idx="626">
                  <c:v>313,00000</c:v>
                </c:pt>
                <c:pt idx="627">
                  <c:v>313,50000</c:v>
                </c:pt>
                <c:pt idx="628">
                  <c:v>314,00000</c:v>
                </c:pt>
                <c:pt idx="629">
                  <c:v>314,50000</c:v>
                </c:pt>
                <c:pt idx="630">
                  <c:v>315,00000</c:v>
                </c:pt>
                <c:pt idx="631">
                  <c:v>315,50000</c:v>
                </c:pt>
                <c:pt idx="632">
                  <c:v>316,00000</c:v>
                </c:pt>
                <c:pt idx="633">
                  <c:v>316,50000</c:v>
                </c:pt>
                <c:pt idx="634">
                  <c:v>317,00000</c:v>
                </c:pt>
                <c:pt idx="635">
                  <c:v>317,50000</c:v>
                </c:pt>
                <c:pt idx="636">
                  <c:v>318,00000</c:v>
                </c:pt>
                <c:pt idx="637">
                  <c:v>318,50000</c:v>
                </c:pt>
                <c:pt idx="638">
                  <c:v>319,00000</c:v>
                </c:pt>
                <c:pt idx="639">
                  <c:v>319,50000</c:v>
                </c:pt>
                <c:pt idx="640">
                  <c:v>320,00000</c:v>
                </c:pt>
                <c:pt idx="641">
                  <c:v>320,50000</c:v>
                </c:pt>
                <c:pt idx="642">
                  <c:v>321,00000</c:v>
                </c:pt>
                <c:pt idx="643">
                  <c:v>321,50000</c:v>
                </c:pt>
                <c:pt idx="644">
                  <c:v>322,00000</c:v>
                </c:pt>
                <c:pt idx="645">
                  <c:v>322,50000</c:v>
                </c:pt>
                <c:pt idx="646">
                  <c:v>323,00000</c:v>
                </c:pt>
                <c:pt idx="647">
                  <c:v>323,50000</c:v>
                </c:pt>
                <c:pt idx="648">
                  <c:v>324,00000</c:v>
                </c:pt>
                <c:pt idx="649">
                  <c:v>324,50000</c:v>
                </c:pt>
                <c:pt idx="650">
                  <c:v>325,00000</c:v>
                </c:pt>
                <c:pt idx="651">
                  <c:v>325,50000</c:v>
                </c:pt>
                <c:pt idx="652">
                  <c:v>326,00000</c:v>
                </c:pt>
                <c:pt idx="653">
                  <c:v>326,50000</c:v>
                </c:pt>
                <c:pt idx="654">
                  <c:v>327,00000</c:v>
                </c:pt>
                <c:pt idx="655">
                  <c:v>327,50000</c:v>
                </c:pt>
                <c:pt idx="656">
                  <c:v>328,00000</c:v>
                </c:pt>
                <c:pt idx="657">
                  <c:v>328,50000</c:v>
                </c:pt>
                <c:pt idx="658">
                  <c:v>329,00000</c:v>
                </c:pt>
                <c:pt idx="659">
                  <c:v>329,50000</c:v>
                </c:pt>
                <c:pt idx="660">
                  <c:v>330,00000</c:v>
                </c:pt>
                <c:pt idx="661">
                  <c:v>330,50000</c:v>
                </c:pt>
                <c:pt idx="662">
                  <c:v>331,00000</c:v>
                </c:pt>
                <c:pt idx="663">
                  <c:v>331,50000</c:v>
                </c:pt>
                <c:pt idx="664">
                  <c:v>332,00000</c:v>
                </c:pt>
                <c:pt idx="665">
                  <c:v>332,50000</c:v>
                </c:pt>
                <c:pt idx="666">
                  <c:v>333,00000</c:v>
                </c:pt>
                <c:pt idx="667">
                  <c:v>333,50000</c:v>
                </c:pt>
                <c:pt idx="668">
                  <c:v>334,00000</c:v>
                </c:pt>
                <c:pt idx="669">
                  <c:v>334,50000</c:v>
                </c:pt>
                <c:pt idx="670">
                  <c:v>335,00000</c:v>
                </c:pt>
                <c:pt idx="671">
                  <c:v>335,50000</c:v>
                </c:pt>
                <c:pt idx="672">
                  <c:v>336,00000</c:v>
                </c:pt>
                <c:pt idx="673">
                  <c:v>336,50000</c:v>
                </c:pt>
                <c:pt idx="674">
                  <c:v>337,00000</c:v>
                </c:pt>
                <c:pt idx="675">
                  <c:v>337,50000</c:v>
                </c:pt>
                <c:pt idx="676">
                  <c:v>338,00000</c:v>
                </c:pt>
                <c:pt idx="677">
                  <c:v>338,50000</c:v>
                </c:pt>
                <c:pt idx="678">
                  <c:v>339,00000</c:v>
                </c:pt>
                <c:pt idx="679">
                  <c:v>339,50000</c:v>
                </c:pt>
                <c:pt idx="680">
                  <c:v>340,00000</c:v>
                </c:pt>
                <c:pt idx="681">
                  <c:v>340,50000</c:v>
                </c:pt>
                <c:pt idx="682">
                  <c:v>341,00000</c:v>
                </c:pt>
                <c:pt idx="683">
                  <c:v>341,50000</c:v>
                </c:pt>
                <c:pt idx="684">
                  <c:v>342,00000</c:v>
                </c:pt>
                <c:pt idx="685">
                  <c:v>342,50000</c:v>
                </c:pt>
                <c:pt idx="686">
                  <c:v>343,00000</c:v>
                </c:pt>
                <c:pt idx="687">
                  <c:v>343,50000</c:v>
                </c:pt>
                <c:pt idx="688">
                  <c:v>344,00000</c:v>
                </c:pt>
                <c:pt idx="689">
                  <c:v>344,50000</c:v>
                </c:pt>
                <c:pt idx="690">
                  <c:v>345,00000</c:v>
                </c:pt>
                <c:pt idx="691">
                  <c:v>345,50000</c:v>
                </c:pt>
                <c:pt idx="692">
                  <c:v>346,00000</c:v>
                </c:pt>
                <c:pt idx="693">
                  <c:v>346,50000</c:v>
                </c:pt>
                <c:pt idx="694">
                  <c:v>347,00000</c:v>
                </c:pt>
                <c:pt idx="695">
                  <c:v>347,50000</c:v>
                </c:pt>
                <c:pt idx="696">
                  <c:v>348,00000</c:v>
                </c:pt>
                <c:pt idx="697">
                  <c:v>348,50000</c:v>
                </c:pt>
                <c:pt idx="698">
                  <c:v>349,00000</c:v>
                </c:pt>
                <c:pt idx="699">
                  <c:v>349,50000</c:v>
                </c:pt>
                <c:pt idx="700">
                  <c:v>350,00000</c:v>
                </c:pt>
                <c:pt idx="701">
                  <c:v>350,50000</c:v>
                </c:pt>
                <c:pt idx="702">
                  <c:v>351,00000</c:v>
                </c:pt>
                <c:pt idx="703">
                  <c:v>351,50000</c:v>
                </c:pt>
                <c:pt idx="704">
                  <c:v>352,00000</c:v>
                </c:pt>
                <c:pt idx="705">
                  <c:v>352,50000</c:v>
                </c:pt>
                <c:pt idx="706">
                  <c:v>353,00000</c:v>
                </c:pt>
                <c:pt idx="707">
                  <c:v>353,50000</c:v>
                </c:pt>
                <c:pt idx="708">
                  <c:v>354,00000</c:v>
                </c:pt>
                <c:pt idx="709">
                  <c:v>354,50000</c:v>
                </c:pt>
                <c:pt idx="710">
                  <c:v>355,00000</c:v>
                </c:pt>
                <c:pt idx="711">
                  <c:v>355,50000</c:v>
                </c:pt>
                <c:pt idx="712">
                  <c:v>356,00000</c:v>
                </c:pt>
                <c:pt idx="713">
                  <c:v>356,50000</c:v>
                </c:pt>
                <c:pt idx="714">
                  <c:v>357,00000</c:v>
                </c:pt>
                <c:pt idx="715">
                  <c:v>357,50000</c:v>
                </c:pt>
                <c:pt idx="716">
                  <c:v>358,00000</c:v>
                </c:pt>
                <c:pt idx="717">
                  <c:v>358,50000</c:v>
                </c:pt>
                <c:pt idx="718">
                  <c:v>359,00000</c:v>
                </c:pt>
                <c:pt idx="719">
                  <c:v>359,50000</c:v>
                </c:pt>
                <c:pt idx="720">
                  <c:v>360,00000</c:v>
                </c:pt>
                <c:pt idx="721">
                  <c:v>360,50000</c:v>
                </c:pt>
                <c:pt idx="722">
                  <c:v>361,00000</c:v>
                </c:pt>
                <c:pt idx="723">
                  <c:v>361,50000</c:v>
                </c:pt>
                <c:pt idx="724">
                  <c:v>362,00000</c:v>
                </c:pt>
                <c:pt idx="725">
                  <c:v>362,50000</c:v>
                </c:pt>
                <c:pt idx="726">
                  <c:v>363,00000</c:v>
                </c:pt>
                <c:pt idx="727">
                  <c:v>363,50000</c:v>
                </c:pt>
                <c:pt idx="728">
                  <c:v>364,00000</c:v>
                </c:pt>
                <c:pt idx="729">
                  <c:v>364,50000</c:v>
                </c:pt>
                <c:pt idx="730">
                  <c:v>365,00000</c:v>
                </c:pt>
                <c:pt idx="731">
                  <c:v>365,50000</c:v>
                </c:pt>
                <c:pt idx="732">
                  <c:v>366,00000</c:v>
                </c:pt>
                <c:pt idx="733">
                  <c:v>366,50000</c:v>
                </c:pt>
                <c:pt idx="734">
                  <c:v>367,00000</c:v>
                </c:pt>
                <c:pt idx="735">
                  <c:v>367,50000</c:v>
                </c:pt>
                <c:pt idx="736">
                  <c:v>368,00000</c:v>
                </c:pt>
                <c:pt idx="737">
                  <c:v>368,50000</c:v>
                </c:pt>
                <c:pt idx="738">
                  <c:v>369,00000</c:v>
                </c:pt>
                <c:pt idx="739">
                  <c:v>369,50000</c:v>
                </c:pt>
                <c:pt idx="740">
                  <c:v>370,00000</c:v>
                </c:pt>
                <c:pt idx="741">
                  <c:v>370,50000</c:v>
                </c:pt>
                <c:pt idx="742">
                  <c:v>371,00000</c:v>
                </c:pt>
                <c:pt idx="743">
                  <c:v>371,50000</c:v>
                </c:pt>
                <c:pt idx="744">
                  <c:v>372,00000</c:v>
                </c:pt>
                <c:pt idx="745">
                  <c:v>372,50000</c:v>
                </c:pt>
                <c:pt idx="746">
                  <c:v>373,00000</c:v>
                </c:pt>
                <c:pt idx="747">
                  <c:v>373,50000</c:v>
                </c:pt>
                <c:pt idx="748">
                  <c:v>374,00000</c:v>
                </c:pt>
                <c:pt idx="749">
                  <c:v>374,50000</c:v>
                </c:pt>
                <c:pt idx="750">
                  <c:v>375,00000</c:v>
                </c:pt>
                <c:pt idx="751">
                  <c:v>375,50000</c:v>
                </c:pt>
                <c:pt idx="752">
                  <c:v>376,00000</c:v>
                </c:pt>
                <c:pt idx="753">
                  <c:v>376,50000</c:v>
                </c:pt>
                <c:pt idx="754">
                  <c:v>377,00000</c:v>
                </c:pt>
                <c:pt idx="755">
                  <c:v>377,50000</c:v>
                </c:pt>
                <c:pt idx="756">
                  <c:v>378,00000</c:v>
                </c:pt>
                <c:pt idx="757">
                  <c:v>378,50000</c:v>
                </c:pt>
                <c:pt idx="758">
                  <c:v>379,00000</c:v>
                </c:pt>
                <c:pt idx="759">
                  <c:v>379,50000</c:v>
                </c:pt>
                <c:pt idx="760">
                  <c:v>380,00000</c:v>
                </c:pt>
                <c:pt idx="761">
                  <c:v>380,50000</c:v>
                </c:pt>
                <c:pt idx="762">
                  <c:v>381,00000</c:v>
                </c:pt>
                <c:pt idx="763">
                  <c:v>381,50000</c:v>
                </c:pt>
                <c:pt idx="764">
                  <c:v>382,00000</c:v>
                </c:pt>
                <c:pt idx="765">
                  <c:v>382,50000</c:v>
                </c:pt>
                <c:pt idx="766">
                  <c:v>383,00000</c:v>
                </c:pt>
                <c:pt idx="767">
                  <c:v>383,50000</c:v>
                </c:pt>
                <c:pt idx="768">
                  <c:v>384,00000</c:v>
                </c:pt>
                <c:pt idx="769">
                  <c:v>384,50000</c:v>
                </c:pt>
                <c:pt idx="770">
                  <c:v>385,00000</c:v>
                </c:pt>
                <c:pt idx="771">
                  <c:v>385,50000</c:v>
                </c:pt>
                <c:pt idx="772">
                  <c:v>386,00000</c:v>
                </c:pt>
                <c:pt idx="773">
                  <c:v>386,50000</c:v>
                </c:pt>
                <c:pt idx="774">
                  <c:v>387,00000</c:v>
                </c:pt>
                <c:pt idx="775">
                  <c:v>387,50000</c:v>
                </c:pt>
                <c:pt idx="776">
                  <c:v>388,00000</c:v>
                </c:pt>
                <c:pt idx="777">
                  <c:v>388,50000</c:v>
                </c:pt>
                <c:pt idx="778">
                  <c:v>389,00000</c:v>
                </c:pt>
                <c:pt idx="779">
                  <c:v>389,50000</c:v>
                </c:pt>
                <c:pt idx="780">
                  <c:v>390,00000</c:v>
                </c:pt>
                <c:pt idx="781">
                  <c:v>390,50000</c:v>
                </c:pt>
                <c:pt idx="782">
                  <c:v>391,00000</c:v>
                </c:pt>
                <c:pt idx="783">
                  <c:v>391,50000</c:v>
                </c:pt>
                <c:pt idx="784">
                  <c:v>392,00000</c:v>
                </c:pt>
                <c:pt idx="785">
                  <c:v>392,50000</c:v>
                </c:pt>
                <c:pt idx="786">
                  <c:v>393,00000</c:v>
                </c:pt>
                <c:pt idx="787">
                  <c:v>393,50000</c:v>
                </c:pt>
                <c:pt idx="788">
                  <c:v>394,00000</c:v>
                </c:pt>
                <c:pt idx="789">
                  <c:v>394,50000</c:v>
                </c:pt>
                <c:pt idx="790">
                  <c:v>395,00000</c:v>
                </c:pt>
                <c:pt idx="791">
                  <c:v>395,50000</c:v>
                </c:pt>
                <c:pt idx="792">
                  <c:v>396,00000</c:v>
                </c:pt>
                <c:pt idx="793">
                  <c:v>396,50000</c:v>
                </c:pt>
                <c:pt idx="794">
                  <c:v>397,00000</c:v>
                </c:pt>
                <c:pt idx="795">
                  <c:v>397,50000</c:v>
                </c:pt>
                <c:pt idx="796">
                  <c:v>398,00000</c:v>
                </c:pt>
                <c:pt idx="797">
                  <c:v>398,50000</c:v>
                </c:pt>
                <c:pt idx="798">
                  <c:v>399,00000</c:v>
                </c:pt>
                <c:pt idx="799">
                  <c:v>399,50000</c:v>
                </c:pt>
                <c:pt idx="800">
                  <c:v>400,00000</c:v>
                </c:pt>
                <c:pt idx="801">
                  <c:v>400,50000</c:v>
                </c:pt>
                <c:pt idx="802">
                  <c:v>401,00000</c:v>
                </c:pt>
                <c:pt idx="803">
                  <c:v>401,50000</c:v>
                </c:pt>
                <c:pt idx="804">
                  <c:v>402,00000</c:v>
                </c:pt>
                <c:pt idx="805">
                  <c:v>402,50000</c:v>
                </c:pt>
                <c:pt idx="806">
                  <c:v>403,00000</c:v>
                </c:pt>
                <c:pt idx="807">
                  <c:v>403,50000</c:v>
                </c:pt>
                <c:pt idx="808">
                  <c:v>404,00000</c:v>
                </c:pt>
                <c:pt idx="809">
                  <c:v>404,50000</c:v>
                </c:pt>
                <c:pt idx="810">
                  <c:v>405,00000</c:v>
                </c:pt>
                <c:pt idx="811">
                  <c:v>405,50000</c:v>
                </c:pt>
                <c:pt idx="812">
                  <c:v>406,00000</c:v>
                </c:pt>
                <c:pt idx="813">
                  <c:v>406,50000</c:v>
                </c:pt>
                <c:pt idx="814">
                  <c:v>407,00000</c:v>
                </c:pt>
                <c:pt idx="815">
                  <c:v>407,50000</c:v>
                </c:pt>
                <c:pt idx="816">
                  <c:v>408,00000</c:v>
                </c:pt>
                <c:pt idx="817">
                  <c:v>408,50000</c:v>
                </c:pt>
                <c:pt idx="818">
                  <c:v>409,00000</c:v>
                </c:pt>
                <c:pt idx="819">
                  <c:v>409,50000</c:v>
                </c:pt>
                <c:pt idx="820">
                  <c:v>410,00000</c:v>
                </c:pt>
                <c:pt idx="821">
                  <c:v>410,50000</c:v>
                </c:pt>
                <c:pt idx="822">
                  <c:v>411,00000</c:v>
                </c:pt>
                <c:pt idx="823">
                  <c:v>411,50000</c:v>
                </c:pt>
                <c:pt idx="824">
                  <c:v>412,00000</c:v>
                </c:pt>
                <c:pt idx="825">
                  <c:v>412,50000</c:v>
                </c:pt>
                <c:pt idx="826">
                  <c:v>413,00000</c:v>
                </c:pt>
                <c:pt idx="827">
                  <c:v>413,50000</c:v>
                </c:pt>
                <c:pt idx="828">
                  <c:v>414,00000</c:v>
                </c:pt>
                <c:pt idx="829">
                  <c:v>414,50000</c:v>
                </c:pt>
                <c:pt idx="830">
                  <c:v>415,00000</c:v>
                </c:pt>
                <c:pt idx="831">
                  <c:v>415,50000</c:v>
                </c:pt>
                <c:pt idx="832">
                  <c:v>416,00000</c:v>
                </c:pt>
                <c:pt idx="833">
                  <c:v>416,50000</c:v>
                </c:pt>
                <c:pt idx="834">
                  <c:v>417,00000</c:v>
                </c:pt>
                <c:pt idx="835">
                  <c:v>417,50000</c:v>
                </c:pt>
                <c:pt idx="836">
                  <c:v>418,00000</c:v>
                </c:pt>
                <c:pt idx="837">
                  <c:v>418,50000</c:v>
                </c:pt>
                <c:pt idx="838">
                  <c:v>419,00000</c:v>
                </c:pt>
                <c:pt idx="839">
                  <c:v>419,50000</c:v>
                </c:pt>
                <c:pt idx="840">
                  <c:v>420,00000</c:v>
                </c:pt>
                <c:pt idx="841">
                  <c:v>420,50000</c:v>
                </c:pt>
                <c:pt idx="842">
                  <c:v>421,00000</c:v>
                </c:pt>
                <c:pt idx="843">
                  <c:v>421,50000</c:v>
                </c:pt>
                <c:pt idx="844">
                  <c:v>422,00000</c:v>
                </c:pt>
                <c:pt idx="845">
                  <c:v>422,50000</c:v>
                </c:pt>
                <c:pt idx="846">
                  <c:v>423,00000</c:v>
                </c:pt>
                <c:pt idx="847">
                  <c:v>423,50000</c:v>
                </c:pt>
                <c:pt idx="848">
                  <c:v>424,00000</c:v>
                </c:pt>
                <c:pt idx="849">
                  <c:v>424,50000</c:v>
                </c:pt>
                <c:pt idx="850">
                  <c:v>425,00000</c:v>
                </c:pt>
                <c:pt idx="851">
                  <c:v>425,50000</c:v>
                </c:pt>
                <c:pt idx="852">
                  <c:v>426,00000</c:v>
                </c:pt>
                <c:pt idx="853">
                  <c:v>426,50000</c:v>
                </c:pt>
                <c:pt idx="854">
                  <c:v>427,00000</c:v>
                </c:pt>
                <c:pt idx="855">
                  <c:v>427,50000</c:v>
                </c:pt>
                <c:pt idx="856">
                  <c:v>428,00000</c:v>
                </c:pt>
                <c:pt idx="857">
                  <c:v>428,50000</c:v>
                </c:pt>
                <c:pt idx="858">
                  <c:v>429,00000</c:v>
                </c:pt>
                <c:pt idx="859">
                  <c:v>429,50000</c:v>
                </c:pt>
                <c:pt idx="860">
                  <c:v>430,00000</c:v>
                </c:pt>
                <c:pt idx="861">
                  <c:v>430,50000</c:v>
                </c:pt>
                <c:pt idx="862">
                  <c:v>431,00000</c:v>
                </c:pt>
                <c:pt idx="863">
                  <c:v>431,50000</c:v>
                </c:pt>
                <c:pt idx="864">
                  <c:v>432,00000</c:v>
                </c:pt>
                <c:pt idx="865">
                  <c:v>432,50000</c:v>
                </c:pt>
                <c:pt idx="866">
                  <c:v>433,00000</c:v>
                </c:pt>
                <c:pt idx="867">
                  <c:v>433,50000</c:v>
                </c:pt>
                <c:pt idx="868">
                  <c:v>434,00000</c:v>
                </c:pt>
                <c:pt idx="869">
                  <c:v>434,50000</c:v>
                </c:pt>
                <c:pt idx="870">
                  <c:v>435,00000</c:v>
                </c:pt>
                <c:pt idx="871">
                  <c:v>435,50000</c:v>
                </c:pt>
                <c:pt idx="872">
                  <c:v>436,00000</c:v>
                </c:pt>
                <c:pt idx="873">
                  <c:v>436,50000</c:v>
                </c:pt>
                <c:pt idx="874">
                  <c:v>437,00000</c:v>
                </c:pt>
                <c:pt idx="875">
                  <c:v>437,50000</c:v>
                </c:pt>
                <c:pt idx="876">
                  <c:v>438,00000</c:v>
                </c:pt>
                <c:pt idx="877">
                  <c:v>438,50000</c:v>
                </c:pt>
                <c:pt idx="878">
                  <c:v>439,00000</c:v>
                </c:pt>
                <c:pt idx="879">
                  <c:v>439,50000</c:v>
                </c:pt>
                <c:pt idx="880">
                  <c:v>440,00000</c:v>
                </c:pt>
                <c:pt idx="881">
                  <c:v>440,50000</c:v>
                </c:pt>
                <c:pt idx="882">
                  <c:v>441,00000</c:v>
                </c:pt>
                <c:pt idx="883">
                  <c:v>441,50000</c:v>
                </c:pt>
                <c:pt idx="884">
                  <c:v>442,00000</c:v>
                </c:pt>
                <c:pt idx="885">
                  <c:v>442,50000</c:v>
                </c:pt>
                <c:pt idx="886">
                  <c:v>443,00000</c:v>
                </c:pt>
                <c:pt idx="887">
                  <c:v>443,50000</c:v>
                </c:pt>
                <c:pt idx="888">
                  <c:v>444,00000</c:v>
                </c:pt>
                <c:pt idx="889">
                  <c:v>444,50000</c:v>
                </c:pt>
                <c:pt idx="890">
                  <c:v>445,00000</c:v>
                </c:pt>
                <c:pt idx="891">
                  <c:v>445,50000</c:v>
                </c:pt>
                <c:pt idx="892">
                  <c:v>446,00000</c:v>
                </c:pt>
                <c:pt idx="893">
                  <c:v>446,50000</c:v>
                </c:pt>
                <c:pt idx="894">
                  <c:v>447,00000</c:v>
                </c:pt>
                <c:pt idx="895">
                  <c:v>447,50000</c:v>
                </c:pt>
                <c:pt idx="896">
                  <c:v>448,00000</c:v>
                </c:pt>
                <c:pt idx="897">
                  <c:v>448,50000</c:v>
                </c:pt>
                <c:pt idx="898">
                  <c:v>449,00000</c:v>
                </c:pt>
                <c:pt idx="899">
                  <c:v>449,50000</c:v>
                </c:pt>
                <c:pt idx="900">
                  <c:v>450,00000</c:v>
                </c:pt>
                <c:pt idx="901">
                  <c:v>450,50000</c:v>
                </c:pt>
                <c:pt idx="902">
                  <c:v>451,00000</c:v>
                </c:pt>
                <c:pt idx="903">
                  <c:v>451,50000</c:v>
                </c:pt>
                <c:pt idx="904">
                  <c:v>452,00000</c:v>
                </c:pt>
                <c:pt idx="905">
                  <c:v>452,50000</c:v>
                </c:pt>
                <c:pt idx="906">
                  <c:v>453,00000</c:v>
                </c:pt>
                <c:pt idx="907">
                  <c:v>453,50000</c:v>
                </c:pt>
                <c:pt idx="908">
                  <c:v>454,00000</c:v>
                </c:pt>
                <c:pt idx="909">
                  <c:v>454,50000</c:v>
                </c:pt>
                <c:pt idx="910">
                  <c:v>455,00000</c:v>
                </c:pt>
                <c:pt idx="911">
                  <c:v>455,50000</c:v>
                </c:pt>
                <c:pt idx="912">
                  <c:v>456,00000</c:v>
                </c:pt>
                <c:pt idx="913">
                  <c:v>456,50000</c:v>
                </c:pt>
                <c:pt idx="914">
                  <c:v>457,00000</c:v>
                </c:pt>
                <c:pt idx="915">
                  <c:v>457,50000</c:v>
                </c:pt>
                <c:pt idx="916">
                  <c:v>458,00000</c:v>
                </c:pt>
                <c:pt idx="917">
                  <c:v>458,50000</c:v>
                </c:pt>
                <c:pt idx="918">
                  <c:v>459,00000</c:v>
                </c:pt>
                <c:pt idx="919">
                  <c:v>459,50000</c:v>
                </c:pt>
                <c:pt idx="920">
                  <c:v>460,00000</c:v>
                </c:pt>
                <c:pt idx="921">
                  <c:v>460,50000</c:v>
                </c:pt>
                <c:pt idx="922">
                  <c:v>461,00000</c:v>
                </c:pt>
                <c:pt idx="923">
                  <c:v>461,50000</c:v>
                </c:pt>
                <c:pt idx="924">
                  <c:v>462,00000</c:v>
                </c:pt>
                <c:pt idx="925">
                  <c:v>462,50000</c:v>
                </c:pt>
                <c:pt idx="926">
                  <c:v>463,00000</c:v>
                </c:pt>
                <c:pt idx="927">
                  <c:v>463,50000</c:v>
                </c:pt>
                <c:pt idx="928">
                  <c:v>464,00000</c:v>
                </c:pt>
                <c:pt idx="929">
                  <c:v>464,50000</c:v>
                </c:pt>
                <c:pt idx="930">
                  <c:v>465,00000</c:v>
                </c:pt>
                <c:pt idx="931">
                  <c:v>465,50000</c:v>
                </c:pt>
                <c:pt idx="932">
                  <c:v>466,00000</c:v>
                </c:pt>
                <c:pt idx="933">
                  <c:v>466,50000</c:v>
                </c:pt>
                <c:pt idx="934">
                  <c:v>467,00000</c:v>
                </c:pt>
                <c:pt idx="935">
                  <c:v>467,50000</c:v>
                </c:pt>
                <c:pt idx="936">
                  <c:v>468,00000</c:v>
                </c:pt>
                <c:pt idx="937">
                  <c:v>468,50000</c:v>
                </c:pt>
                <c:pt idx="938">
                  <c:v>469,00000</c:v>
                </c:pt>
                <c:pt idx="939">
                  <c:v>469,50000</c:v>
                </c:pt>
                <c:pt idx="940">
                  <c:v>470,00000</c:v>
                </c:pt>
                <c:pt idx="941">
                  <c:v>470,50000</c:v>
                </c:pt>
                <c:pt idx="942">
                  <c:v>471,00000</c:v>
                </c:pt>
                <c:pt idx="943">
                  <c:v>471,50000</c:v>
                </c:pt>
                <c:pt idx="944">
                  <c:v>472,00000</c:v>
                </c:pt>
                <c:pt idx="945">
                  <c:v>472,50000</c:v>
                </c:pt>
                <c:pt idx="946">
                  <c:v>473,00000</c:v>
                </c:pt>
                <c:pt idx="947">
                  <c:v>473,50000</c:v>
                </c:pt>
                <c:pt idx="948">
                  <c:v>474,00000</c:v>
                </c:pt>
                <c:pt idx="949">
                  <c:v>474,50000</c:v>
                </c:pt>
                <c:pt idx="950">
                  <c:v>475,00000</c:v>
                </c:pt>
                <c:pt idx="951">
                  <c:v>475,50000</c:v>
                </c:pt>
                <c:pt idx="952">
                  <c:v>476,00000</c:v>
                </c:pt>
                <c:pt idx="953">
                  <c:v>476,50000</c:v>
                </c:pt>
                <c:pt idx="954">
                  <c:v>477,00000</c:v>
                </c:pt>
                <c:pt idx="955">
                  <c:v>477,50000</c:v>
                </c:pt>
                <c:pt idx="956">
                  <c:v>478,00000</c:v>
                </c:pt>
                <c:pt idx="957">
                  <c:v>478,50000</c:v>
                </c:pt>
                <c:pt idx="958">
                  <c:v>479,00000</c:v>
                </c:pt>
                <c:pt idx="959">
                  <c:v>479,50000</c:v>
                </c:pt>
                <c:pt idx="960">
                  <c:v>480,00000</c:v>
                </c:pt>
                <c:pt idx="961">
                  <c:v>480,50000</c:v>
                </c:pt>
                <c:pt idx="962">
                  <c:v>481,00000</c:v>
                </c:pt>
                <c:pt idx="963">
                  <c:v>481,50000</c:v>
                </c:pt>
                <c:pt idx="964">
                  <c:v>482,00000</c:v>
                </c:pt>
                <c:pt idx="965">
                  <c:v>482,50000</c:v>
                </c:pt>
                <c:pt idx="966">
                  <c:v>483,00000</c:v>
                </c:pt>
                <c:pt idx="967">
                  <c:v>483,50000</c:v>
                </c:pt>
                <c:pt idx="968">
                  <c:v>484,00000</c:v>
                </c:pt>
                <c:pt idx="969">
                  <c:v>484,50000</c:v>
                </c:pt>
                <c:pt idx="970">
                  <c:v>485,00000</c:v>
                </c:pt>
                <c:pt idx="971">
                  <c:v>485,50000</c:v>
                </c:pt>
                <c:pt idx="972">
                  <c:v>486,00000</c:v>
                </c:pt>
                <c:pt idx="973">
                  <c:v>486,50000</c:v>
                </c:pt>
                <c:pt idx="974">
                  <c:v>487,00000</c:v>
                </c:pt>
                <c:pt idx="975">
                  <c:v>487,50000</c:v>
                </c:pt>
                <c:pt idx="976">
                  <c:v>488,00000</c:v>
                </c:pt>
                <c:pt idx="977">
                  <c:v>488,50000</c:v>
                </c:pt>
                <c:pt idx="978">
                  <c:v>489,00000</c:v>
                </c:pt>
                <c:pt idx="979">
                  <c:v>489,50000</c:v>
                </c:pt>
                <c:pt idx="980">
                  <c:v>490,00000</c:v>
                </c:pt>
                <c:pt idx="981">
                  <c:v>490,50000</c:v>
                </c:pt>
                <c:pt idx="982">
                  <c:v>491,00000</c:v>
                </c:pt>
                <c:pt idx="983">
                  <c:v>491,50000</c:v>
                </c:pt>
                <c:pt idx="984">
                  <c:v>492,00000</c:v>
                </c:pt>
                <c:pt idx="985">
                  <c:v>492,50000</c:v>
                </c:pt>
                <c:pt idx="986">
                  <c:v>493,00000</c:v>
                </c:pt>
                <c:pt idx="987">
                  <c:v>493,50000</c:v>
                </c:pt>
                <c:pt idx="988">
                  <c:v>494,00000</c:v>
                </c:pt>
                <c:pt idx="989">
                  <c:v>494,50000</c:v>
                </c:pt>
                <c:pt idx="990">
                  <c:v>495,00000</c:v>
                </c:pt>
                <c:pt idx="991">
                  <c:v>495,50000</c:v>
                </c:pt>
                <c:pt idx="992">
                  <c:v>496,00000</c:v>
                </c:pt>
                <c:pt idx="993">
                  <c:v>496,50000</c:v>
                </c:pt>
                <c:pt idx="994">
                  <c:v>497,00000</c:v>
                </c:pt>
                <c:pt idx="995">
                  <c:v>497,50000</c:v>
                </c:pt>
                <c:pt idx="996">
                  <c:v>498,00000</c:v>
                </c:pt>
                <c:pt idx="997">
                  <c:v>498,50000</c:v>
                </c:pt>
                <c:pt idx="998">
                  <c:v>499,00000</c:v>
                </c:pt>
                <c:pt idx="999">
                  <c:v>499,50000</c:v>
                </c:pt>
                <c:pt idx="1000">
                  <c:v>500,00000</c:v>
                </c:pt>
                <c:pt idx="1001">
                  <c:v>500,50000</c:v>
                </c:pt>
                <c:pt idx="1002">
                  <c:v>501,00000</c:v>
                </c:pt>
                <c:pt idx="1003">
                  <c:v>501,50000</c:v>
                </c:pt>
                <c:pt idx="1004">
                  <c:v>502,00000</c:v>
                </c:pt>
                <c:pt idx="1005">
                  <c:v>502,50000</c:v>
                </c:pt>
                <c:pt idx="1006">
                  <c:v>503,00000</c:v>
                </c:pt>
                <c:pt idx="1007">
                  <c:v>503,50000</c:v>
                </c:pt>
                <c:pt idx="1008">
                  <c:v>504,00000</c:v>
                </c:pt>
                <c:pt idx="1009">
                  <c:v>504,50000</c:v>
                </c:pt>
                <c:pt idx="1010">
                  <c:v>505,00000</c:v>
                </c:pt>
                <c:pt idx="1011">
                  <c:v>505,50000</c:v>
                </c:pt>
                <c:pt idx="1012">
                  <c:v>506,00000</c:v>
                </c:pt>
                <c:pt idx="1013">
                  <c:v>506,50000</c:v>
                </c:pt>
                <c:pt idx="1014">
                  <c:v>507,00000</c:v>
                </c:pt>
                <c:pt idx="1015">
                  <c:v>507,50000</c:v>
                </c:pt>
                <c:pt idx="1016">
                  <c:v>508,00000</c:v>
                </c:pt>
                <c:pt idx="1017">
                  <c:v>508,50000</c:v>
                </c:pt>
                <c:pt idx="1018">
                  <c:v>509,00000</c:v>
                </c:pt>
                <c:pt idx="1019">
                  <c:v>509,50000</c:v>
                </c:pt>
                <c:pt idx="1020">
                  <c:v>510,00000</c:v>
                </c:pt>
                <c:pt idx="1021">
                  <c:v>510,50000</c:v>
                </c:pt>
                <c:pt idx="1022">
                  <c:v>511,00000</c:v>
                </c:pt>
                <c:pt idx="1023">
                  <c:v>511,50000</c:v>
                </c:pt>
                <c:pt idx="1024">
                  <c:v>512,00000</c:v>
                </c:pt>
                <c:pt idx="1025">
                  <c:v>512,50000</c:v>
                </c:pt>
                <c:pt idx="1026">
                  <c:v>513,00000</c:v>
                </c:pt>
                <c:pt idx="1027">
                  <c:v>513,50000</c:v>
                </c:pt>
                <c:pt idx="1028">
                  <c:v>514,00000</c:v>
                </c:pt>
                <c:pt idx="1029">
                  <c:v>514,50000</c:v>
                </c:pt>
                <c:pt idx="1030">
                  <c:v>515,00000</c:v>
                </c:pt>
                <c:pt idx="1031">
                  <c:v>515,50000</c:v>
                </c:pt>
                <c:pt idx="1032">
                  <c:v>516,00000</c:v>
                </c:pt>
                <c:pt idx="1033">
                  <c:v>516,50000</c:v>
                </c:pt>
                <c:pt idx="1034">
                  <c:v>517,00000</c:v>
                </c:pt>
                <c:pt idx="1035">
                  <c:v>517,50000</c:v>
                </c:pt>
                <c:pt idx="1036">
                  <c:v>518,00000</c:v>
                </c:pt>
                <c:pt idx="1037">
                  <c:v>518,50000</c:v>
                </c:pt>
                <c:pt idx="1038">
                  <c:v>519,00000</c:v>
                </c:pt>
                <c:pt idx="1039">
                  <c:v>519,50000</c:v>
                </c:pt>
                <c:pt idx="1040">
                  <c:v>520,00000</c:v>
                </c:pt>
                <c:pt idx="1041">
                  <c:v>520,50000</c:v>
                </c:pt>
                <c:pt idx="1042">
                  <c:v>521,00000</c:v>
                </c:pt>
                <c:pt idx="1043">
                  <c:v>521,50000</c:v>
                </c:pt>
                <c:pt idx="1044">
                  <c:v>522,00000</c:v>
                </c:pt>
                <c:pt idx="1045">
                  <c:v>522,50000</c:v>
                </c:pt>
                <c:pt idx="1046">
                  <c:v>523,00000</c:v>
                </c:pt>
                <c:pt idx="1047">
                  <c:v>523,50000</c:v>
                </c:pt>
                <c:pt idx="1048">
                  <c:v>524,00000</c:v>
                </c:pt>
                <c:pt idx="1049">
                  <c:v>524,50000</c:v>
                </c:pt>
                <c:pt idx="1050">
                  <c:v>525,00000</c:v>
                </c:pt>
                <c:pt idx="1051">
                  <c:v>525,50000</c:v>
                </c:pt>
                <c:pt idx="1052">
                  <c:v>526,00000</c:v>
                </c:pt>
                <c:pt idx="1053">
                  <c:v>526,50000</c:v>
                </c:pt>
                <c:pt idx="1054">
                  <c:v>527,00000</c:v>
                </c:pt>
                <c:pt idx="1055">
                  <c:v>527,50000</c:v>
                </c:pt>
                <c:pt idx="1056">
                  <c:v>528,00000</c:v>
                </c:pt>
                <c:pt idx="1057">
                  <c:v>528,50000</c:v>
                </c:pt>
                <c:pt idx="1058">
                  <c:v>529,00000</c:v>
                </c:pt>
                <c:pt idx="1059">
                  <c:v>529,50000</c:v>
                </c:pt>
                <c:pt idx="1060">
                  <c:v>530,00000</c:v>
                </c:pt>
                <c:pt idx="1061">
                  <c:v>530,50000</c:v>
                </c:pt>
                <c:pt idx="1062">
                  <c:v>531,00000</c:v>
                </c:pt>
                <c:pt idx="1063">
                  <c:v>531,50000</c:v>
                </c:pt>
                <c:pt idx="1064">
                  <c:v>532,00000</c:v>
                </c:pt>
                <c:pt idx="1065">
                  <c:v>532,50000</c:v>
                </c:pt>
                <c:pt idx="1066">
                  <c:v>533,00000</c:v>
                </c:pt>
                <c:pt idx="1067">
                  <c:v>533,50000</c:v>
                </c:pt>
                <c:pt idx="1068">
                  <c:v>534,00000</c:v>
                </c:pt>
                <c:pt idx="1069">
                  <c:v>534,50000</c:v>
                </c:pt>
                <c:pt idx="1070">
                  <c:v>535,00000</c:v>
                </c:pt>
                <c:pt idx="1071">
                  <c:v>535,50000</c:v>
                </c:pt>
                <c:pt idx="1072">
                  <c:v>536,00000</c:v>
                </c:pt>
                <c:pt idx="1073">
                  <c:v>536,50000</c:v>
                </c:pt>
                <c:pt idx="1074">
                  <c:v>537,00000</c:v>
                </c:pt>
                <c:pt idx="1075">
                  <c:v>537,50000</c:v>
                </c:pt>
                <c:pt idx="1076">
                  <c:v>538,00000</c:v>
                </c:pt>
                <c:pt idx="1077">
                  <c:v>538,50000</c:v>
                </c:pt>
                <c:pt idx="1078">
                  <c:v>539,00000</c:v>
                </c:pt>
                <c:pt idx="1079">
                  <c:v>539,50000</c:v>
                </c:pt>
                <c:pt idx="1080">
                  <c:v>540,00000</c:v>
                </c:pt>
                <c:pt idx="1081">
                  <c:v>540,50000</c:v>
                </c:pt>
                <c:pt idx="1082">
                  <c:v>541,00000</c:v>
                </c:pt>
                <c:pt idx="1083">
                  <c:v>541,50000</c:v>
                </c:pt>
                <c:pt idx="1084">
                  <c:v>542,00000</c:v>
                </c:pt>
                <c:pt idx="1085">
                  <c:v>542,50000</c:v>
                </c:pt>
                <c:pt idx="1086">
                  <c:v>543,00000</c:v>
                </c:pt>
                <c:pt idx="1087">
                  <c:v>543,50000</c:v>
                </c:pt>
                <c:pt idx="1088">
                  <c:v>544,00000</c:v>
                </c:pt>
                <c:pt idx="1089">
                  <c:v>544,50000</c:v>
                </c:pt>
                <c:pt idx="1090">
                  <c:v>545,00000</c:v>
                </c:pt>
                <c:pt idx="1091">
                  <c:v>545,50000</c:v>
                </c:pt>
                <c:pt idx="1092">
                  <c:v>546,00000</c:v>
                </c:pt>
                <c:pt idx="1093">
                  <c:v>546,50000</c:v>
                </c:pt>
                <c:pt idx="1094">
                  <c:v>547,00000</c:v>
                </c:pt>
                <c:pt idx="1095">
                  <c:v>547,50000</c:v>
                </c:pt>
                <c:pt idx="1096">
                  <c:v>548,00000</c:v>
                </c:pt>
                <c:pt idx="1097">
                  <c:v>548,50000</c:v>
                </c:pt>
                <c:pt idx="1098">
                  <c:v>549,00000</c:v>
                </c:pt>
                <c:pt idx="1099">
                  <c:v>549,50000</c:v>
                </c:pt>
                <c:pt idx="1100">
                  <c:v>550,00000</c:v>
                </c:pt>
                <c:pt idx="1101">
                  <c:v>550,50000</c:v>
                </c:pt>
                <c:pt idx="1102">
                  <c:v>551,00000</c:v>
                </c:pt>
                <c:pt idx="1103">
                  <c:v>551,50000</c:v>
                </c:pt>
                <c:pt idx="1104">
                  <c:v>552,00000</c:v>
                </c:pt>
                <c:pt idx="1105">
                  <c:v>552,50000</c:v>
                </c:pt>
                <c:pt idx="1106">
                  <c:v>553,00000</c:v>
                </c:pt>
                <c:pt idx="1107">
                  <c:v>553,50000</c:v>
                </c:pt>
                <c:pt idx="1108">
                  <c:v>554,00000</c:v>
                </c:pt>
                <c:pt idx="1109">
                  <c:v>554,50000</c:v>
                </c:pt>
                <c:pt idx="1110">
                  <c:v>555,00000</c:v>
                </c:pt>
                <c:pt idx="1111">
                  <c:v>555,50000</c:v>
                </c:pt>
                <c:pt idx="1112">
                  <c:v>556,00000</c:v>
                </c:pt>
                <c:pt idx="1113">
                  <c:v>556,50000</c:v>
                </c:pt>
                <c:pt idx="1114">
                  <c:v>557,00000</c:v>
                </c:pt>
                <c:pt idx="1115">
                  <c:v>557,50000</c:v>
                </c:pt>
                <c:pt idx="1116">
                  <c:v>558,00000</c:v>
                </c:pt>
                <c:pt idx="1117">
                  <c:v>558,50000</c:v>
                </c:pt>
                <c:pt idx="1118">
                  <c:v>559,00000</c:v>
                </c:pt>
                <c:pt idx="1119">
                  <c:v>559,50000</c:v>
                </c:pt>
                <c:pt idx="1120">
                  <c:v>560,00000</c:v>
                </c:pt>
                <c:pt idx="1121">
                  <c:v>560,50000</c:v>
                </c:pt>
                <c:pt idx="1122">
                  <c:v>561,00000</c:v>
                </c:pt>
                <c:pt idx="1123">
                  <c:v>561,50000</c:v>
                </c:pt>
                <c:pt idx="1124">
                  <c:v>562,00000</c:v>
                </c:pt>
                <c:pt idx="1125">
                  <c:v>562,50000</c:v>
                </c:pt>
                <c:pt idx="1126">
                  <c:v>563,00000</c:v>
                </c:pt>
                <c:pt idx="1127">
                  <c:v>563,50000</c:v>
                </c:pt>
                <c:pt idx="1128">
                  <c:v>564,00000</c:v>
                </c:pt>
                <c:pt idx="1129">
                  <c:v>564,50000</c:v>
                </c:pt>
                <c:pt idx="1130">
                  <c:v>565,00000</c:v>
                </c:pt>
                <c:pt idx="1131">
                  <c:v>565,50000</c:v>
                </c:pt>
                <c:pt idx="1132">
                  <c:v>566,00000</c:v>
                </c:pt>
                <c:pt idx="1133">
                  <c:v>566,50000</c:v>
                </c:pt>
                <c:pt idx="1134">
                  <c:v>567,00000</c:v>
                </c:pt>
                <c:pt idx="1135">
                  <c:v>567,50000</c:v>
                </c:pt>
                <c:pt idx="1136">
                  <c:v>568,00000</c:v>
                </c:pt>
                <c:pt idx="1137">
                  <c:v>568,50000</c:v>
                </c:pt>
                <c:pt idx="1138">
                  <c:v>569,00000</c:v>
                </c:pt>
                <c:pt idx="1139">
                  <c:v>569,50000</c:v>
                </c:pt>
                <c:pt idx="1140">
                  <c:v>570,00000</c:v>
                </c:pt>
                <c:pt idx="1141">
                  <c:v>570,50000</c:v>
                </c:pt>
                <c:pt idx="1142">
                  <c:v>571,00000</c:v>
                </c:pt>
                <c:pt idx="1143">
                  <c:v>571,50000</c:v>
                </c:pt>
                <c:pt idx="1144">
                  <c:v>572,00000</c:v>
                </c:pt>
                <c:pt idx="1145">
                  <c:v>572,50000</c:v>
                </c:pt>
                <c:pt idx="1146">
                  <c:v>573,00000</c:v>
                </c:pt>
                <c:pt idx="1147">
                  <c:v>573,50000</c:v>
                </c:pt>
                <c:pt idx="1148">
                  <c:v>574,00000</c:v>
                </c:pt>
                <c:pt idx="1149">
                  <c:v>574,50000</c:v>
                </c:pt>
                <c:pt idx="1150">
                  <c:v>575,00000</c:v>
                </c:pt>
                <c:pt idx="1151">
                  <c:v>575,50000</c:v>
                </c:pt>
                <c:pt idx="1152">
                  <c:v>576,00000</c:v>
                </c:pt>
                <c:pt idx="1153">
                  <c:v>576,50000</c:v>
                </c:pt>
                <c:pt idx="1154">
                  <c:v>577,00000</c:v>
                </c:pt>
                <c:pt idx="1155">
                  <c:v>577,50000</c:v>
                </c:pt>
                <c:pt idx="1156">
                  <c:v>578,00000</c:v>
                </c:pt>
                <c:pt idx="1157">
                  <c:v>578,50000</c:v>
                </c:pt>
                <c:pt idx="1158">
                  <c:v>579,00000</c:v>
                </c:pt>
                <c:pt idx="1159">
                  <c:v>579,50000</c:v>
                </c:pt>
                <c:pt idx="1160">
                  <c:v>580,00000</c:v>
                </c:pt>
                <c:pt idx="1161">
                  <c:v>580,50000</c:v>
                </c:pt>
                <c:pt idx="1162">
                  <c:v>581,00000</c:v>
                </c:pt>
                <c:pt idx="1163">
                  <c:v>581,50000</c:v>
                </c:pt>
                <c:pt idx="1164">
                  <c:v>582,00000</c:v>
                </c:pt>
                <c:pt idx="1165">
                  <c:v>582,50000</c:v>
                </c:pt>
                <c:pt idx="1166">
                  <c:v>583,00000</c:v>
                </c:pt>
                <c:pt idx="1167">
                  <c:v>583,50000</c:v>
                </c:pt>
                <c:pt idx="1168">
                  <c:v>584,00000</c:v>
                </c:pt>
                <c:pt idx="1169">
                  <c:v>584,50000</c:v>
                </c:pt>
                <c:pt idx="1170">
                  <c:v>585,00000</c:v>
                </c:pt>
                <c:pt idx="1171">
                  <c:v>585,50000</c:v>
                </c:pt>
                <c:pt idx="1172">
                  <c:v>586,00000</c:v>
                </c:pt>
                <c:pt idx="1173">
                  <c:v>586,50000</c:v>
                </c:pt>
                <c:pt idx="1174">
                  <c:v>587,00000</c:v>
                </c:pt>
                <c:pt idx="1175">
                  <c:v>587,50000</c:v>
                </c:pt>
                <c:pt idx="1176">
                  <c:v>588,00000</c:v>
                </c:pt>
                <c:pt idx="1177">
                  <c:v>588,50000</c:v>
                </c:pt>
                <c:pt idx="1178">
                  <c:v>589,00000</c:v>
                </c:pt>
                <c:pt idx="1179">
                  <c:v>589,50000</c:v>
                </c:pt>
                <c:pt idx="1180">
                  <c:v>590,00000</c:v>
                </c:pt>
                <c:pt idx="1181">
                  <c:v>590,50000</c:v>
                </c:pt>
                <c:pt idx="1182">
                  <c:v>591,00000</c:v>
                </c:pt>
                <c:pt idx="1183">
                  <c:v>591,50000</c:v>
                </c:pt>
                <c:pt idx="1184">
                  <c:v>592,00000</c:v>
                </c:pt>
                <c:pt idx="1185">
                  <c:v>592,50000</c:v>
                </c:pt>
                <c:pt idx="1186">
                  <c:v>593,00000</c:v>
                </c:pt>
                <c:pt idx="1187">
                  <c:v>593,50000</c:v>
                </c:pt>
                <c:pt idx="1188">
                  <c:v>594,00000</c:v>
                </c:pt>
                <c:pt idx="1189">
                  <c:v>594,50000</c:v>
                </c:pt>
                <c:pt idx="1190">
                  <c:v>595,00000</c:v>
                </c:pt>
                <c:pt idx="1191">
                  <c:v>595,50000</c:v>
                </c:pt>
                <c:pt idx="1192">
                  <c:v>596,00000</c:v>
                </c:pt>
                <c:pt idx="1193">
                  <c:v>596,50000</c:v>
                </c:pt>
                <c:pt idx="1194">
                  <c:v>597,00000</c:v>
                </c:pt>
                <c:pt idx="1195">
                  <c:v>597,50000</c:v>
                </c:pt>
                <c:pt idx="1196">
                  <c:v>598,00000</c:v>
                </c:pt>
                <c:pt idx="1197">
                  <c:v>598,50000</c:v>
                </c:pt>
                <c:pt idx="1198">
                  <c:v>599,00000</c:v>
                </c:pt>
                <c:pt idx="1199">
                  <c:v>599,50000</c:v>
                </c:pt>
                <c:pt idx="1200">
                  <c:v>600,00000</c:v>
                </c:pt>
                <c:pt idx="1201">
                  <c:v>600,50000</c:v>
                </c:pt>
                <c:pt idx="1202">
                  <c:v>601,00000</c:v>
                </c:pt>
                <c:pt idx="1203">
                  <c:v>601,50000</c:v>
                </c:pt>
                <c:pt idx="1204">
                  <c:v>602,00000</c:v>
                </c:pt>
                <c:pt idx="1205">
                  <c:v>602,50000</c:v>
                </c:pt>
                <c:pt idx="1206">
                  <c:v>603,00000</c:v>
                </c:pt>
                <c:pt idx="1207">
                  <c:v>603,50000</c:v>
                </c:pt>
                <c:pt idx="1208">
                  <c:v>604,00000</c:v>
                </c:pt>
                <c:pt idx="1209">
                  <c:v>604,50000</c:v>
                </c:pt>
                <c:pt idx="1210">
                  <c:v>605,00000</c:v>
                </c:pt>
                <c:pt idx="1211">
                  <c:v>605,50000</c:v>
                </c:pt>
                <c:pt idx="1212">
                  <c:v>606,00000</c:v>
                </c:pt>
                <c:pt idx="1213">
                  <c:v>606,50000</c:v>
                </c:pt>
                <c:pt idx="1214">
                  <c:v>607,00000</c:v>
                </c:pt>
                <c:pt idx="1215">
                  <c:v>607,50000</c:v>
                </c:pt>
                <c:pt idx="1216">
                  <c:v>608,00000</c:v>
                </c:pt>
                <c:pt idx="1217">
                  <c:v>608,50000</c:v>
                </c:pt>
                <c:pt idx="1218">
                  <c:v>609,00000</c:v>
                </c:pt>
                <c:pt idx="1219">
                  <c:v>609,50000</c:v>
                </c:pt>
                <c:pt idx="1220">
                  <c:v>610,00000</c:v>
                </c:pt>
                <c:pt idx="1221">
                  <c:v>610,50000</c:v>
                </c:pt>
                <c:pt idx="1222">
                  <c:v>611,00000</c:v>
                </c:pt>
                <c:pt idx="1223">
                  <c:v>611,50000</c:v>
                </c:pt>
                <c:pt idx="1224">
                  <c:v>612,00000</c:v>
                </c:pt>
                <c:pt idx="1225">
                  <c:v>612,50000</c:v>
                </c:pt>
                <c:pt idx="1226">
                  <c:v>613,00000</c:v>
                </c:pt>
                <c:pt idx="1227">
                  <c:v>613,50000</c:v>
                </c:pt>
                <c:pt idx="1228">
                  <c:v>614,00000</c:v>
                </c:pt>
                <c:pt idx="1229">
                  <c:v>614,50000</c:v>
                </c:pt>
                <c:pt idx="1230">
                  <c:v>615,00000</c:v>
                </c:pt>
                <c:pt idx="1231">
                  <c:v>615,50000</c:v>
                </c:pt>
                <c:pt idx="1232">
                  <c:v>616,00000</c:v>
                </c:pt>
                <c:pt idx="1233">
                  <c:v>616,50000</c:v>
                </c:pt>
                <c:pt idx="1234">
                  <c:v>617,00000</c:v>
                </c:pt>
                <c:pt idx="1235">
                  <c:v>617,50000</c:v>
                </c:pt>
                <c:pt idx="1236">
                  <c:v>618,00000</c:v>
                </c:pt>
                <c:pt idx="1237">
                  <c:v>618,50000</c:v>
                </c:pt>
                <c:pt idx="1238">
                  <c:v>619,00000</c:v>
                </c:pt>
                <c:pt idx="1239">
                  <c:v>619,50000</c:v>
                </c:pt>
                <c:pt idx="1240">
                  <c:v>620,00000</c:v>
                </c:pt>
                <c:pt idx="1241">
                  <c:v>620,50000</c:v>
                </c:pt>
                <c:pt idx="1242">
                  <c:v>621,00000</c:v>
                </c:pt>
                <c:pt idx="1243">
                  <c:v>621,50000</c:v>
                </c:pt>
                <c:pt idx="1244">
                  <c:v>622,00000</c:v>
                </c:pt>
                <c:pt idx="1245">
                  <c:v>622,50000</c:v>
                </c:pt>
                <c:pt idx="1246">
                  <c:v>623,00000</c:v>
                </c:pt>
                <c:pt idx="1247">
                  <c:v>623,50000</c:v>
                </c:pt>
                <c:pt idx="1248">
                  <c:v>624,00000</c:v>
                </c:pt>
                <c:pt idx="1249">
                  <c:v>624,50000</c:v>
                </c:pt>
                <c:pt idx="1250">
                  <c:v>625,00000</c:v>
                </c:pt>
                <c:pt idx="1251">
                  <c:v>625,50000</c:v>
                </c:pt>
                <c:pt idx="1252">
                  <c:v>626,00000</c:v>
                </c:pt>
                <c:pt idx="1253">
                  <c:v>626,50000</c:v>
                </c:pt>
                <c:pt idx="1254">
                  <c:v>627,00000</c:v>
                </c:pt>
                <c:pt idx="1255">
                  <c:v>627,50000</c:v>
                </c:pt>
                <c:pt idx="1256">
                  <c:v>628,00000</c:v>
                </c:pt>
                <c:pt idx="1257">
                  <c:v>628,50000</c:v>
                </c:pt>
                <c:pt idx="1258">
                  <c:v>629,00000</c:v>
                </c:pt>
                <c:pt idx="1259">
                  <c:v>629,50000</c:v>
                </c:pt>
                <c:pt idx="1260">
                  <c:v>630,00000</c:v>
                </c:pt>
                <c:pt idx="1261">
                  <c:v>630,50000</c:v>
                </c:pt>
                <c:pt idx="1262">
                  <c:v>631,00000</c:v>
                </c:pt>
                <c:pt idx="1263">
                  <c:v>631,50000</c:v>
                </c:pt>
                <c:pt idx="1264">
                  <c:v>632,00000</c:v>
                </c:pt>
                <c:pt idx="1265">
                  <c:v>632,50000</c:v>
                </c:pt>
                <c:pt idx="1266">
                  <c:v>633,00000</c:v>
                </c:pt>
                <c:pt idx="1267">
                  <c:v>633,50000</c:v>
                </c:pt>
                <c:pt idx="1268">
                  <c:v>634,00000</c:v>
                </c:pt>
                <c:pt idx="1269">
                  <c:v>634,50000</c:v>
                </c:pt>
                <c:pt idx="1270">
                  <c:v>635,00000</c:v>
                </c:pt>
                <c:pt idx="1271">
                  <c:v>635,50000</c:v>
                </c:pt>
                <c:pt idx="1272">
                  <c:v>636,00000</c:v>
                </c:pt>
                <c:pt idx="1273">
                  <c:v>636,50000</c:v>
                </c:pt>
                <c:pt idx="1274">
                  <c:v>637,00000</c:v>
                </c:pt>
                <c:pt idx="1275">
                  <c:v>637,50000</c:v>
                </c:pt>
                <c:pt idx="1276">
                  <c:v>638,00000</c:v>
                </c:pt>
                <c:pt idx="1277">
                  <c:v>638,50000</c:v>
                </c:pt>
                <c:pt idx="1278">
                  <c:v>639,00000</c:v>
                </c:pt>
                <c:pt idx="1279">
                  <c:v>639,50000</c:v>
                </c:pt>
                <c:pt idx="1280">
                  <c:v>640,00000</c:v>
                </c:pt>
                <c:pt idx="1281">
                  <c:v>640,50000</c:v>
                </c:pt>
                <c:pt idx="1282">
                  <c:v>641,00000</c:v>
                </c:pt>
                <c:pt idx="1283">
                  <c:v>641,50000</c:v>
                </c:pt>
                <c:pt idx="1284">
                  <c:v>642,00000</c:v>
                </c:pt>
                <c:pt idx="1285">
                  <c:v>642,50000</c:v>
                </c:pt>
                <c:pt idx="1286">
                  <c:v>643,00000</c:v>
                </c:pt>
                <c:pt idx="1287">
                  <c:v>643,50000</c:v>
                </c:pt>
                <c:pt idx="1288">
                  <c:v>644,00000</c:v>
                </c:pt>
                <c:pt idx="1289">
                  <c:v>644,50000</c:v>
                </c:pt>
                <c:pt idx="1290">
                  <c:v>645,00000</c:v>
                </c:pt>
                <c:pt idx="1291">
                  <c:v>645,50000</c:v>
                </c:pt>
                <c:pt idx="1292">
                  <c:v>646,00000</c:v>
                </c:pt>
                <c:pt idx="1293">
                  <c:v>646,50000</c:v>
                </c:pt>
                <c:pt idx="1294">
                  <c:v>647,00000</c:v>
                </c:pt>
                <c:pt idx="1295">
                  <c:v>647,50000</c:v>
                </c:pt>
                <c:pt idx="1296">
                  <c:v>648,00000</c:v>
                </c:pt>
                <c:pt idx="1297">
                  <c:v>648,50000</c:v>
                </c:pt>
                <c:pt idx="1298">
                  <c:v>649,00000</c:v>
                </c:pt>
                <c:pt idx="1299">
                  <c:v>649,50000</c:v>
                </c:pt>
                <c:pt idx="1300">
                  <c:v>650,00000</c:v>
                </c:pt>
                <c:pt idx="1301">
                  <c:v>650,50000</c:v>
                </c:pt>
                <c:pt idx="1302">
                  <c:v>651,00000</c:v>
                </c:pt>
                <c:pt idx="1303">
                  <c:v>651,50000</c:v>
                </c:pt>
                <c:pt idx="1304">
                  <c:v>652,00000</c:v>
                </c:pt>
                <c:pt idx="1305">
                  <c:v>652,50000</c:v>
                </c:pt>
                <c:pt idx="1306">
                  <c:v>653,00000</c:v>
                </c:pt>
                <c:pt idx="1307">
                  <c:v>653,50000</c:v>
                </c:pt>
                <c:pt idx="1308">
                  <c:v>654,00000</c:v>
                </c:pt>
                <c:pt idx="1309">
                  <c:v>654,50000</c:v>
                </c:pt>
                <c:pt idx="1310">
                  <c:v>655,00000</c:v>
                </c:pt>
                <c:pt idx="1311">
                  <c:v>655,50000</c:v>
                </c:pt>
                <c:pt idx="1312">
                  <c:v>656,00000</c:v>
                </c:pt>
                <c:pt idx="1313">
                  <c:v>656,50000</c:v>
                </c:pt>
                <c:pt idx="1314">
                  <c:v>657,00000</c:v>
                </c:pt>
                <c:pt idx="1315">
                  <c:v>657,50000</c:v>
                </c:pt>
                <c:pt idx="1316">
                  <c:v>658,00000</c:v>
                </c:pt>
                <c:pt idx="1317">
                  <c:v>658,50000</c:v>
                </c:pt>
                <c:pt idx="1318">
                  <c:v>659,00000</c:v>
                </c:pt>
                <c:pt idx="1319">
                  <c:v>659,50000</c:v>
                </c:pt>
                <c:pt idx="1320">
                  <c:v>660,00000</c:v>
                </c:pt>
                <c:pt idx="1321">
                  <c:v>660,50000</c:v>
                </c:pt>
                <c:pt idx="1322">
                  <c:v>661,00000</c:v>
                </c:pt>
                <c:pt idx="1323">
                  <c:v>661,50000</c:v>
                </c:pt>
                <c:pt idx="1324">
                  <c:v>662,00000</c:v>
                </c:pt>
                <c:pt idx="1325">
                  <c:v>662,50000</c:v>
                </c:pt>
                <c:pt idx="1326">
                  <c:v>663,00000</c:v>
                </c:pt>
                <c:pt idx="1327">
                  <c:v>663,50000</c:v>
                </c:pt>
                <c:pt idx="1328">
                  <c:v>664,00000</c:v>
                </c:pt>
                <c:pt idx="1329">
                  <c:v>664,50000</c:v>
                </c:pt>
                <c:pt idx="1330">
                  <c:v>665,00000</c:v>
                </c:pt>
                <c:pt idx="1331">
                  <c:v>665,50000</c:v>
                </c:pt>
                <c:pt idx="1332">
                  <c:v>666,00000</c:v>
                </c:pt>
                <c:pt idx="1333">
                  <c:v>666,50000</c:v>
                </c:pt>
                <c:pt idx="1334">
                  <c:v>667,00000</c:v>
                </c:pt>
                <c:pt idx="1335">
                  <c:v>667,50000</c:v>
                </c:pt>
                <c:pt idx="1336">
                  <c:v>668,00000</c:v>
                </c:pt>
                <c:pt idx="1337">
                  <c:v>668,50000</c:v>
                </c:pt>
                <c:pt idx="1338">
                  <c:v>669,00000</c:v>
                </c:pt>
                <c:pt idx="1339">
                  <c:v>669,50000</c:v>
                </c:pt>
                <c:pt idx="1340">
                  <c:v>670,00000</c:v>
                </c:pt>
                <c:pt idx="1341">
                  <c:v>670,50000</c:v>
                </c:pt>
                <c:pt idx="1342">
                  <c:v>671,00000</c:v>
                </c:pt>
                <c:pt idx="1343">
                  <c:v>671,50000</c:v>
                </c:pt>
                <c:pt idx="1344">
                  <c:v>672,00000</c:v>
                </c:pt>
                <c:pt idx="1345">
                  <c:v>672,50000</c:v>
                </c:pt>
                <c:pt idx="1346">
                  <c:v>673,00000</c:v>
                </c:pt>
                <c:pt idx="1347">
                  <c:v>673,50000</c:v>
                </c:pt>
                <c:pt idx="1348">
                  <c:v>674,00000</c:v>
                </c:pt>
                <c:pt idx="1349">
                  <c:v>674,50000</c:v>
                </c:pt>
                <c:pt idx="1350">
                  <c:v>675,00000</c:v>
                </c:pt>
                <c:pt idx="1351">
                  <c:v>675,50000</c:v>
                </c:pt>
                <c:pt idx="1352">
                  <c:v>676,00000</c:v>
                </c:pt>
                <c:pt idx="1353">
                  <c:v>676,50000</c:v>
                </c:pt>
                <c:pt idx="1354">
                  <c:v>677,00000</c:v>
                </c:pt>
                <c:pt idx="1355">
                  <c:v>677,50000</c:v>
                </c:pt>
                <c:pt idx="1356">
                  <c:v>678,00000</c:v>
                </c:pt>
                <c:pt idx="1357">
                  <c:v>678,50000</c:v>
                </c:pt>
                <c:pt idx="1358">
                  <c:v>679,00000</c:v>
                </c:pt>
                <c:pt idx="1359">
                  <c:v>679,50000</c:v>
                </c:pt>
                <c:pt idx="1360">
                  <c:v>680,00000</c:v>
                </c:pt>
                <c:pt idx="1361">
                  <c:v>680,50000</c:v>
                </c:pt>
                <c:pt idx="1362">
                  <c:v>681,00000</c:v>
                </c:pt>
                <c:pt idx="1363">
                  <c:v>681,50000</c:v>
                </c:pt>
                <c:pt idx="1364">
                  <c:v>682,00000</c:v>
                </c:pt>
                <c:pt idx="1365">
                  <c:v>682,50000</c:v>
                </c:pt>
                <c:pt idx="1366">
                  <c:v>683,00000</c:v>
                </c:pt>
                <c:pt idx="1367">
                  <c:v>683,50000</c:v>
                </c:pt>
                <c:pt idx="1368">
                  <c:v>684,00000</c:v>
                </c:pt>
                <c:pt idx="1369">
                  <c:v>684,50000</c:v>
                </c:pt>
                <c:pt idx="1370">
                  <c:v>685,00000</c:v>
                </c:pt>
                <c:pt idx="1371">
                  <c:v>685,50000</c:v>
                </c:pt>
                <c:pt idx="1372">
                  <c:v>686,00000</c:v>
                </c:pt>
                <c:pt idx="1373">
                  <c:v>686,50000</c:v>
                </c:pt>
                <c:pt idx="1374">
                  <c:v>687,00000</c:v>
                </c:pt>
                <c:pt idx="1375">
                  <c:v>687,50000</c:v>
                </c:pt>
                <c:pt idx="1376">
                  <c:v>688,00000</c:v>
                </c:pt>
                <c:pt idx="1377">
                  <c:v>688,50000</c:v>
                </c:pt>
                <c:pt idx="1378">
                  <c:v>689,00000</c:v>
                </c:pt>
                <c:pt idx="1379">
                  <c:v>689,50000</c:v>
                </c:pt>
                <c:pt idx="1380">
                  <c:v>690,00000</c:v>
                </c:pt>
              </c:strCache>
            </c:strRef>
          </c:xVal>
          <c:yVal>
            <c:numRef>
              <c:f>'250C (Sif)'!$C$31:$C$1411</c:f>
              <c:numCache>
                <c:formatCode>0.00000</c:formatCode>
                <c:ptCount val="1381"/>
                <c:pt idx="0" formatCode="General">
                  <c:v>0</c:v>
                </c:pt>
                <c:pt idx="1">
                  <c:v>100.00959</c:v>
                </c:pt>
                <c:pt idx="2">
                  <c:v>99.911799999999999</c:v>
                </c:pt>
                <c:pt idx="3">
                  <c:v>99.752619999999993</c:v>
                </c:pt>
                <c:pt idx="4">
                  <c:v>99.445149999999998</c:v>
                </c:pt>
                <c:pt idx="5">
                  <c:v>99.192359999999994</c:v>
                </c:pt>
                <c:pt idx="6">
                  <c:v>98.971959999999996</c:v>
                </c:pt>
                <c:pt idx="7">
                  <c:v>98.834050000000005</c:v>
                </c:pt>
                <c:pt idx="8">
                  <c:v>98.743970000000004</c:v>
                </c:pt>
                <c:pt idx="9">
                  <c:v>98.649889999999999</c:v>
                </c:pt>
                <c:pt idx="10">
                  <c:v>98.596379999999996</c:v>
                </c:pt>
                <c:pt idx="11">
                  <c:v>98.550299999999993</c:v>
                </c:pt>
                <c:pt idx="12">
                  <c:v>98.519620000000003</c:v>
                </c:pt>
                <c:pt idx="13">
                  <c:v>98.488950000000003</c:v>
                </c:pt>
                <c:pt idx="14">
                  <c:v>98.473590000000002</c:v>
                </c:pt>
                <c:pt idx="15">
                  <c:v>98.427549999999997</c:v>
                </c:pt>
                <c:pt idx="16">
                  <c:v>98.399050000000003</c:v>
                </c:pt>
                <c:pt idx="17">
                  <c:v>98.366150000000005</c:v>
                </c:pt>
                <c:pt idx="18">
                  <c:v>98.323999999999998</c:v>
                </c:pt>
                <c:pt idx="19">
                  <c:v>98.302959999999999</c:v>
                </c:pt>
                <c:pt idx="20">
                  <c:v>98.289469999999994</c:v>
                </c:pt>
                <c:pt idx="21">
                  <c:v>98.255189999999999</c:v>
                </c:pt>
                <c:pt idx="22">
                  <c:v>98.235780000000005</c:v>
                </c:pt>
                <c:pt idx="23">
                  <c:v>98.233980000000003</c:v>
                </c:pt>
                <c:pt idx="24">
                  <c:v>98.212900000000005</c:v>
                </c:pt>
                <c:pt idx="25">
                  <c:v>98.191789999999997</c:v>
                </c:pt>
                <c:pt idx="26">
                  <c:v>98.170730000000006</c:v>
                </c:pt>
                <c:pt idx="27">
                  <c:v>98.149659999999997</c:v>
                </c:pt>
                <c:pt idx="28">
                  <c:v>98.136279999999999</c:v>
                </c:pt>
                <c:pt idx="29">
                  <c:v>98.1173</c:v>
                </c:pt>
                <c:pt idx="30">
                  <c:v>98.113050000000001</c:v>
                </c:pt>
                <c:pt idx="31">
                  <c:v>98.093879999999999</c:v>
                </c:pt>
                <c:pt idx="32">
                  <c:v>98.074799999999996</c:v>
                </c:pt>
                <c:pt idx="33">
                  <c:v>98.072900000000004</c:v>
                </c:pt>
                <c:pt idx="34">
                  <c:v>98.034469999999999</c:v>
                </c:pt>
                <c:pt idx="35">
                  <c:v>98.013480000000001</c:v>
                </c:pt>
                <c:pt idx="36">
                  <c:v>98.009829999999994</c:v>
                </c:pt>
                <c:pt idx="37">
                  <c:v>97.961600000000004</c:v>
                </c:pt>
                <c:pt idx="38">
                  <c:v>97.955849999999998</c:v>
                </c:pt>
                <c:pt idx="39">
                  <c:v>97.927310000000006</c:v>
                </c:pt>
                <c:pt idx="40">
                  <c:v>97.927130000000005</c:v>
                </c:pt>
                <c:pt idx="41">
                  <c:v>97.902240000000006</c:v>
                </c:pt>
                <c:pt idx="42">
                  <c:v>97.910139999999998</c:v>
                </c:pt>
                <c:pt idx="43">
                  <c:v>97.879260000000002</c:v>
                </c:pt>
                <c:pt idx="44">
                  <c:v>97.861959999999996</c:v>
                </c:pt>
                <c:pt idx="45">
                  <c:v>97.858239999999995</c:v>
                </c:pt>
                <c:pt idx="46">
                  <c:v>97.863969999999995</c:v>
                </c:pt>
                <c:pt idx="47">
                  <c:v>97.852509999999995</c:v>
                </c:pt>
                <c:pt idx="48">
                  <c:v>97.825530000000001</c:v>
                </c:pt>
                <c:pt idx="49">
                  <c:v>97.814149999999998</c:v>
                </c:pt>
                <c:pt idx="50">
                  <c:v>97.812029999999993</c:v>
                </c:pt>
                <c:pt idx="51">
                  <c:v>97.812089999999998</c:v>
                </c:pt>
                <c:pt idx="52">
                  <c:v>97.802660000000003</c:v>
                </c:pt>
                <c:pt idx="53">
                  <c:v>97.802459999999996</c:v>
                </c:pt>
                <c:pt idx="54">
                  <c:v>97.794970000000006</c:v>
                </c:pt>
                <c:pt idx="55">
                  <c:v>97.760429999999999</c:v>
                </c:pt>
                <c:pt idx="56">
                  <c:v>97.731449999999995</c:v>
                </c:pt>
                <c:pt idx="57">
                  <c:v>97.714309999999998</c:v>
                </c:pt>
                <c:pt idx="58">
                  <c:v>97.699039999999997</c:v>
                </c:pt>
                <c:pt idx="59">
                  <c:v>97.691299999999998</c:v>
                </c:pt>
                <c:pt idx="60">
                  <c:v>97.670289999999994</c:v>
                </c:pt>
                <c:pt idx="61">
                  <c:v>97.668350000000004</c:v>
                </c:pt>
                <c:pt idx="62">
                  <c:v>97.662549999999996</c:v>
                </c:pt>
                <c:pt idx="63">
                  <c:v>97.648359999999997</c:v>
                </c:pt>
                <c:pt idx="64">
                  <c:v>97.639709999999994</c:v>
                </c:pt>
                <c:pt idx="65">
                  <c:v>97.624309999999994</c:v>
                </c:pt>
                <c:pt idx="66">
                  <c:v>97.612849999999995</c:v>
                </c:pt>
                <c:pt idx="67">
                  <c:v>97.58202</c:v>
                </c:pt>
                <c:pt idx="68">
                  <c:v>97.585830000000001</c:v>
                </c:pt>
                <c:pt idx="69">
                  <c:v>97.553460000000001</c:v>
                </c:pt>
                <c:pt idx="70">
                  <c:v>97.541880000000006</c:v>
                </c:pt>
                <c:pt idx="71">
                  <c:v>97.513019999999997</c:v>
                </c:pt>
                <c:pt idx="72">
                  <c:v>97.467160000000007</c:v>
                </c:pt>
                <c:pt idx="73">
                  <c:v>97.467150000000004</c:v>
                </c:pt>
                <c:pt idx="74">
                  <c:v>97.447710000000001</c:v>
                </c:pt>
                <c:pt idx="75">
                  <c:v>97.411420000000007</c:v>
                </c:pt>
                <c:pt idx="76">
                  <c:v>97.39385</c:v>
                </c:pt>
                <c:pt idx="77">
                  <c:v>97.351950000000002</c:v>
                </c:pt>
                <c:pt idx="78">
                  <c:v>97.327060000000003</c:v>
                </c:pt>
                <c:pt idx="79">
                  <c:v>97.303669999999997</c:v>
                </c:pt>
                <c:pt idx="80">
                  <c:v>97.259829999999994</c:v>
                </c:pt>
                <c:pt idx="81">
                  <c:v>97.229339999999993</c:v>
                </c:pt>
                <c:pt idx="82">
                  <c:v>97.204350000000005</c:v>
                </c:pt>
                <c:pt idx="83">
                  <c:v>97.163830000000004</c:v>
                </c:pt>
                <c:pt idx="84">
                  <c:v>97.123679999999993</c:v>
                </c:pt>
                <c:pt idx="85">
                  <c:v>97.077590000000001</c:v>
                </c:pt>
                <c:pt idx="86">
                  <c:v>97.035520000000005</c:v>
                </c:pt>
                <c:pt idx="87">
                  <c:v>96.999039999999994</c:v>
                </c:pt>
                <c:pt idx="88">
                  <c:v>96.960530000000006</c:v>
                </c:pt>
                <c:pt idx="89">
                  <c:v>96.934139999999999</c:v>
                </c:pt>
                <c:pt idx="90">
                  <c:v>96.901300000000006</c:v>
                </c:pt>
                <c:pt idx="91">
                  <c:v>96.855230000000006</c:v>
                </c:pt>
                <c:pt idx="92">
                  <c:v>96.817009999999996</c:v>
                </c:pt>
                <c:pt idx="93">
                  <c:v>96.780450000000002</c:v>
                </c:pt>
                <c:pt idx="94">
                  <c:v>96.755629999999996</c:v>
                </c:pt>
                <c:pt idx="95">
                  <c:v>96.692719999999994</c:v>
                </c:pt>
                <c:pt idx="96">
                  <c:v>96.659570000000002</c:v>
                </c:pt>
                <c:pt idx="97">
                  <c:v>96.596199999999996</c:v>
                </c:pt>
                <c:pt idx="98">
                  <c:v>96.589250000000007</c:v>
                </c:pt>
                <c:pt idx="99">
                  <c:v>96.53922</c:v>
                </c:pt>
                <c:pt idx="100">
                  <c:v>96.498360000000005</c:v>
                </c:pt>
                <c:pt idx="101">
                  <c:v>96.46002</c:v>
                </c:pt>
                <c:pt idx="102">
                  <c:v>96.425539999999998</c:v>
                </c:pt>
                <c:pt idx="103">
                  <c:v>96.381739999999994</c:v>
                </c:pt>
                <c:pt idx="104">
                  <c:v>96.341719999999995</c:v>
                </c:pt>
                <c:pt idx="105">
                  <c:v>96.297229999999999</c:v>
                </c:pt>
                <c:pt idx="106">
                  <c:v>96.27413</c:v>
                </c:pt>
                <c:pt idx="107">
                  <c:v>96.22654</c:v>
                </c:pt>
                <c:pt idx="108">
                  <c:v>96.170829999999995</c:v>
                </c:pt>
                <c:pt idx="109">
                  <c:v>96.126369999999994</c:v>
                </c:pt>
                <c:pt idx="110">
                  <c:v>96.090199999999996</c:v>
                </c:pt>
                <c:pt idx="111">
                  <c:v>96.059579999999997</c:v>
                </c:pt>
                <c:pt idx="112">
                  <c:v>96.009510000000006</c:v>
                </c:pt>
                <c:pt idx="113">
                  <c:v>95.975089999999994</c:v>
                </c:pt>
                <c:pt idx="114">
                  <c:v>95.917630000000003</c:v>
                </c:pt>
                <c:pt idx="115">
                  <c:v>95.877319999999997</c:v>
                </c:pt>
                <c:pt idx="116">
                  <c:v>95.853870000000001</c:v>
                </c:pt>
                <c:pt idx="117">
                  <c:v>95.810140000000004</c:v>
                </c:pt>
                <c:pt idx="118">
                  <c:v>95.768240000000006</c:v>
                </c:pt>
                <c:pt idx="119">
                  <c:v>95.735330000000005</c:v>
                </c:pt>
                <c:pt idx="120">
                  <c:v>95.677909999999997</c:v>
                </c:pt>
                <c:pt idx="121">
                  <c:v>95.653080000000003</c:v>
                </c:pt>
                <c:pt idx="122">
                  <c:v>95.618399999999994</c:v>
                </c:pt>
                <c:pt idx="123">
                  <c:v>95.568579999999997</c:v>
                </c:pt>
                <c:pt idx="124">
                  <c:v>95.534300000000002</c:v>
                </c:pt>
                <c:pt idx="125">
                  <c:v>95.515029999999996</c:v>
                </c:pt>
                <c:pt idx="126">
                  <c:v>95.488309999999998</c:v>
                </c:pt>
                <c:pt idx="127">
                  <c:v>95.451779999999999</c:v>
                </c:pt>
                <c:pt idx="128">
                  <c:v>95.434489999999997</c:v>
                </c:pt>
                <c:pt idx="129">
                  <c:v>95.403899999999993</c:v>
                </c:pt>
                <c:pt idx="130">
                  <c:v>95.380690000000001</c:v>
                </c:pt>
                <c:pt idx="131">
                  <c:v>95.374979999999994</c:v>
                </c:pt>
                <c:pt idx="132">
                  <c:v>95.350129999999993</c:v>
                </c:pt>
                <c:pt idx="133">
                  <c:v>95.338319999999996</c:v>
                </c:pt>
                <c:pt idx="134">
                  <c:v>95.317660000000004</c:v>
                </c:pt>
                <c:pt idx="135">
                  <c:v>95.279089999999997</c:v>
                </c:pt>
                <c:pt idx="136">
                  <c:v>95.269360000000006</c:v>
                </c:pt>
                <c:pt idx="137">
                  <c:v>95.240849999999995</c:v>
                </c:pt>
                <c:pt idx="138">
                  <c:v>95.200620000000001</c:v>
                </c:pt>
                <c:pt idx="139">
                  <c:v>95.187010000000001</c:v>
                </c:pt>
                <c:pt idx="140">
                  <c:v>95.16413</c:v>
                </c:pt>
                <c:pt idx="141">
                  <c:v>95.154470000000003</c:v>
                </c:pt>
                <c:pt idx="142">
                  <c:v>95.133359999999996</c:v>
                </c:pt>
                <c:pt idx="143">
                  <c:v>95.115930000000006</c:v>
                </c:pt>
                <c:pt idx="144">
                  <c:v>95.095100000000002</c:v>
                </c:pt>
                <c:pt idx="145">
                  <c:v>95.079679999999996</c:v>
                </c:pt>
                <c:pt idx="146">
                  <c:v>95.062659999999994</c:v>
                </c:pt>
                <c:pt idx="147">
                  <c:v>95.056719999999999</c:v>
                </c:pt>
                <c:pt idx="148">
                  <c:v>95.031769999999995</c:v>
                </c:pt>
                <c:pt idx="149">
                  <c:v>95.029920000000004</c:v>
                </c:pt>
                <c:pt idx="150">
                  <c:v>95.014300000000006</c:v>
                </c:pt>
                <c:pt idx="151">
                  <c:v>95.001080000000002</c:v>
                </c:pt>
                <c:pt idx="152">
                  <c:v>94.995320000000007</c:v>
                </c:pt>
                <c:pt idx="153">
                  <c:v>94.943569999999994</c:v>
                </c:pt>
                <c:pt idx="154">
                  <c:v>94.947620000000001</c:v>
                </c:pt>
                <c:pt idx="155">
                  <c:v>94.924499999999995</c:v>
                </c:pt>
                <c:pt idx="156">
                  <c:v>94.909109999999998</c:v>
                </c:pt>
                <c:pt idx="157">
                  <c:v>94.887969999999996</c:v>
                </c:pt>
                <c:pt idx="158">
                  <c:v>94.868769999999998</c:v>
                </c:pt>
                <c:pt idx="159">
                  <c:v>94.851569999999995</c:v>
                </c:pt>
                <c:pt idx="160">
                  <c:v>94.853539999999995</c:v>
                </c:pt>
                <c:pt idx="161">
                  <c:v>94.830629999999999</c:v>
                </c:pt>
                <c:pt idx="162">
                  <c:v>94.820740000000001</c:v>
                </c:pt>
                <c:pt idx="163">
                  <c:v>94.816869999999994</c:v>
                </c:pt>
                <c:pt idx="164">
                  <c:v>94.790319999999994</c:v>
                </c:pt>
                <c:pt idx="165">
                  <c:v>94.772890000000004</c:v>
                </c:pt>
                <c:pt idx="166">
                  <c:v>94.763369999999995</c:v>
                </c:pt>
                <c:pt idx="167">
                  <c:v>94.74624</c:v>
                </c:pt>
                <c:pt idx="168">
                  <c:v>94.744280000000003</c:v>
                </c:pt>
                <c:pt idx="169">
                  <c:v>94.709940000000003</c:v>
                </c:pt>
                <c:pt idx="170">
                  <c:v>94.707750000000004</c:v>
                </c:pt>
                <c:pt idx="171">
                  <c:v>94.690460000000002</c:v>
                </c:pt>
                <c:pt idx="172">
                  <c:v>94.677300000000002</c:v>
                </c:pt>
                <c:pt idx="173">
                  <c:v>94.680850000000007</c:v>
                </c:pt>
                <c:pt idx="174">
                  <c:v>94.679109999999994</c:v>
                </c:pt>
                <c:pt idx="175">
                  <c:v>94.661689999999993</c:v>
                </c:pt>
                <c:pt idx="176">
                  <c:v>94.638829999999999</c:v>
                </c:pt>
                <c:pt idx="177">
                  <c:v>94.625429999999994</c:v>
                </c:pt>
                <c:pt idx="178">
                  <c:v>94.611729999999994</c:v>
                </c:pt>
                <c:pt idx="179">
                  <c:v>94.596500000000006</c:v>
                </c:pt>
                <c:pt idx="180">
                  <c:v>94.584860000000006</c:v>
                </c:pt>
                <c:pt idx="181">
                  <c:v>94.559169999999995</c:v>
                </c:pt>
                <c:pt idx="182">
                  <c:v>94.692850000000007</c:v>
                </c:pt>
                <c:pt idx="183">
                  <c:v>94.857519999999994</c:v>
                </c:pt>
                <c:pt idx="184">
                  <c:v>94.961079999999995</c:v>
                </c:pt>
                <c:pt idx="185">
                  <c:v>95.031899999999993</c:v>
                </c:pt>
                <c:pt idx="186">
                  <c:v>95.045370000000005</c:v>
                </c:pt>
                <c:pt idx="187">
                  <c:v>95.060559999999995</c:v>
                </c:pt>
                <c:pt idx="188">
                  <c:v>95.06653</c:v>
                </c:pt>
                <c:pt idx="189">
                  <c:v>95.064329999999998</c:v>
                </c:pt>
                <c:pt idx="190">
                  <c:v>95.052710000000005</c:v>
                </c:pt>
                <c:pt idx="191">
                  <c:v>95.031620000000004</c:v>
                </c:pt>
                <c:pt idx="192">
                  <c:v>95.012730000000005</c:v>
                </c:pt>
                <c:pt idx="193">
                  <c:v>94.991669999999999</c:v>
                </c:pt>
                <c:pt idx="194">
                  <c:v>94.961010000000002</c:v>
                </c:pt>
                <c:pt idx="195">
                  <c:v>94.955100000000002</c:v>
                </c:pt>
                <c:pt idx="196">
                  <c:v>94.935929999999999</c:v>
                </c:pt>
                <c:pt idx="197">
                  <c:v>94.90531</c:v>
                </c:pt>
                <c:pt idx="198">
                  <c:v>94.886099999999999</c:v>
                </c:pt>
                <c:pt idx="199">
                  <c:v>94.841999999999999</c:v>
                </c:pt>
                <c:pt idx="200">
                  <c:v>94.830520000000007</c:v>
                </c:pt>
                <c:pt idx="201">
                  <c:v>94.788309999999996</c:v>
                </c:pt>
                <c:pt idx="202">
                  <c:v>94.770960000000002</c:v>
                </c:pt>
                <c:pt idx="203">
                  <c:v>94.74427</c:v>
                </c:pt>
                <c:pt idx="204">
                  <c:v>94.705439999999996</c:v>
                </c:pt>
                <c:pt idx="205">
                  <c:v>94.694280000000006</c:v>
                </c:pt>
                <c:pt idx="206">
                  <c:v>94.669460000000001</c:v>
                </c:pt>
                <c:pt idx="207">
                  <c:v>94.632930000000002</c:v>
                </c:pt>
                <c:pt idx="208">
                  <c:v>94.611739999999998</c:v>
                </c:pt>
                <c:pt idx="209">
                  <c:v>94.575699999999998</c:v>
                </c:pt>
                <c:pt idx="210">
                  <c:v>94.552629999999994</c:v>
                </c:pt>
                <c:pt idx="211">
                  <c:v>94.525509999999997</c:v>
                </c:pt>
                <c:pt idx="212">
                  <c:v>94.500510000000006</c:v>
                </c:pt>
                <c:pt idx="213">
                  <c:v>94.454539999999994</c:v>
                </c:pt>
                <c:pt idx="214">
                  <c:v>94.427769999999995</c:v>
                </c:pt>
                <c:pt idx="215">
                  <c:v>94.406570000000002</c:v>
                </c:pt>
                <c:pt idx="216">
                  <c:v>94.381870000000006</c:v>
                </c:pt>
                <c:pt idx="217">
                  <c:v>94.343389999999999</c:v>
                </c:pt>
                <c:pt idx="218">
                  <c:v>94.316559999999996</c:v>
                </c:pt>
                <c:pt idx="219">
                  <c:v>94.285899999999998</c:v>
                </c:pt>
                <c:pt idx="220">
                  <c:v>94.251350000000002</c:v>
                </c:pt>
                <c:pt idx="221">
                  <c:v>94.214969999999994</c:v>
                </c:pt>
                <c:pt idx="222">
                  <c:v>94.188029999999998</c:v>
                </c:pt>
                <c:pt idx="223">
                  <c:v>94.166989999999998</c:v>
                </c:pt>
                <c:pt idx="224">
                  <c:v>94.138409999999993</c:v>
                </c:pt>
                <c:pt idx="225">
                  <c:v>94.107680000000002</c:v>
                </c:pt>
                <c:pt idx="226">
                  <c:v>94.078800000000001</c:v>
                </c:pt>
                <c:pt idx="227">
                  <c:v>94.044439999999994</c:v>
                </c:pt>
                <c:pt idx="228">
                  <c:v>94.025040000000004</c:v>
                </c:pt>
                <c:pt idx="229">
                  <c:v>93.990520000000004</c:v>
                </c:pt>
                <c:pt idx="230">
                  <c:v>93.957819999999998</c:v>
                </c:pt>
                <c:pt idx="231">
                  <c:v>93.930909999999997</c:v>
                </c:pt>
                <c:pt idx="232">
                  <c:v>93.900509999999997</c:v>
                </c:pt>
                <c:pt idx="233">
                  <c:v>93.873689999999996</c:v>
                </c:pt>
                <c:pt idx="234">
                  <c:v>93.841130000000007</c:v>
                </c:pt>
                <c:pt idx="235">
                  <c:v>93.819890000000001</c:v>
                </c:pt>
                <c:pt idx="236">
                  <c:v>93.773949999999999</c:v>
                </c:pt>
                <c:pt idx="237">
                  <c:v>93.754750000000001</c:v>
                </c:pt>
                <c:pt idx="238">
                  <c:v>93.704840000000004</c:v>
                </c:pt>
                <c:pt idx="239">
                  <c:v>93.69153</c:v>
                </c:pt>
                <c:pt idx="240">
                  <c:v>93.668459999999996</c:v>
                </c:pt>
                <c:pt idx="241">
                  <c:v>93.647490000000005</c:v>
                </c:pt>
                <c:pt idx="242">
                  <c:v>93.626220000000004</c:v>
                </c:pt>
                <c:pt idx="243">
                  <c:v>93.589759999999998</c:v>
                </c:pt>
                <c:pt idx="244">
                  <c:v>93.559079999999994</c:v>
                </c:pt>
                <c:pt idx="245">
                  <c:v>93.536119999999997</c:v>
                </c:pt>
                <c:pt idx="246">
                  <c:v>93.497860000000003</c:v>
                </c:pt>
                <c:pt idx="247">
                  <c:v>93.468999999999994</c:v>
                </c:pt>
                <c:pt idx="248">
                  <c:v>93.430679999999995</c:v>
                </c:pt>
                <c:pt idx="249">
                  <c:v>93.407629999999997</c:v>
                </c:pt>
                <c:pt idx="250">
                  <c:v>93.382670000000005</c:v>
                </c:pt>
                <c:pt idx="251">
                  <c:v>93.340519999999998</c:v>
                </c:pt>
                <c:pt idx="252">
                  <c:v>93.307820000000007</c:v>
                </c:pt>
                <c:pt idx="253">
                  <c:v>93.286699999999996</c:v>
                </c:pt>
                <c:pt idx="254">
                  <c:v>93.256200000000007</c:v>
                </c:pt>
                <c:pt idx="255">
                  <c:v>93.221720000000005</c:v>
                </c:pt>
                <c:pt idx="256">
                  <c:v>93.204470000000001</c:v>
                </c:pt>
                <c:pt idx="257">
                  <c:v>93.173869999999994</c:v>
                </c:pt>
                <c:pt idx="258">
                  <c:v>93.141270000000006</c:v>
                </c:pt>
                <c:pt idx="259">
                  <c:v>93.102800000000002</c:v>
                </c:pt>
                <c:pt idx="260">
                  <c:v>93.072069999999997</c:v>
                </c:pt>
                <c:pt idx="261">
                  <c:v>93.029949999999999</c:v>
                </c:pt>
                <c:pt idx="262">
                  <c:v>93.012749999999997</c:v>
                </c:pt>
                <c:pt idx="263">
                  <c:v>92.981859999999998</c:v>
                </c:pt>
                <c:pt idx="264">
                  <c:v>92.97627</c:v>
                </c:pt>
                <c:pt idx="265">
                  <c:v>92.947519999999997</c:v>
                </c:pt>
                <c:pt idx="266">
                  <c:v>92.90155</c:v>
                </c:pt>
                <c:pt idx="267">
                  <c:v>92.872749999999996</c:v>
                </c:pt>
                <c:pt idx="268">
                  <c:v>92.853489999999994</c:v>
                </c:pt>
                <c:pt idx="269">
                  <c:v>92.834320000000005</c:v>
                </c:pt>
                <c:pt idx="270">
                  <c:v>92.815179999999998</c:v>
                </c:pt>
                <c:pt idx="271">
                  <c:v>92.788250000000005</c:v>
                </c:pt>
                <c:pt idx="272">
                  <c:v>92.759640000000005</c:v>
                </c:pt>
                <c:pt idx="273">
                  <c:v>92.728899999999996</c:v>
                </c:pt>
                <c:pt idx="274">
                  <c:v>92.702079999999995</c:v>
                </c:pt>
                <c:pt idx="275">
                  <c:v>92.656090000000006</c:v>
                </c:pt>
                <c:pt idx="276">
                  <c:v>92.634870000000006</c:v>
                </c:pt>
                <c:pt idx="277">
                  <c:v>92.600440000000006</c:v>
                </c:pt>
                <c:pt idx="278">
                  <c:v>92.577439999999996</c:v>
                </c:pt>
                <c:pt idx="279">
                  <c:v>92.538910000000001</c:v>
                </c:pt>
                <c:pt idx="280">
                  <c:v>92.533259999999999</c:v>
                </c:pt>
                <c:pt idx="281">
                  <c:v>92.500709999999998</c:v>
                </c:pt>
                <c:pt idx="282">
                  <c:v>92.473910000000004</c:v>
                </c:pt>
                <c:pt idx="283">
                  <c:v>92.471869999999996</c:v>
                </c:pt>
                <c:pt idx="284">
                  <c:v>92.422190000000001</c:v>
                </c:pt>
                <c:pt idx="285">
                  <c:v>92.404839999999993</c:v>
                </c:pt>
                <c:pt idx="286">
                  <c:v>92.375969999999995</c:v>
                </c:pt>
                <c:pt idx="287">
                  <c:v>92.374319999999997</c:v>
                </c:pt>
                <c:pt idx="288">
                  <c:v>92.318550000000002</c:v>
                </c:pt>
                <c:pt idx="289">
                  <c:v>92.291719999999998</c:v>
                </c:pt>
                <c:pt idx="290">
                  <c:v>92.289990000000003</c:v>
                </c:pt>
                <c:pt idx="291">
                  <c:v>92.251499999999993</c:v>
                </c:pt>
                <c:pt idx="292">
                  <c:v>92.211280000000002</c:v>
                </c:pt>
                <c:pt idx="293">
                  <c:v>92.195890000000006</c:v>
                </c:pt>
                <c:pt idx="294">
                  <c:v>92.144000000000005</c:v>
                </c:pt>
                <c:pt idx="295">
                  <c:v>92.121039999999994</c:v>
                </c:pt>
                <c:pt idx="296">
                  <c:v>92.092380000000006</c:v>
                </c:pt>
                <c:pt idx="297">
                  <c:v>92.06362</c:v>
                </c:pt>
                <c:pt idx="298">
                  <c:v>92.031149999999997</c:v>
                </c:pt>
                <c:pt idx="299">
                  <c:v>92.007829999999998</c:v>
                </c:pt>
                <c:pt idx="300">
                  <c:v>91.986750000000001</c:v>
                </c:pt>
                <c:pt idx="301">
                  <c:v>91.935069999999996</c:v>
                </c:pt>
                <c:pt idx="302">
                  <c:v>91.925529999999995</c:v>
                </c:pt>
                <c:pt idx="303">
                  <c:v>91.902479999999997</c:v>
                </c:pt>
                <c:pt idx="304">
                  <c:v>91.883279999999999</c:v>
                </c:pt>
                <c:pt idx="305">
                  <c:v>91.854609999999994</c:v>
                </c:pt>
                <c:pt idx="306">
                  <c:v>91.831460000000007</c:v>
                </c:pt>
                <c:pt idx="307">
                  <c:v>91.818129999999996</c:v>
                </c:pt>
                <c:pt idx="308">
                  <c:v>91.783699999999996</c:v>
                </c:pt>
                <c:pt idx="309">
                  <c:v>91.758709999999994</c:v>
                </c:pt>
                <c:pt idx="310">
                  <c:v>91.743409999999997</c:v>
                </c:pt>
                <c:pt idx="311">
                  <c:v>91.700980000000001</c:v>
                </c:pt>
                <c:pt idx="312">
                  <c:v>91.697289999999995</c:v>
                </c:pt>
                <c:pt idx="313">
                  <c:v>91.653289999999998</c:v>
                </c:pt>
                <c:pt idx="314">
                  <c:v>91.630120000000005</c:v>
                </c:pt>
                <c:pt idx="315">
                  <c:v>91.603309999999993</c:v>
                </c:pt>
                <c:pt idx="316">
                  <c:v>91.568700000000007</c:v>
                </c:pt>
                <c:pt idx="317">
                  <c:v>91.555490000000006</c:v>
                </c:pt>
                <c:pt idx="318">
                  <c:v>91.5304</c:v>
                </c:pt>
                <c:pt idx="319">
                  <c:v>91.512900000000002</c:v>
                </c:pt>
                <c:pt idx="320">
                  <c:v>91.474879999999999</c:v>
                </c:pt>
                <c:pt idx="321">
                  <c:v>91.426919999999996</c:v>
                </c:pt>
                <c:pt idx="322">
                  <c:v>91.413669999999996</c:v>
                </c:pt>
                <c:pt idx="323">
                  <c:v>91.390420000000006</c:v>
                </c:pt>
                <c:pt idx="324">
                  <c:v>91.378900000000002</c:v>
                </c:pt>
                <c:pt idx="325">
                  <c:v>91.348389999999995</c:v>
                </c:pt>
                <c:pt idx="326">
                  <c:v>91.317689999999999</c:v>
                </c:pt>
                <c:pt idx="327">
                  <c:v>91.294520000000006</c:v>
                </c:pt>
                <c:pt idx="328">
                  <c:v>91.271969999999996</c:v>
                </c:pt>
                <c:pt idx="329">
                  <c:v>91.247010000000003</c:v>
                </c:pt>
                <c:pt idx="330">
                  <c:v>91.216239999999999</c:v>
                </c:pt>
                <c:pt idx="331">
                  <c:v>91.196759999999998</c:v>
                </c:pt>
                <c:pt idx="332">
                  <c:v>91.148939999999996</c:v>
                </c:pt>
                <c:pt idx="333">
                  <c:v>91.152820000000006</c:v>
                </c:pt>
                <c:pt idx="334">
                  <c:v>91.110309999999998</c:v>
                </c:pt>
                <c:pt idx="335">
                  <c:v>91.085480000000004</c:v>
                </c:pt>
                <c:pt idx="336">
                  <c:v>91.080010000000001</c:v>
                </c:pt>
                <c:pt idx="337">
                  <c:v>91.047259999999994</c:v>
                </c:pt>
                <c:pt idx="338">
                  <c:v>91.030209999999997</c:v>
                </c:pt>
                <c:pt idx="339">
                  <c:v>91.012730000000005</c:v>
                </c:pt>
                <c:pt idx="340">
                  <c:v>90.97063</c:v>
                </c:pt>
                <c:pt idx="341">
                  <c:v>90.953609999999998</c:v>
                </c:pt>
                <c:pt idx="342">
                  <c:v>90.918809999999993</c:v>
                </c:pt>
                <c:pt idx="343">
                  <c:v>90.903279999999995</c:v>
                </c:pt>
                <c:pt idx="344">
                  <c:v>90.888319999999993</c:v>
                </c:pt>
                <c:pt idx="345">
                  <c:v>90.863169999999997</c:v>
                </c:pt>
                <c:pt idx="346">
                  <c:v>90.832459999999998</c:v>
                </c:pt>
                <c:pt idx="347">
                  <c:v>90.805499999999995</c:v>
                </c:pt>
                <c:pt idx="348">
                  <c:v>90.79983</c:v>
                </c:pt>
                <c:pt idx="349">
                  <c:v>90.786680000000004</c:v>
                </c:pt>
                <c:pt idx="350">
                  <c:v>90.753799999999998</c:v>
                </c:pt>
                <c:pt idx="351">
                  <c:v>90.713560000000001</c:v>
                </c:pt>
                <c:pt idx="352">
                  <c:v>90.713639999999998</c:v>
                </c:pt>
                <c:pt idx="353">
                  <c:v>90.651920000000004</c:v>
                </c:pt>
                <c:pt idx="354">
                  <c:v>90.658069999999995</c:v>
                </c:pt>
                <c:pt idx="355">
                  <c:v>90.60436</c:v>
                </c:pt>
                <c:pt idx="356">
                  <c:v>90.602459999999994</c:v>
                </c:pt>
                <c:pt idx="357">
                  <c:v>90.583299999999994</c:v>
                </c:pt>
                <c:pt idx="358">
                  <c:v>90.5565</c:v>
                </c:pt>
                <c:pt idx="359">
                  <c:v>90.531580000000005</c:v>
                </c:pt>
                <c:pt idx="360">
                  <c:v>90.543040000000005</c:v>
                </c:pt>
                <c:pt idx="361">
                  <c:v>90.498829999999998</c:v>
                </c:pt>
                <c:pt idx="362">
                  <c:v>90.473939999999999</c:v>
                </c:pt>
                <c:pt idx="363">
                  <c:v>90.454800000000006</c:v>
                </c:pt>
                <c:pt idx="364">
                  <c:v>90.429879999999997</c:v>
                </c:pt>
                <c:pt idx="365">
                  <c:v>90.41825</c:v>
                </c:pt>
                <c:pt idx="366">
                  <c:v>90.395420000000001</c:v>
                </c:pt>
                <c:pt idx="367">
                  <c:v>90.378119999999996</c:v>
                </c:pt>
                <c:pt idx="368">
                  <c:v>90.337919999999997</c:v>
                </c:pt>
                <c:pt idx="369">
                  <c:v>90.307109999999994</c:v>
                </c:pt>
                <c:pt idx="370">
                  <c:v>90.282259999999994</c:v>
                </c:pt>
                <c:pt idx="371">
                  <c:v>90.265039999999999</c:v>
                </c:pt>
                <c:pt idx="372">
                  <c:v>90.247709999999998</c:v>
                </c:pt>
                <c:pt idx="373">
                  <c:v>90.213380000000001</c:v>
                </c:pt>
                <c:pt idx="374">
                  <c:v>90.216949999999997</c:v>
                </c:pt>
                <c:pt idx="375">
                  <c:v>90.195909999999998</c:v>
                </c:pt>
                <c:pt idx="376">
                  <c:v>90.163160000000005</c:v>
                </c:pt>
                <c:pt idx="377">
                  <c:v>90.134739999999994</c:v>
                </c:pt>
                <c:pt idx="378">
                  <c:v>90.117440000000002</c:v>
                </c:pt>
                <c:pt idx="379">
                  <c:v>90.086690000000004</c:v>
                </c:pt>
                <c:pt idx="380">
                  <c:v>90.069370000000006</c:v>
                </c:pt>
                <c:pt idx="381">
                  <c:v>90.042500000000004</c:v>
                </c:pt>
                <c:pt idx="382">
                  <c:v>90.021690000000007</c:v>
                </c:pt>
                <c:pt idx="383">
                  <c:v>89.996510000000001</c:v>
                </c:pt>
                <c:pt idx="384">
                  <c:v>89.960130000000007</c:v>
                </c:pt>
                <c:pt idx="385">
                  <c:v>89.962130000000002</c:v>
                </c:pt>
                <c:pt idx="386">
                  <c:v>89.935119999999998</c:v>
                </c:pt>
                <c:pt idx="387">
                  <c:v>89.900639999999996</c:v>
                </c:pt>
                <c:pt idx="388">
                  <c:v>89.891099999999994</c:v>
                </c:pt>
                <c:pt idx="389">
                  <c:v>89.862229999999997</c:v>
                </c:pt>
                <c:pt idx="390">
                  <c:v>89.856459999999998</c:v>
                </c:pt>
                <c:pt idx="391">
                  <c:v>89.814310000000006</c:v>
                </c:pt>
                <c:pt idx="392">
                  <c:v>89.799009999999996</c:v>
                </c:pt>
                <c:pt idx="393">
                  <c:v>89.787629999999993</c:v>
                </c:pt>
                <c:pt idx="394">
                  <c:v>89.776049999999998</c:v>
                </c:pt>
                <c:pt idx="395">
                  <c:v>89.749099999999999</c:v>
                </c:pt>
                <c:pt idx="396">
                  <c:v>89.735680000000002</c:v>
                </c:pt>
                <c:pt idx="397">
                  <c:v>89.708839999999995</c:v>
                </c:pt>
                <c:pt idx="398">
                  <c:v>89.676240000000007</c:v>
                </c:pt>
                <c:pt idx="399">
                  <c:v>89.651489999999995</c:v>
                </c:pt>
                <c:pt idx="400">
                  <c:v>89.626390000000001</c:v>
                </c:pt>
                <c:pt idx="401">
                  <c:v>89.605429999999998</c:v>
                </c:pt>
                <c:pt idx="402">
                  <c:v>89.599590000000006</c:v>
                </c:pt>
                <c:pt idx="403">
                  <c:v>89.578500000000005</c:v>
                </c:pt>
                <c:pt idx="404">
                  <c:v>89.549629999999993</c:v>
                </c:pt>
                <c:pt idx="405">
                  <c:v>89.523009999999999</c:v>
                </c:pt>
                <c:pt idx="406">
                  <c:v>89.490020000000001</c:v>
                </c:pt>
                <c:pt idx="407">
                  <c:v>89.480890000000002</c:v>
                </c:pt>
                <c:pt idx="408">
                  <c:v>89.453819999999993</c:v>
                </c:pt>
                <c:pt idx="409">
                  <c:v>89.423180000000002</c:v>
                </c:pt>
                <c:pt idx="410">
                  <c:v>89.405860000000004</c:v>
                </c:pt>
                <c:pt idx="411">
                  <c:v>89.386750000000006</c:v>
                </c:pt>
                <c:pt idx="412">
                  <c:v>89.359960000000001</c:v>
                </c:pt>
                <c:pt idx="413">
                  <c:v>89.344679999999997</c:v>
                </c:pt>
                <c:pt idx="414">
                  <c:v>89.310119999999998</c:v>
                </c:pt>
                <c:pt idx="415">
                  <c:v>89.28922</c:v>
                </c:pt>
                <c:pt idx="416">
                  <c:v>89.277360000000002</c:v>
                </c:pt>
                <c:pt idx="417">
                  <c:v>89.254469999999998</c:v>
                </c:pt>
                <c:pt idx="418">
                  <c:v>89.227649999999997</c:v>
                </c:pt>
                <c:pt idx="419">
                  <c:v>89.210380000000001</c:v>
                </c:pt>
                <c:pt idx="420">
                  <c:v>89.202680000000001</c:v>
                </c:pt>
                <c:pt idx="421">
                  <c:v>89.17783</c:v>
                </c:pt>
                <c:pt idx="422">
                  <c:v>89.1584</c:v>
                </c:pt>
                <c:pt idx="423">
                  <c:v>89.123850000000004</c:v>
                </c:pt>
                <c:pt idx="424">
                  <c:v>89.101179999999999</c:v>
                </c:pt>
                <c:pt idx="425">
                  <c:v>89.083749999999995</c:v>
                </c:pt>
                <c:pt idx="426">
                  <c:v>89.068629999999999</c:v>
                </c:pt>
                <c:pt idx="427">
                  <c:v>89.045540000000003</c:v>
                </c:pt>
                <c:pt idx="428">
                  <c:v>89.028329999999997</c:v>
                </c:pt>
                <c:pt idx="429">
                  <c:v>88.995599999999996</c:v>
                </c:pt>
                <c:pt idx="430">
                  <c:v>88.97457</c:v>
                </c:pt>
                <c:pt idx="431">
                  <c:v>88.972530000000006</c:v>
                </c:pt>
                <c:pt idx="432">
                  <c:v>88.938239999999993</c:v>
                </c:pt>
                <c:pt idx="433">
                  <c:v>88.916970000000006</c:v>
                </c:pt>
                <c:pt idx="434">
                  <c:v>88.894080000000002</c:v>
                </c:pt>
                <c:pt idx="435">
                  <c:v>88.886319999999998</c:v>
                </c:pt>
                <c:pt idx="436">
                  <c:v>88.847890000000007</c:v>
                </c:pt>
                <c:pt idx="437">
                  <c:v>88.830539999999999</c:v>
                </c:pt>
                <c:pt idx="438">
                  <c:v>88.815380000000005</c:v>
                </c:pt>
                <c:pt idx="439">
                  <c:v>88.786469999999994</c:v>
                </c:pt>
                <c:pt idx="440">
                  <c:v>88.763540000000006</c:v>
                </c:pt>
                <c:pt idx="441">
                  <c:v>88.734809999999996</c:v>
                </c:pt>
                <c:pt idx="442">
                  <c:v>88.717680000000001</c:v>
                </c:pt>
                <c:pt idx="443">
                  <c:v>88.702190000000002</c:v>
                </c:pt>
                <c:pt idx="444">
                  <c:v>88.669529999999995</c:v>
                </c:pt>
                <c:pt idx="445">
                  <c:v>88.660070000000005</c:v>
                </c:pt>
                <c:pt idx="446">
                  <c:v>88.637</c:v>
                </c:pt>
                <c:pt idx="447">
                  <c:v>88.610249999999994</c:v>
                </c:pt>
                <c:pt idx="448">
                  <c:v>88.592920000000007</c:v>
                </c:pt>
                <c:pt idx="449">
                  <c:v>88.565969999999993</c:v>
                </c:pt>
                <c:pt idx="450">
                  <c:v>88.554559999999995</c:v>
                </c:pt>
                <c:pt idx="451">
                  <c:v>88.541160000000005</c:v>
                </c:pt>
                <c:pt idx="452">
                  <c:v>88.517979999999994</c:v>
                </c:pt>
                <c:pt idx="453">
                  <c:v>88.4953</c:v>
                </c:pt>
                <c:pt idx="454">
                  <c:v>88.479709999999997</c:v>
                </c:pt>
                <c:pt idx="455">
                  <c:v>88.422060000000002</c:v>
                </c:pt>
                <c:pt idx="456">
                  <c:v>88.418390000000002</c:v>
                </c:pt>
                <c:pt idx="457">
                  <c:v>88.391509999999997</c:v>
                </c:pt>
                <c:pt idx="458">
                  <c:v>88.378069999999994</c:v>
                </c:pt>
                <c:pt idx="459">
                  <c:v>88.347660000000005</c:v>
                </c:pt>
                <c:pt idx="460">
                  <c:v>88.334029999999998</c:v>
                </c:pt>
                <c:pt idx="461">
                  <c:v>88.309209999999993</c:v>
                </c:pt>
                <c:pt idx="462">
                  <c:v>88.282129999999995</c:v>
                </c:pt>
                <c:pt idx="463">
                  <c:v>88.269030000000001</c:v>
                </c:pt>
                <c:pt idx="464">
                  <c:v>88.251609999999999</c:v>
                </c:pt>
                <c:pt idx="465">
                  <c:v>88.230410000000006</c:v>
                </c:pt>
                <c:pt idx="466">
                  <c:v>88.217060000000004</c:v>
                </c:pt>
                <c:pt idx="467">
                  <c:v>88.186480000000003</c:v>
                </c:pt>
                <c:pt idx="468">
                  <c:v>88.155770000000004</c:v>
                </c:pt>
                <c:pt idx="469">
                  <c:v>88.140219999999999</c:v>
                </c:pt>
                <c:pt idx="470">
                  <c:v>88.111710000000002</c:v>
                </c:pt>
                <c:pt idx="471">
                  <c:v>88.088520000000003</c:v>
                </c:pt>
                <c:pt idx="472">
                  <c:v>88.065709999999996</c:v>
                </c:pt>
                <c:pt idx="473">
                  <c:v>88.052310000000006</c:v>
                </c:pt>
                <c:pt idx="474">
                  <c:v>88.040610000000001</c:v>
                </c:pt>
                <c:pt idx="475">
                  <c:v>88.021609999999995</c:v>
                </c:pt>
                <c:pt idx="476">
                  <c:v>87.979339999999993</c:v>
                </c:pt>
                <c:pt idx="477">
                  <c:v>87.963970000000003</c:v>
                </c:pt>
                <c:pt idx="478">
                  <c:v>87.946740000000005</c:v>
                </c:pt>
                <c:pt idx="479">
                  <c:v>87.944900000000004</c:v>
                </c:pt>
                <c:pt idx="480">
                  <c:v>87.912239999999997</c:v>
                </c:pt>
                <c:pt idx="481">
                  <c:v>87.889250000000004</c:v>
                </c:pt>
                <c:pt idx="482">
                  <c:v>87.862340000000003</c:v>
                </c:pt>
                <c:pt idx="483">
                  <c:v>87.837620000000001</c:v>
                </c:pt>
                <c:pt idx="484">
                  <c:v>87.810450000000003</c:v>
                </c:pt>
                <c:pt idx="485">
                  <c:v>87.795339999999996</c:v>
                </c:pt>
                <c:pt idx="486">
                  <c:v>87.785579999999996</c:v>
                </c:pt>
                <c:pt idx="487">
                  <c:v>87.762609999999995</c:v>
                </c:pt>
                <c:pt idx="488">
                  <c:v>87.741770000000002</c:v>
                </c:pt>
                <c:pt idx="489">
                  <c:v>87.709019999999995</c:v>
                </c:pt>
                <c:pt idx="490">
                  <c:v>87.701300000000003</c:v>
                </c:pt>
                <c:pt idx="491">
                  <c:v>87.669110000000003</c:v>
                </c:pt>
                <c:pt idx="492">
                  <c:v>87.637230000000002</c:v>
                </c:pt>
                <c:pt idx="493">
                  <c:v>87.64385</c:v>
                </c:pt>
                <c:pt idx="494">
                  <c:v>87.613060000000004</c:v>
                </c:pt>
                <c:pt idx="495">
                  <c:v>87.584379999999996</c:v>
                </c:pt>
                <c:pt idx="496">
                  <c:v>87.563419999999994</c:v>
                </c:pt>
                <c:pt idx="497">
                  <c:v>87.536429999999996</c:v>
                </c:pt>
                <c:pt idx="498">
                  <c:v>87.499920000000003</c:v>
                </c:pt>
                <c:pt idx="499">
                  <c:v>87.503889999999998</c:v>
                </c:pt>
                <c:pt idx="500">
                  <c:v>87.450090000000003</c:v>
                </c:pt>
                <c:pt idx="501">
                  <c:v>87.448059999999998</c:v>
                </c:pt>
                <c:pt idx="502">
                  <c:v>87.438659999999999</c:v>
                </c:pt>
                <c:pt idx="503">
                  <c:v>87.405950000000004</c:v>
                </c:pt>
                <c:pt idx="504">
                  <c:v>87.394530000000003</c:v>
                </c:pt>
                <c:pt idx="505">
                  <c:v>87.379260000000002</c:v>
                </c:pt>
                <c:pt idx="506">
                  <c:v>87.346630000000005</c:v>
                </c:pt>
                <c:pt idx="507">
                  <c:v>87.327529999999996</c:v>
                </c:pt>
                <c:pt idx="508">
                  <c:v>87.30453</c:v>
                </c:pt>
                <c:pt idx="509">
                  <c:v>87.283249999999995</c:v>
                </c:pt>
                <c:pt idx="510">
                  <c:v>87.264080000000007</c:v>
                </c:pt>
                <c:pt idx="511">
                  <c:v>87.241190000000003</c:v>
                </c:pt>
                <c:pt idx="512">
                  <c:v>87.208659999999995</c:v>
                </c:pt>
                <c:pt idx="513">
                  <c:v>87.193200000000004</c:v>
                </c:pt>
                <c:pt idx="514">
                  <c:v>87.174109999999999</c:v>
                </c:pt>
                <c:pt idx="515">
                  <c:v>87.145169999999993</c:v>
                </c:pt>
                <c:pt idx="516">
                  <c:v>87.116439999999997</c:v>
                </c:pt>
                <c:pt idx="517">
                  <c:v>87.110860000000002</c:v>
                </c:pt>
                <c:pt idx="518">
                  <c:v>87.104830000000007</c:v>
                </c:pt>
                <c:pt idx="519">
                  <c:v>87.074349999999995</c:v>
                </c:pt>
                <c:pt idx="520">
                  <c:v>87.083910000000003</c:v>
                </c:pt>
                <c:pt idx="521">
                  <c:v>87.055040000000005</c:v>
                </c:pt>
                <c:pt idx="522">
                  <c:v>87.015029999999996</c:v>
                </c:pt>
                <c:pt idx="523">
                  <c:v>87.010930000000002</c:v>
                </c:pt>
                <c:pt idx="524">
                  <c:v>86.972790000000003</c:v>
                </c:pt>
                <c:pt idx="525">
                  <c:v>86.942070000000001</c:v>
                </c:pt>
                <c:pt idx="526">
                  <c:v>86.949730000000002</c:v>
                </c:pt>
                <c:pt idx="527">
                  <c:v>86.922910000000002</c:v>
                </c:pt>
                <c:pt idx="528">
                  <c:v>86.897810000000007</c:v>
                </c:pt>
                <c:pt idx="529">
                  <c:v>86.876769999999993</c:v>
                </c:pt>
                <c:pt idx="530">
                  <c:v>86.851920000000007</c:v>
                </c:pt>
                <c:pt idx="531">
                  <c:v>86.844080000000005</c:v>
                </c:pt>
                <c:pt idx="532">
                  <c:v>86.834609999999998</c:v>
                </c:pt>
                <c:pt idx="533">
                  <c:v>86.802160000000001</c:v>
                </c:pt>
                <c:pt idx="534">
                  <c:v>86.786689999999993</c:v>
                </c:pt>
                <c:pt idx="535">
                  <c:v>86.769360000000006</c:v>
                </c:pt>
                <c:pt idx="536">
                  <c:v>86.734840000000005</c:v>
                </c:pt>
                <c:pt idx="537">
                  <c:v>86.729079999999996</c:v>
                </c:pt>
                <c:pt idx="538">
                  <c:v>86.692760000000007</c:v>
                </c:pt>
                <c:pt idx="539">
                  <c:v>86.671400000000006</c:v>
                </c:pt>
                <c:pt idx="540">
                  <c:v>86.652360000000002</c:v>
                </c:pt>
                <c:pt idx="541">
                  <c:v>86.633279999999999</c:v>
                </c:pt>
                <c:pt idx="542">
                  <c:v>86.604550000000003</c:v>
                </c:pt>
                <c:pt idx="543">
                  <c:v>86.598650000000006</c:v>
                </c:pt>
                <c:pt idx="544">
                  <c:v>86.581500000000005</c:v>
                </c:pt>
                <c:pt idx="545">
                  <c:v>86.556569999999994</c:v>
                </c:pt>
                <c:pt idx="546">
                  <c:v>86.547049999999999</c:v>
                </c:pt>
                <c:pt idx="547">
                  <c:v>86.499170000000007</c:v>
                </c:pt>
                <c:pt idx="548">
                  <c:v>86.493340000000003</c:v>
                </c:pt>
                <c:pt idx="549">
                  <c:v>86.470060000000004</c:v>
                </c:pt>
                <c:pt idx="550">
                  <c:v>86.45881</c:v>
                </c:pt>
                <c:pt idx="551">
                  <c:v>86.441469999999995</c:v>
                </c:pt>
                <c:pt idx="552">
                  <c:v>86.4148</c:v>
                </c:pt>
                <c:pt idx="553">
                  <c:v>86.414689999999993</c:v>
                </c:pt>
                <c:pt idx="554">
                  <c:v>86.374369999999999</c:v>
                </c:pt>
                <c:pt idx="555">
                  <c:v>86.364639999999994</c:v>
                </c:pt>
                <c:pt idx="556">
                  <c:v>86.332049999999995</c:v>
                </c:pt>
                <c:pt idx="557">
                  <c:v>86.316969999999998</c:v>
                </c:pt>
                <c:pt idx="558">
                  <c:v>86.274630000000002</c:v>
                </c:pt>
                <c:pt idx="559">
                  <c:v>86.276629999999997</c:v>
                </c:pt>
                <c:pt idx="560">
                  <c:v>86.24024</c:v>
                </c:pt>
                <c:pt idx="561">
                  <c:v>86.232299999999995</c:v>
                </c:pt>
                <c:pt idx="562">
                  <c:v>86.215260000000001</c:v>
                </c:pt>
                <c:pt idx="563">
                  <c:v>86.188469999999995</c:v>
                </c:pt>
                <c:pt idx="564">
                  <c:v>86.178629999999998</c:v>
                </c:pt>
                <c:pt idx="565">
                  <c:v>86.171009999999995</c:v>
                </c:pt>
                <c:pt idx="566">
                  <c:v>86.144149999999996</c:v>
                </c:pt>
                <c:pt idx="567">
                  <c:v>86.11354</c:v>
                </c:pt>
                <c:pt idx="568">
                  <c:v>86.092510000000004</c:v>
                </c:pt>
                <c:pt idx="569">
                  <c:v>86.102230000000006</c:v>
                </c:pt>
                <c:pt idx="570">
                  <c:v>86.08887</c:v>
                </c:pt>
                <c:pt idx="571">
                  <c:v>86.052369999999996</c:v>
                </c:pt>
                <c:pt idx="572">
                  <c:v>86.040840000000003</c:v>
                </c:pt>
                <c:pt idx="573">
                  <c:v>86.002420000000001</c:v>
                </c:pt>
                <c:pt idx="574">
                  <c:v>85.996570000000006</c:v>
                </c:pt>
                <c:pt idx="575">
                  <c:v>85.975620000000006</c:v>
                </c:pt>
                <c:pt idx="576">
                  <c:v>85.942920000000001</c:v>
                </c:pt>
                <c:pt idx="577">
                  <c:v>85.941090000000003</c:v>
                </c:pt>
                <c:pt idx="578">
                  <c:v>85.927779999999998</c:v>
                </c:pt>
                <c:pt idx="579">
                  <c:v>85.927719999999994</c:v>
                </c:pt>
                <c:pt idx="580">
                  <c:v>85.904589999999999</c:v>
                </c:pt>
                <c:pt idx="581">
                  <c:v>85.883439999999993</c:v>
                </c:pt>
                <c:pt idx="582">
                  <c:v>85.864400000000003</c:v>
                </c:pt>
                <c:pt idx="583">
                  <c:v>85.845230000000001</c:v>
                </c:pt>
                <c:pt idx="584">
                  <c:v>85.826120000000003</c:v>
                </c:pt>
                <c:pt idx="585">
                  <c:v>85.822249999999997</c:v>
                </c:pt>
                <c:pt idx="586">
                  <c:v>85.793350000000004</c:v>
                </c:pt>
                <c:pt idx="587">
                  <c:v>85.753190000000004</c:v>
                </c:pt>
                <c:pt idx="588">
                  <c:v>85.735870000000006</c:v>
                </c:pt>
                <c:pt idx="589">
                  <c:v>85.751220000000004</c:v>
                </c:pt>
                <c:pt idx="590">
                  <c:v>85.720529999999997</c:v>
                </c:pt>
                <c:pt idx="591">
                  <c:v>85.695729999999998</c:v>
                </c:pt>
                <c:pt idx="592">
                  <c:v>85.682220000000001</c:v>
                </c:pt>
                <c:pt idx="593">
                  <c:v>85.651740000000004</c:v>
                </c:pt>
                <c:pt idx="594">
                  <c:v>85.639920000000004</c:v>
                </c:pt>
                <c:pt idx="595">
                  <c:v>85.619029999999995</c:v>
                </c:pt>
                <c:pt idx="596">
                  <c:v>85.609369999999998</c:v>
                </c:pt>
                <c:pt idx="597">
                  <c:v>85.59393</c:v>
                </c:pt>
                <c:pt idx="598">
                  <c:v>85.571079999999995</c:v>
                </c:pt>
                <c:pt idx="599">
                  <c:v>85.548029999999997</c:v>
                </c:pt>
                <c:pt idx="600">
                  <c:v>85.532870000000003</c:v>
                </c:pt>
                <c:pt idx="601">
                  <c:v>85.507369999999995</c:v>
                </c:pt>
                <c:pt idx="602">
                  <c:v>85.498000000000005</c:v>
                </c:pt>
                <c:pt idx="603">
                  <c:v>85.473230000000001</c:v>
                </c:pt>
                <c:pt idx="604">
                  <c:v>85.463729999999998</c:v>
                </c:pt>
                <c:pt idx="605">
                  <c:v>85.427239999999998</c:v>
                </c:pt>
                <c:pt idx="606">
                  <c:v>85.432980000000001</c:v>
                </c:pt>
                <c:pt idx="607">
                  <c:v>85.412049999999994</c:v>
                </c:pt>
                <c:pt idx="608">
                  <c:v>85.39246</c:v>
                </c:pt>
                <c:pt idx="609">
                  <c:v>85.375470000000007</c:v>
                </c:pt>
                <c:pt idx="610">
                  <c:v>85.352490000000003</c:v>
                </c:pt>
                <c:pt idx="611">
                  <c:v>85.344740000000002</c:v>
                </c:pt>
                <c:pt idx="612">
                  <c:v>85.335070000000002</c:v>
                </c:pt>
                <c:pt idx="613">
                  <c:v>85.304469999999995</c:v>
                </c:pt>
                <c:pt idx="614">
                  <c:v>85.300719999999998</c:v>
                </c:pt>
                <c:pt idx="615">
                  <c:v>85.285319999999999</c:v>
                </c:pt>
                <c:pt idx="616">
                  <c:v>85.271829999999994</c:v>
                </c:pt>
                <c:pt idx="617">
                  <c:v>85.231620000000007</c:v>
                </c:pt>
                <c:pt idx="618">
                  <c:v>85.239140000000006</c:v>
                </c:pt>
                <c:pt idx="619">
                  <c:v>85.220129999999997</c:v>
                </c:pt>
                <c:pt idx="620">
                  <c:v>85.19323</c:v>
                </c:pt>
                <c:pt idx="621">
                  <c:v>85.18356</c:v>
                </c:pt>
                <c:pt idx="622">
                  <c:v>85.181669999999997</c:v>
                </c:pt>
                <c:pt idx="623">
                  <c:v>85.158969999999997</c:v>
                </c:pt>
                <c:pt idx="624">
                  <c:v>85.147180000000006</c:v>
                </c:pt>
                <c:pt idx="625">
                  <c:v>85.112520000000004</c:v>
                </c:pt>
                <c:pt idx="626">
                  <c:v>85.108800000000002</c:v>
                </c:pt>
                <c:pt idx="627">
                  <c:v>85.093450000000004</c:v>
                </c:pt>
                <c:pt idx="628">
                  <c:v>85.072580000000002</c:v>
                </c:pt>
                <c:pt idx="629">
                  <c:v>85.064719999999994</c:v>
                </c:pt>
                <c:pt idx="630">
                  <c:v>85.051479999999998</c:v>
                </c:pt>
                <c:pt idx="631">
                  <c:v>85.020690000000002</c:v>
                </c:pt>
                <c:pt idx="632">
                  <c:v>85.009150000000005</c:v>
                </c:pt>
                <c:pt idx="633">
                  <c:v>84.97466</c:v>
                </c:pt>
                <c:pt idx="634">
                  <c:v>84.968919999999997</c:v>
                </c:pt>
                <c:pt idx="635">
                  <c:v>84.957390000000004</c:v>
                </c:pt>
                <c:pt idx="636">
                  <c:v>84.934389999999993</c:v>
                </c:pt>
                <c:pt idx="637">
                  <c:v>84.907619999999994</c:v>
                </c:pt>
                <c:pt idx="638">
                  <c:v>84.901859999999999</c:v>
                </c:pt>
                <c:pt idx="639">
                  <c:v>84.894360000000006</c:v>
                </c:pt>
                <c:pt idx="640">
                  <c:v>84.884450000000001</c:v>
                </c:pt>
                <c:pt idx="641">
                  <c:v>84.857810000000001</c:v>
                </c:pt>
                <c:pt idx="642">
                  <c:v>84.842449999999999</c:v>
                </c:pt>
                <c:pt idx="643">
                  <c:v>84.823210000000003</c:v>
                </c:pt>
                <c:pt idx="644">
                  <c:v>84.823149999999998</c:v>
                </c:pt>
                <c:pt idx="645">
                  <c:v>84.805840000000003</c:v>
                </c:pt>
                <c:pt idx="646">
                  <c:v>84.792469999999994</c:v>
                </c:pt>
                <c:pt idx="647">
                  <c:v>84.778980000000004</c:v>
                </c:pt>
                <c:pt idx="648">
                  <c:v>84.765699999999995</c:v>
                </c:pt>
                <c:pt idx="649">
                  <c:v>84.744439999999997</c:v>
                </c:pt>
                <c:pt idx="650">
                  <c:v>84.729259999999996</c:v>
                </c:pt>
                <c:pt idx="651">
                  <c:v>84.702389999999994</c:v>
                </c:pt>
                <c:pt idx="652">
                  <c:v>84.668030000000002</c:v>
                </c:pt>
                <c:pt idx="653">
                  <c:v>84.654579999999996</c:v>
                </c:pt>
                <c:pt idx="654">
                  <c:v>84.662189999999995</c:v>
                </c:pt>
                <c:pt idx="655">
                  <c:v>84.635239999999996</c:v>
                </c:pt>
                <c:pt idx="656">
                  <c:v>84.614289999999997</c:v>
                </c:pt>
                <c:pt idx="657">
                  <c:v>84.600740000000002</c:v>
                </c:pt>
                <c:pt idx="658">
                  <c:v>84.585539999999995</c:v>
                </c:pt>
                <c:pt idx="659">
                  <c:v>84.573949999999996</c:v>
                </c:pt>
                <c:pt idx="660">
                  <c:v>84.558539999999994</c:v>
                </c:pt>
                <c:pt idx="661">
                  <c:v>84.545240000000007</c:v>
                </c:pt>
                <c:pt idx="662">
                  <c:v>84.527739999999994</c:v>
                </c:pt>
                <c:pt idx="663">
                  <c:v>84.506829999999994</c:v>
                </c:pt>
                <c:pt idx="664">
                  <c:v>84.493319999999997</c:v>
                </c:pt>
                <c:pt idx="665">
                  <c:v>84.483999999999995</c:v>
                </c:pt>
                <c:pt idx="666">
                  <c:v>84.476140000000001</c:v>
                </c:pt>
                <c:pt idx="667">
                  <c:v>84.456969999999998</c:v>
                </c:pt>
                <c:pt idx="668">
                  <c:v>84.428269999999998</c:v>
                </c:pt>
                <c:pt idx="669">
                  <c:v>84.414900000000003</c:v>
                </c:pt>
                <c:pt idx="670">
                  <c:v>84.403189999999995</c:v>
                </c:pt>
                <c:pt idx="671">
                  <c:v>84.386089999999996</c:v>
                </c:pt>
                <c:pt idx="672">
                  <c:v>84.35727</c:v>
                </c:pt>
                <c:pt idx="673">
                  <c:v>84.349530000000001</c:v>
                </c:pt>
                <c:pt idx="674">
                  <c:v>84.332229999999996</c:v>
                </c:pt>
                <c:pt idx="675">
                  <c:v>84.318929999999995</c:v>
                </c:pt>
                <c:pt idx="676">
                  <c:v>84.296099999999996</c:v>
                </c:pt>
                <c:pt idx="677">
                  <c:v>84.286339999999996</c:v>
                </c:pt>
                <c:pt idx="678">
                  <c:v>84.265079999999998</c:v>
                </c:pt>
                <c:pt idx="679">
                  <c:v>84.259249999999994</c:v>
                </c:pt>
                <c:pt idx="680">
                  <c:v>84.244060000000005</c:v>
                </c:pt>
                <c:pt idx="681">
                  <c:v>84.226820000000004</c:v>
                </c:pt>
                <c:pt idx="682">
                  <c:v>84.201920000000001</c:v>
                </c:pt>
                <c:pt idx="683">
                  <c:v>84.201970000000003</c:v>
                </c:pt>
                <c:pt idx="684">
                  <c:v>84.175039999999996</c:v>
                </c:pt>
                <c:pt idx="685">
                  <c:v>84.17313</c:v>
                </c:pt>
                <c:pt idx="686">
                  <c:v>84.146339999999995</c:v>
                </c:pt>
                <c:pt idx="687">
                  <c:v>84.117570000000001</c:v>
                </c:pt>
                <c:pt idx="688">
                  <c:v>84.102159999999998</c:v>
                </c:pt>
                <c:pt idx="689">
                  <c:v>84.098339999999993</c:v>
                </c:pt>
                <c:pt idx="690">
                  <c:v>84.082939999999994</c:v>
                </c:pt>
                <c:pt idx="691">
                  <c:v>84.050380000000004</c:v>
                </c:pt>
                <c:pt idx="692">
                  <c:v>84.038989999999998</c:v>
                </c:pt>
                <c:pt idx="693">
                  <c:v>84.038970000000006</c:v>
                </c:pt>
                <c:pt idx="694">
                  <c:v>84.010140000000007</c:v>
                </c:pt>
                <c:pt idx="695">
                  <c:v>83.99879</c:v>
                </c:pt>
                <c:pt idx="696">
                  <c:v>83.979489999999998</c:v>
                </c:pt>
                <c:pt idx="697">
                  <c:v>83.979609999999994</c:v>
                </c:pt>
                <c:pt idx="698">
                  <c:v>83.962180000000004</c:v>
                </c:pt>
                <c:pt idx="699">
                  <c:v>83.948769999999996</c:v>
                </c:pt>
                <c:pt idx="700">
                  <c:v>83.93929</c:v>
                </c:pt>
                <c:pt idx="701">
                  <c:v>83.918239999999997</c:v>
                </c:pt>
                <c:pt idx="702">
                  <c:v>83.900930000000002</c:v>
                </c:pt>
                <c:pt idx="703">
                  <c:v>83.875929999999997</c:v>
                </c:pt>
                <c:pt idx="704">
                  <c:v>83.862470000000002</c:v>
                </c:pt>
                <c:pt idx="705">
                  <c:v>83.870009999999994</c:v>
                </c:pt>
                <c:pt idx="706">
                  <c:v>83.853059999999999</c:v>
                </c:pt>
                <c:pt idx="707">
                  <c:v>83.82602</c:v>
                </c:pt>
                <c:pt idx="708">
                  <c:v>83.799289999999999</c:v>
                </c:pt>
                <c:pt idx="709">
                  <c:v>83.803079999999994</c:v>
                </c:pt>
                <c:pt idx="710">
                  <c:v>83.780159999999995</c:v>
                </c:pt>
                <c:pt idx="711">
                  <c:v>83.76661</c:v>
                </c:pt>
                <c:pt idx="712">
                  <c:v>83.757019999999997</c:v>
                </c:pt>
                <c:pt idx="713">
                  <c:v>83.741849999999999</c:v>
                </c:pt>
                <c:pt idx="714">
                  <c:v>83.737790000000004</c:v>
                </c:pt>
                <c:pt idx="715">
                  <c:v>83.718689999999995</c:v>
                </c:pt>
                <c:pt idx="716">
                  <c:v>83.689980000000006</c:v>
                </c:pt>
                <c:pt idx="717">
                  <c:v>83.699529999999996</c:v>
                </c:pt>
                <c:pt idx="718">
                  <c:v>83.672659999999993</c:v>
                </c:pt>
                <c:pt idx="719">
                  <c:v>83.655389999999997</c:v>
                </c:pt>
                <c:pt idx="720">
                  <c:v>83.632490000000004</c:v>
                </c:pt>
                <c:pt idx="721">
                  <c:v>83.622789999999995</c:v>
                </c:pt>
                <c:pt idx="722">
                  <c:v>83.603769999999997</c:v>
                </c:pt>
                <c:pt idx="723">
                  <c:v>83.576819999999998</c:v>
                </c:pt>
                <c:pt idx="724">
                  <c:v>83.572929999999999</c:v>
                </c:pt>
                <c:pt idx="725">
                  <c:v>83.557640000000006</c:v>
                </c:pt>
                <c:pt idx="726">
                  <c:v>83.548050000000003</c:v>
                </c:pt>
                <c:pt idx="727">
                  <c:v>83.528809999999993</c:v>
                </c:pt>
                <c:pt idx="728">
                  <c:v>83.521379999999994</c:v>
                </c:pt>
                <c:pt idx="729">
                  <c:v>83.50215</c:v>
                </c:pt>
                <c:pt idx="730">
                  <c:v>83.490589999999997</c:v>
                </c:pt>
                <c:pt idx="731">
                  <c:v>83.44838</c:v>
                </c:pt>
                <c:pt idx="732">
                  <c:v>83.446449999999999</c:v>
                </c:pt>
                <c:pt idx="733">
                  <c:v>83.435069999999996</c:v>
                </c:pt>
                <c:pt idx="734">
                  <c:v>83.429320000000004</c:v>
                </c:pt>
                <c:pt idx="735">
                  <c:v>83.413619999999995</c:v>
                </c:pt>
                <c:pt idx="736">
                  <c:v>83.386989999999997</c:v>
                </c:pt>
                <c:pt idx="737">
                  <c:v>83.388800000000003</c:v>
                </c:pt>
                <c:pt idx="738">
                  <c:v>83.364069999999998</c:v>
                </c:pt>
                <c:pt idx="739">
                  <c:v>83.343040000000002</c:v>
                </c:pt>
                <c:pt idx="740">
                  <c:v>83.323710000000005</c:v>
                </c:pt>
                <c:pt idx="741">
                  <c:v>83.314120000000003</c:v>
                </c:pt>
                <c:pt idx="742">
                  <c:v>83.300700000000006</c:v>
                </c:pt>
                <c:pt idx="743">
                  <c:v>83.283370000000005</c:v>
                </c:pt>
                <c:pt idx="744">
                  <c:v>83.270060000000001</c:v>
                </c:pt>
                <c:pt idx="745">
                  <c:v>83.247020000000006</c:v>
                </c:pt>
                <c:pt idx="746">
                  <c:v>83.231660000000005</c:v>
                </c:pt>
                <c:pt idx="747">
                  <c:v>83.220169999999996</c:v>
                </c:pt>
                <c:pt idx="748">
                  <c:v>83.189419999999998</c:v>
                </c:pt>
                <c:pt idx="749">
                  <c:v>83.15307</c:v>
                </c:pt>
                <c:pt idx="750">
                  <c:v>83.155050000000003</c:v>
                </c:pt>
                <c:pt idx="751">
                  <c:v>83.151250000000005</c:v>
                </c:pt>
                <c:pt idx="752">
                  <c:v>83.139719999999997</c:v>
                </c:pt>
                <c:pt idx="753">
                  <c:v>83.133870000000002</c:v>
                </c:pt>
                <c:pt idx="754">
                  <c:v>83.112620000000007</c:v>
                </c:pt>
                <c:pt idx="755">
                  <c:v>83.087940000000003</c:v>
                </c:pt>
                <c:pt idx="756">
                  <c:v>83.076279999999997</c:v>
                </c:pt>
                <c:pt idx="757">
                  <c:v>83.062839999999994</c:v>
                </c:pt>
                <c:pt idx="758">
                  <c:v>83.053529999999995</c:v>
                </c:pt>
                <c:pt idx="759">
                  <c:v>83.030370000000005</c:v>
                </c:pt>
                <c:pt idx="760">
                  <c:v>83.020830000000004</c:v>
                </c:pt>
                <c:pt idx="761">
                  <c:v>82.995810000000006</c:v>
                </c:pt>
                <c:pt idx="762">
                  <c:v>82.982519999999994</c:v>
                </c:pt>
                <c:pt idx="763">
                  <c:v>82.968919999999997</c:v>
                </c:pt>
                <c:pt idx="764">
                  <c:v>82.968980000000002</c:v>
                </c:pt>
                <c:pt idx="765">
                  <c:v>82.928690000000003</c:v>
                </c:pt>
                <c:pt idx="766">
                  <c:v>82.922939999999997</c:v>
                </c:pt>
                <c:pt idx="767">
                  <c:v>82.896050000000002</c:v>
                </c:pt>
                <c:pt idx="768">
                  <c:v>82.884559999999993</c:v>
                </c:pt>
                <c:pt idx="769">
                  <c:v>82.857799999999997</c:v>
                </c:pt>
                <c:pt idx="770">
                  <c:v>82.857770000000002</c:v>
                </c:pt>
                <c:pt idx="771">
                  <c:v>82.828959999999995</c:v>
                </c:pt>
                <c:pt idx="772">
                  <c:v>82.807879999999997</c:v>
                </c:pt>
                <c:pt idx="773">
                  <c:v>82.804190000000006</c:v>
                </c:pt>
                <c:pt idx="774">
                  <c:v>82.786829999999995</c:v>
                </c:pt>
                <c:pt idx="775">
                  <c:v>82.769620000000003</c:v>
                </c:pt>
                <c:pt idx="776">
                  <c:v>82.746769999999998</c:v>
                </c:pt>
                <c:pt idx="777">
                  <c:v>82.729309999999998</c:v>
                </c:pt>
                <c:pt idx="778">
                  <c:v>82.716030000000003</c:v>
                </c:pt>
                <c:pt idx="779">
                  <c:v>82.683210000000003</c:v>
                </c:pt>
                <c:pt idx="780">
                  <c:v>82.67944</c:v>
                </c:pt>
                <c:pt idx="781">
                  <c:v>82.675389999999993</c:v>
                </c:pt>
                <c:pt idx="782">
                  <c:v>82.644760000000005</c:v>
                </c:pt>
                <c:pt idx="783">
                  <c:v>82.625730000000004</c:v>
                </c:pt>
                <c:pt idx="784">
                  <c:v>82.622129999999999</c:v>
                </c:pt>
                <c:pt idx="785">
                  <c:v>82.606610000000003</c:v>
                </c:pt>
                <c:pt idx="786">
                  <c:v>82.596879999999999</c:v>
                </c:pt>
                <c:pt idx="787">
                  <c:v>82.587249999999997</c:v>
                </c:pt>
                <c:pt idx="788">
                  <c:v>82.570059999999998</c:v>
                </c:pt>
                <c:pt idx="789">
                  <c:v>82.54513</c:v>
                </c:pt>
                <c:pt idx="790">
                  <c:v>82.535700000000006</c:v>
                </c:pt>
                <c:pt idx="791">
                  <c:v>82.508740000000003</c:v>
                </c:pt>
                <c:pt idx="792">
                  <c:v>82.491510000000005</c:v>
                </c:pt>
                <c:pt idx="793">
                  <c:v>82.493530000000007</c:v>
                </c:pt>
                <c:pt idx="794">
                  <c:v>82.47627</c:v>
                </c:pt>
                <c:pt idx="795">
                  <c:v>82.462909999999994</c:v>
                </c:pt>
                <c:pt idx="796">
                  <c:v>82.447429999999997</c:v>
                </c:pt>
                <c:pt idx="797">
                  <c:v>82.422569999999993</c:v>
                </c:pt>
                <c:pt idx="798">
                  <c:v>82.414900000000003</c:v>
                </c:pt>
                <c:pt idx="799">
                  <c:v>82.405270000000002</c:v>
                </c:pt>
                <c:pt idx="800">
                  <c:v>82.376519999999999</c:v>
                </c:pt>
                <c:pt idx="801">
                  <c:v>82.380160000000004</c:v>
                </c:pt>
                <c:pt idx="802">
                  <c:v>82.341920000000002</c:v>
                </c:pt>
                <c:pt idx="803">
                  <c:v>82.326639999999998</c:v>
                </c:pt>
                <c:pt idx="804">
                  <c:v>82.307509999999994</c:v>
                </c:pt>
                <c:pt idx="805">
                  <c:v>82.3018</c:v>
                </c:pt>
                <c:pt idx="806">
                  <c:v>82.290239999999997</c:v>
                </c:pt>
                <c:pt idx="807">
                  <c:v>82.263440000000003</c:v>
                </c:pt>
                <c:pt idx="808">
                  <c:v>82.255880000000005</c:v>
                </c:pt>
                <c:pt idx="809">
                  <c:v>82.240309999999994</c:v>
                </c:pt>
                <c:pt idx="810">
                  <c:v>82.225049999999996</c:v>
                </c:pt>
                <c:pt idx="811">
                  <c:v>82.207970000000003</c:v>
                </c:pt>
                <c:pt idx="812">
                  <c:v>82.209689999999995</c:v>
                </c:pt>
                <c:pt idx="813">
                  <c:v>82.175129999999996</c:v>
                </c:pt>
                <c:pt idx="814">
                  <c:v>82.171409999999995</c:v>
                </c:pt>
                <c:pt idx="815">
                  <c:v>82.155889999999999</c:v>
                </c:pt>
                <c:pt idx="816">
                  <c:v>82.138739999999999</c:v>
                </c:pt>
                <c:pt idx="817">
                  <c:v>82.132900000000006</c:v>
                </c:pt>
                <c:pt idx="818">
                  <c:v>82.113950000000003</c:v>
                </c:pt>
                <c:pt idx="819">
                  <c:v>82.098519999999994</c:v>
                </c:pt>
                <c:pt idx="820">
                  <c:v>82.075379999999996</c:v>
                </c:pt>
                <c:pt idx="821">
                  <c:v>82.065929999999994</c:v>
                </c:pt>
                <c:pt idx="822">
                  <c:v>82.035210000000006</c:v>
                </c:pt>
                <c:pt idx="823">
                  <c:v>82.031289999999998</c:v>
                </c:pt>
                <c:pt idx="824">
                  <c:v>82.016019999999997</c:v>
                </c:pt>
                <c:pt idx="825">
                  <c:v>82.013959999999997</c:v>
                </c:pt>
                <c:pt idx="826">
                  <c:v>81.979500000000002</c:v>
                </c:pt>
                <c:pt idx="827">
                  <c:v>81.968029999999999</c:v>
                </c:pt>
                <c:pt idx="828">
                  <c:v>81.962320000000005</c:v>
                </c:pt>
                <c:pt idx="829">
                  <c:v>81.935500000000005</c:v>
                </c:pt>
                <c:pt idx="830">
                  <c:v>81.92953</c:v>
                </c:pt>
                <c:pt idx="831">
                  <c:v>81.918329999999997</c:v>
                </c:pt>
                <c:pt idx="832">
                  <c:v>81.918120000000002</c:v>
                </c:pt>
                <c:pt idx="833">
                  <c:v>81.893190000000004</c:v>
                </c:pt>
                <c:pt idx="834">
                  <c:v>81.879760000000005</c:v>
                </c:pt>
                <c:pt idx="835">
                  <c:v>81.862579999999994</c:v>
                </c:pt>
                <c:pt idx="836">
                  <c:v>81.856880000000004</c:v>
                </c:pt>
                <c:pt idx="837">
                  <c:v>81.837580000000003</c:v>
                </c:pt>
                <c:pt idx="838">
                  <c:v>81.818520000000007</c:v>
                </c:pt>
                <c:pt idx="839">
                  <c:v>81.810820000000007</c:v>
                </c:pt>
                <c:pt idx="840">
                  <c:v>81.789749999999998</c:v>
                </c:pt>
                <c:pt idx="841">
                  <c:v>81.774270000000001</c:v>
                </c:pt>
                <c:pt idx="842">
                  <c:v>81.75506</c:v>
                </c:pt>
                <c:pt idx="843">
                  <c:v>81.745829999999998</c:v>
                </c:pt>
                <c:pt idx="844">
                  <c:v>81.722560000000001</c:v>
                </c:pt>
                <c:pt idx="845">
                  <c:v>81.699529999999996</c:v>
                </c:pt>
                <c:pt idx="846">
                  <c:v>81.697710000000001</c:v>
                </c:pt>
                <c:pt idx="847">
                  <c:v>81.686160000000001</c:v>
                </c:pt>
                <c:pt idx="848">
                  <c:v>81.670829999999995</c:v>
                </c:pt>
                <c:pt idx="849">
                  <c:v>81.661259999999999</c:v>
                </c:pt>
                <c:pt idx="850">
                  <c:v>81.640159999999995</c:v>
                </c:pt>
                <c:pt idx="851">
                  <c:v>81.620900000000006</c:v>
                </c:pt>
                <c:pt idx="852">
                  <c:v>81.609440000000006</c:v>
                </c:pt>
                <c:pt idx="853">
                  <c:v>81.582599999999999</c:v>
                </c:pt>
                <c:pt idx="854">
                  <c:v>81.573139999999995</c:v>
                </c:pt>
                <c:pt idx="855">
                  <c:v>81.557839999999999</c:v>
                </c:pt>
                <c:pt idx="856">
                  <c:v>81.532769999999999</c:v>
                </c:pt>
                <c:pt idx="857">
                  <c:v>81.525090000000006</c:v>
                </c:pt>
                <c:pt idx="858">
                  <c:v>81.511719999999997</c:v>
                </c:pt>
                <c:pt idx="859">
                  <c:v>81.492519999999999</c:v>
                </c:pt>
                <c:pt idx="860">
                  <c:v>81.488690000000005</c:v>
                </c:pt>
                <c:pt idx="861">
                  <c:v>81.46575</c:v>
                </c:pt>
                <c:pt idx="862">
                  <c:v>81.448580000000007</c:v>
                </c:pt>
                <c:pt idx="863">
                  <c:v>81.435119999999998</c:v>
                </c:pt>
                <c:pt idx="864">
                  <c:v>81.419510000000002</c:v>
                </c:pt>
                <c:pt idx="865">
                  <c:v>81.400509999999997</c:v>
                </c:pt>
                <c:pt idx="866">
                  <c:v>81.390870000000007</c:v>
                </c:pt>
                <c:pt idx="867">
                  <c:v>81.379409999999993</c:v>
                </c:pt>
                <c:pt idx="868">
                  <c:v>81.37182</c:v>
                </c:pt>
                <c:pt idx="869">
                  <c:v>81.360240000000005</c:v>
                </c:pt>
                <c:pt idx="870">
                  <c:v>81.356430000000003</c:v>
                </c:pt>
                <c:pt idx="871">
                  <c:v>81.337180000000004</c:v>
                </c:pt>
                <c:pt idx="872">
                  <c:v>81.319919999999996</c:v>
                </c:pt>
                <c:pt idx="873">
                  <c:v>81.306610000000006</c:v>
                </c:pt>
                <c:pt idx="874">
                  <c:v>81.302670000000006</c:v>
                </c:pt>
                <c:pt idx="875">
                  <c:v>81.273799999999994</c:v>
                </c:pt>
                <c:pt idx="876">
                  <c:v>81.272090000000006</c:v>
                </c:pt>
                <c:pt idx="877">
                  <c:v>81.245069999999998</c:v>
                </c:pt>
                <c:pt idx="878">
                  <c:v>81.227890000000002</c:v>
                </c:pt>
                <c:pt idx="879">
                  <c:v>81.222110000000001</c:v>
                </c:pt>
                <c:pt idx="880">
                  <c:v>81.19726</c:v>
                </c:pt>
                <c:pt idx="881">
                  <c:v>81.180000000000007</c:v>
                </c:pt>
                <c:pt idx="882">
                  <c:v>81.168379999999999</c:v>
                </c:pt>
                <c:pt idx="883">
                  <c:v>81.157139999999998</c:v>
                </c:pt>
                <c:pt idx="884">
                  <c:v>81.13785</c:v>
                </c:pt>
                <c:pt idx="885">
                  <c:v>81.122479999999996</c:v>
                </c:pt>
                <c:pt idx="886">
                  <c:v>81.128339999999994</c:v>
                </c:pt>
                <c:pt idx="887">
                  <c:v>81.120540000000005</c:v>
                </c:pt>
                <c:pt idx="888">
                  <c:v>81.101349999999996</c:v>
                </c:pt>
                <c:pt idx="889">
                  <c:v>81.070970000000003</c:v>
                </c:pt>
                <c:pt idx="890">
                  <c:v>81.064920000000001</c:v>
                </c:pt>
                <c:pt idx="891">
                  <c:v>81.034199999999998</c:v>
                </c:pt>
                <c:pt idx="892">
                  <c:v>81.020939999999996</c:v>
                </c:pt>
                <c:pt idx="893">
                  <c:v>81.014840000000007</c:v>
                </c:pt>
                <c:pt idx="894">
                  <c:v>80.990139999999997</c:v>
                </c:pt>
                <c:pt idx="895">
                  <c:v>80.984380000000002</c:v>
                </c:pt>
                <c:pt idx="896">
                  <c:v>80.974930000000001</c:v>
                </c:pt>
                <c:pt idx="897">
                  <c:v>80.967190000000002</c:v>
                </c:pt>
                <c:pt idx="898">
                  <c:v>80.934370000000001</c:v>
                </c:pt>
                <c:pt idx="899">
                  <c:v>80.932630000000003</c:v>
                </c:pt>
                <c:pt idx="900">
                  <c:v>80.911519999999996</c:v>
                </c:pt>
                <c:pt idx="901">
                  <c:v>80.896090000000001</c:v>
                </c:pt>
                <c:pt idx="902">
                  <c:v>80.861770000000007</c:v>
                </c:pt>
                <c:pt idx="903">
                  <c:v>80.861710000000002</c:v>
                </c:pt>
                <c:pt idx="904">
                  <c:v>80.842770000000002</c:v>
                </c:pt>
                <c:pt idx="905">
                  <c:v>80.800250000000005</c:v>
                </c:pt>
                <c:pt idx="906">
                  <c:v>80.815529999999995</c:v>
                </c:pt>
                <c:pt idx="907">
                  <c:v>80.804159999999996</c:v>
                </c:pt>
                <c:pt idx="908">
                  <c:v>80.779309999999995</c:v>
                </c:pt>
                <c:pt idx="909">
                  <c:v>80.765789999999996</c:v>
                </c:pt>
                <c:pt idx="910">
                  <c:v>80.758200000000002</c:v>
                </c:pt>
                <c:pt idx="911">
                  <c:v>80.744770000000003</c:v>
                </c:pt>
                <c:pt idx="912">
                  <c:v>80.72748</c:v>
                </c:pt>
                <c:pt idx="913">
                  <c:v>80.708349999999996</c:v>
                </c:pt>
                <c:pt idx="914">
                  <c:v>80.700659999999999</c:v>
                </c:pt>
                <c:pt idx="915">
                  <c:v>80.685299999999998</c:v>
                </c:pt>
                <c:pt idx="916">
                  <c:v>80.66995</c:v>
                </c:pt>
                <c:pt idx="917">
                  <c:v>80.660430000000005</c:v>
                </c:pt>
                <c:pt idx="918">
                  <c:v>80.644990000000007</c:v>
                </c:pt>
                <c:pt idx="919">
                  <c:v>80.646829999999994</c:v>
                </c:pt>
                <c:pt idx="920">
                  <c:v>80.620220000000003</c:v>
                </c:pt>
                <c:pt idx="921">
                  <c:v>80.604749999999996</c:v>
                </c:pt>
                <c:pt idx="922">
                  <c:v>80.597049999999996</c:v>
                </c:pt>
                <c:pt idx="923">
                  <c:v>80.581919999999997</c:v>
                </c:pt>
                <c:pt idx="924">
                  <c:v>80.574060000000003</c:v>
                </c:pt>
                <c:pt idx="925">
                  <c:v>80.560580000000002</c:v>
                </c:pt>
                <c:pt idx="926">
                  <c:v>80.551060000000007</c:v>
                </c:pt>
                <c:pt idx="927">
                  <c:v>80.529920000000004</c:v>
                </c:pt>
                <c:pt idx="928">
                  <c:v>80.512789999999995</c:v>
                </c:pt>
                <c:pt idx="929">
                  <c:v>80.493489999999994</c:v>
                </c:pt>
                <c:pt idx="930">
                  <c:v>80.485919999999993</c:v>
                </c:pt>
                <c:pt idx="931">
                  <c:v>80.466809999999995</c:v>
                </c:pt>
                <c:pt idx="932">
                  <c:v>80.434150000000002</c:v>
                </c:pt>
                <c:pt idx="933">
                  <c:v>80.430260000000004</c:v>
                </c:pt>
                <c:pt idx="934">
                  <c:v>80.430350000000004</c:v>
                </c:pt>
                <c:pt idx="935">
                  <c:v>80.405410000000003</c:v>
                </c:pt>
                <c:pt idx="936">
                  <c:v>80.395859999999999</c:v>
                </c:pt>
                <c:pt idx="937">
                  <c:v>80.399789999999996</c:v>
                </c:pt>
                <c:pt idx="938">
                  <c:v>80.380439999999993</c:v>
                </c:pt>
                <c:pt idx="939">
                  <c:v>80.346029999999999</c:v>
                </c:pt>
                <c:pt idx="940">
                  <c:v>80.332620000000006</c:v>
                </c:pt>
                <c:pt idx="941">
                  <c:v>80.309380000000004</c:v>
                </c:pt>
                <c:pt idx="942">
                  <c:v>80.288380000000004</c:v>
                </c:pt>
                <c:pt idx="943">
                  <c:v>80.282480000000007</c:v>
                </c:pt>
                <c:pt idx="944">
                  <c:v>80.271029999999996</c:v>
                </c:pt>
                <c:pt idx="945">
                  <c:v>80.259450000000001</c:v>
                </c:pt>
                <c:pt idx="946">
                  <c:v>80.244029999999995</c:v>
                </c:pt>
                <c:pt idx="947">
                  <c:v>80.238699999999994</c:v>
                </c:pt>
                <c:pt idx="948">
                  <c:v>80.217349999999996</c:v>
                </c:pt>
                <c:pt idx="949">
                  <c:v>80.203940000000003</c:v>
                </c:pt>
                <c:pt idx="950">
                  <c:v>80.188680000000005</c:v>
                </c:pt>
                <c:pt idx="951">
                  <c:v>80.173320000000004</c:v>
                </c:pt>
                <c:pt idx="952">
                  <c:v>80.161810000000003</c:v>
                </c:pt>
                <c:pt idx="953">
                  <c:v>80.150310000000005</c:v>
                </c:pt>
                <c:pt idx="954">
                  <c:v>80.135009999999994</c:v>
                </c:pt>
                <c:pt idx="955">
                  <c:v>80.131240000000005</c:v>
                </c:pt>
                <c:pt idx="956">
                  <c:v>80.117800000000003</c:v>
                </c:pt>
                <c:pt idx="957">
                  <c:v>80.100570000000005</c:v>
                </c:pt>
                <c:pt idx="958">
                  <c:v>80.09487</c:v>
                </c:pt>
                <c:pt idx="959">
                  <c:v>80.083150000000003</c:v>
                </c:pt>
                <c:pt idx="960">
                  <c:v>80.058210000000003</c:v>
                </c:pt>
                <c:pt idx="961">
                  <c:v>80.043049999999994</c:v>
                </c:pt>
                <c:pt idx="962">
                  <c:v>80.021879999999996</c:v>
                </c:pt>
                <c:pt idx="963">
                  <c:v>80.012420000000006</c:v>
                </c:pt>
                <c:pt idx="964">
                  <c:v>79.993070000000003</c:v>
                </c:pt>
                <c:pt idx="965">
                  <c:v>80.000900000000001</c:v>
                </c:pt>
                <c:pt idx="966">
                  <c:v>79.985429999999994</c:v>
                </c:pt>
                <c:pt idx="967">
                  <c:v>79.979709999999997</c:v>
                </c:pt>
                <c:pt idx="968">
                  <c:v>79.960440000000006</c:v>
                </c:pt>
                <c:pt idx="969">
                  <c:v>79.954930000000004</c:v>
                </c:pt>
                <c:pt idx="970">
                  <c:v>79.931669999999997</c:v>
                </c:pt>
                <c:pt idx="971">
                  <c:v>79.920029999999997</c:v>
                </c:pt>
                <c:pt idx="972">
                  <c:v>79.893299999999996</c:v>
                </c:pt>
                <c:pt idx="973">
                  <c:v>79.87433</c:v>
                </c:pt>
                <c:pt idx="974">
                  <c:v>79.866590000000002</c:v>
                </c:pt>
                <c:pt idx="975">
                  <c:v>79.864660000000001</c:v>
                </c:pt>
                <c:pt idx="976">
                  <c:v>79.845370000000003</c:v>
                </c:pt>
                <c:pt idx="977">
                  <c:v>79.849320000000006</c:v>
                </c:pt>
                <c:pt idx="978">
                  <c:v>79.822460000000007</c:v>
                </c:pt>
                <c:pt idx="979">
                  <c:v>79.818539999999999</c:v>
                </c:pt>
                <c:pt idx="980">
                  <c:v>79.795659999999998</c:v>
                </c:pt>
                <c:pt idx="981">
                  <c:v>79.782219999999995</c:v>
                </c:pt>
                <c:pt idx="982">
                  <c:v>79.776409999999998</c:v>
                </c:pt>
                <c:pt idx="983">
                  <c:v>79.762919999999994</c:v>
                </c:pt>
                <c:pt idx="984">
                  <c:v>79.747829999999993</c:v>
                </c:pt>
                <c:pt idx="985">
                  <c:v>79.726619999999997</c:v>
                </c:pt>
                <c:pt idx="986">
                  <c:v>79.703440000000001</c:v>
                </c:pt>
                <c:pt idx="987">
                  <c:v>79.703469999999996</c:v>
                </c:pt>
                <c:pt idx="988">
                  <c:v>79.686300000000003</c:v>
                </c:pt>
                <c:pt idx="989">
                  <c:v>79.680629999999994</c:v>
                </c:pt>
                <c:pt idx="990">
                  <c:v>79.674790000000002</c:v>
                </c:pt>
                <c:pt idx="991">
                  <c:v>79.665099999999995</c:v>
                </c:pt>
                <c:pt idx="992">
                  <c:v>79.671009999999995</c:v>
                </c:pt>
                <c:pt idx="993">
                  <c:v>79.638369999999995</c:v>
                </c:pt>
                <c:pt idx="994">
                  <c:v>79.632689999999997</c:v>
                </c:pt>
                <c:pt idx="995">
                  <c:v>79.605699999999999</c:v>
                </c:pt>
                <c:pt idx="996">
                  <c:v>79.622950000000003</c:v>
                </c:pt>
                <c:pt idx="997">
                  <c:v>79.596369999999993</c:v>
                </c:pt>
                <c:pt idx="998">
                  <c:v>79.577010000000001</c:v>
                </c:pt>
                <c:pt idx="999">
                  <c:v>79.567480000000003</c:v>
                </c:pt>
                <c:pt idx="1000">
                  <c:v>79.5732</c:v>
                </c:pt>
                <c:pt idx="1001">
                  <c:v>79.550089999999997</c:v>
                </c:pt>
                <c:pt idx="1002">
                  <c:v>79.538650000000004</c:v>
                </c:pt>
                <c:pt idx="1003">
                  <c:v>79.52731</c:v>
                </c:pt>
                <c:pt idx="1004">
                  <c:v>79.536630000000002</c:v>
                </c:pt>
                <c:pt idx="1005">
                  <c:v>79.500389999999996</c:v>
                </c:pt>
                <c:pt idx="1006">
                  <c:v>79.483170000000001</c:v>
                </c:pt>
                <c:pt idx="1007">
                  <c:v>79.500510000000006</c:v>
                </c:pt>
                <c:pt idx="1008">
                  <c:v>79.463920000000002</c:v>
                </c:pt>
                <c:pt idx="1009">
                  <c:v>79.456280000000007</c:v>
                </c:pt>
                <c:pt idx="1010">
                  <c:v>79.435190000000006</c:v>
                </c:pt>
                <c:pt idx="1011">
                  <c:v>79.433189999999996</c:v>
                </c:pt>
                <c:pt idx="1012">
                  <c:v>79.417770000000004</c:v>
                </c:pt>
                <c:pt idx="1013">
                  <c:v>79.385220000000004</c:v>
                </c:pt>
                <c:pt idx="1014">
                  <c:v>79.383369999999999</c:v>
                </c:pt>
                <c:pt idx="1015">
                  <c:v>79.375699999999995</c:v>
                </c:pt>
                <c:pt idx="1016">
                  <c:v>79.348889999999997</c:v>
                </c:pt>
                <c:pt idx="1017">
                  <c:v>79.352500000000006</c:v>
                </c:pt>
                <c:pt idx="1018">
                  <c:v>79.339110000000005</c:v>
                </c:pt>
                <c:pt idx="1019">
                  <c:v>79.327680000000001</c:v>
                </c:pt>
                <c:pt idx="1020">
                  <c:v>79.319900000000004</c:v>
                </c:pt>
                <c:pt idx="1021">
                  <c:v>79.316069999999996</c:v>
                </c:pt>
                <c:pt idx="1022">
                  <c:v>79.291210000000007</c:v>
                </c:pt>
                <c:pt idx="1023">
                  <c:v>79.26643</c:v>
                </c:pt>
                <c:pt idx="1024">
                  <c:v>79.266310000000004</c:v>
                </c:pt>
                <c:pt idx="1025">
                  <c:v>79.245220000000003</c:v>
                </c:pt>
                <c:pt idx="1026">
                  <c:v>79.235780000000005</c:v>
                </c:pt>
                <c:pt idx="1027">
                  <c:v>79.222219999999993</c:v>
                </c:pt>
                <c:pt idx="1028">
                  <c:v>79.222329999999999</c:v>
                </c:pt>
                <c:pt idx="1029">
                  <c:v>79.210849999999994</c:v>
                </c:pt>
                <c:pt idx="1030">
                  <c:v>79.210729999999998</c:v>
                </c:pt>
                <c:pt idx="1031">
                  <c:v>79.178120000000007</c:v>
                </c:pt>
                <c:pt idx="1032">
                  <c:v>79.191779999999994</c:v>
                </c:pt>
                <c:pt idx="1033">
                  <c:v>79.176280000000006</c:v>
                </c:pt>
                <c:pt idx="1034">
                  <c:v>79.149429999999995</c:v>
                </c:pt>
                <c:pt idx="1035">
                  <c:v>79.153300000000002</c:v>
                </c:pt>
                <c:pt idx="1036">
                  <c:v>79.132159999999999</c:v>
                </c:pt>
                <c:pt idx="1037">
                  <c:v>79.133989999999997</c:v>
                </c:pt>
                <c:pt idx="1038">
                  <c:v>79.111019999999996</c:v>
                </c:pt>
                <c:pt idx="1039">
                  <c:v>79.10351</c:v>
                </c:pt>
                <c:pt idx="1040">
                  <c:v>79.08417</c:v>
                </c:pt>
                <c:pt idx="1041">
                  <c:v>79.097560000000001</c:v>
                </c:pt>
                <c:pt idx="1042">
                  <c:v>79.069040000000001</c:v>
                </c:pt>
                <c:pt idx="1043">
                  <c:v>79.059200000000004</c:v>
                </c:pt>
                <c:pt idx="1044">
                  <c:v>79.043819999999997</c:v>
                </c:pt>
                <c:pt idx="1045">
                  <c:v>79.047700000000006</c:v>
                </c:pt>
                <c:pt idx="1046">
                  <c:v>79.018979999999999</c:v>
                </c:pt>
                <c:pt idx="1047">
                  <c:v>79.013379999999998</c:v>
                </c:pt>
                <c:pt idx="1048">
                  <c:v>79.011219999999994</c:v>
                </c:pt>
                <c:pt idx="1049">
                  <c:v>78.986379999999997</c:v>
                </c:pt>
                <c:pt idx="1050">
                  <c:v>78.961560000000006</c:v>
                </c:pt>
                <c:pt idx="1051">
                  <c:v>78.963430000000002</c:v>
                </c:pt>
                <c:pt idx="1052">
                  <c:v>78.948089999999993</c:v>
                </c:pt>
                <c:pt idx="1053">
                  <c:v>78.930710000000005</c:v>
                </c:pt>
                <c:pt idx="1054">
                  <c:v>78.928849999999997</c:v>
                </c:pt>
                <c:pt idx="1055">
                  <c:v>78.919300000000007</c:v>
                </c:pt>
                <c:pt idx="1056">
                  <c:v>78.930859999999996</c:v>
                </c:pt>
                <c:pt idx="1057">
                  <c:v>78.909869999999998</c:v>
                </c:pt>
                <c:pt idx="1058">
                  <c:v>78.904020000000003</c:v>
                </c:pt>
                <c:pt idx="1059">
                  <c:v>78.880889999999994</c:v>
                </c:pt>
                <c:pt idx="1060">
                  <c:v>78.877139999999997</c:v>
                </c:pt>
                <c:pt idx="1061">
                  <c:v>78.858009999999993</c:v>
                </c:pt>
                <c:pt idx="1062">
                  <c:v>78.861990000000006</c:v>
                </c:pt>
                <c:pt idx="1063">
                  <c:v>78.84836</c:v>
                </c:pt>
                <c:pt idx="1064">
                  <c:v>78.831149999999994</c:v>
                </c:pt>
                <c:pt idx="1065">
                  <c:v>78.811989999999994</c:v>
                </c:pt>
                <c:pt idx="1066">
                  <c:v>78.802480000000003</c:v>
                </c:pt>
                <c:pt idx="1067">
                  <c:v>78.786810000000003</c:v>
                </c:pt>
                <c:pt idx="1068">
                  <c:v>78.758420000000001</c:v>
                </c:pt>
                <c:pt idx="1069">
                  <c:v>78.74494</c:v>
                </c:pt>
                <c:pt idx="1070">
                  <c:v>78.744929999999997</c:v>
                </c:pt>
                <c:pt idx="1071">
                  <c:v>78.742850000000004</c:v>
                </c:pt>
                <c:pt idx="1072">
                  <c:v>78.740880000000004</c:v>
                </c:pt>
                <c:pt idx="1073">
                  <c:v>78.729590000000002</c:v>
                </c:pt>
                <c:pt idx="1074">
                  <c:v>78.704639999999998</c:v>
                </c:pt>
                <c:pt idx="1075">
                  <c:v>78.698710000000005</c:v>
                </c:pt>
                <c:pt idx="1076">
                  <c:v>78.691310000000001</c:v>
                </c:pt>
                <c:pt idx="1077">
                  <c:v>78.687269999999998</c:v>
                </c:pt>
                <c:pt idx="1078">
                  <c:v>78.669970000000006</c:v>
                </c:pt>
                <c:pt idx="1079">
                  <c:v>78.652670000000001</c:v>
                </c:pt>
                <c:pt idx="1080">
                  <c:v>78.652919999999995</c:v>
                </c:pt>
                <c:pt idx="1081">
                  <c:v>78.623840000000001</c:v>
                </c:pt>
                <c:pt idx="1082">
                  <c:v>78.629739999999998</c:v>
                </c:pt>
                <c:pt idx="1083">
                  <c:v>78.604749999999996</c:v>
                </c:pt>
                <c:pt idx="1084">
                  <c:v>78.589420000000004</c:v>
                </c:pt>
                <c:pt idx="1085">
                  <c:v>78.58954</c:v>
                </c:pt>
                <c:pt idx="1086">
                  <c:v>78.587429999999998</c:v>
                </c:pt>
                <c:pt idx="1087">
                  <c:v>78.575990000000004</c:v>
                </c:pt>
                <c:pt idx="1088">
                  <c:v>78.558890000000005</c:v>
                </c:pt>
                <c:pt idx="1089">
                  <c:v>78.547349999999994</c:v>
                </c:pt>
                <c:pt idx="1090">
                  <c:v>78.547319999999999</c:v>
                </c:pt>
                <c:pt idx="1091">
                  <c:v>78.530270000000002</c:v>
                </c:pt>
                <c:pt idx="1092">
                  <c:v>78.50694</c:v>
                </c:pt>
                <c:pt idx="1093">
                  <c:v>78.51482</c:v>
                </c:pt>
                <c:pt idx="1094">
                  <c:v>78.493510000000001</c:v>
                </c:pt>
                <c:pt idx="1095">
                  <c:v>78.501239999999996</c:v>
                </c:pt>
                <c:pt idx="1096">
                  <c:v>78.489779999999996</c:v>
                </c:pt>
                <c:pt idx="1097">
                  <c:v>78.470619999999997</c:v>
                </c:pt>
                <c:pt idx="1098">
                  <c:v>78.453590000000005</c:v>
                </c:pt>
                <c:pt idx="1099">
                  <c:v>78.460980000000006</c:v>
                </c:pt>
                <c:pt idx="1100">
                  <c:v>78.430350000000004</c:v>
                </c:pt>
                <c:pt idx="1101">
                  <c:v>78.432100000000005</c:v>
                </c:pt>
                <c:pt idx="1102">
                  <c:v>78.405529999999999</c:v>
                </c:pt>
                <c:pt idx="1103">
                  <c:v>78.403559999999999</c:v>
                </c:pt>
                <c:pt idx="1104">
                  <c:v>78.390119999999996</c:v>
                </c:pt>
                <c:pt idx="1105">
                  <c:v>78.395769999999999</c:v>
                </c:pt>
                <c:pt idx="1106">
                  <c:v>78.390249999999995</c:v>
                </c:pt>
                <c:pt idx="1107">
                  <c:v>78.378489999999999</c:v>
                </c:pt>
                <c:pt idx="1108">
                  <c:v>78.365229999999997</c:v>
                </c:pt>
                <c:pt idx="1109">
                  <c:v>78.357399999999998</c:v>
                </c:pt>
                <c:pt idx="1110">
                  <c:v>78.351699999999994</c:v>
                </c:pt>
                <c:pt idx="1111">
                  <c:v>78.338099999999997</c:v>
                </c:pt>
                <c:pt idx="1112">
                  <c:v>78.322810000000004</c:v>
                </c:pt>
                <c:pt idx="1113">
                  <c:v>78.3095</c:v>
                </c:pt>
                <c:pt idx="1114">
                  <c:v>78.298119999999997</c:v>
                </c:pt>
                <c:pt idx="1115">
                  <c:v>78.282780000000002</c:v>
                </c:pt>
                <c:pt idx="1116">
                  <c:v>78.261499999999998</c:v>
                </c:pt>
                <c:pt idx="1117">
                  <c:v>78.269490000000005</c:v>
                </c:pt>
                <c:pt idx="1118">
                  <c:v>78.24812</c:v>
                </c:pt>
                <c:pt idx="1119">
                  <c:v>78.254159999999999</c:v>
                </c:pt>
                <c:pt idx="1120">
                  <c:v>78.228899999999996</c:v>
                </c:pt>
                <c:pt idx="1121">
                  <c:v>78.225099999999998</c:v>
                </c:pt>
                <c:pt idx="1122">
                  <c:v>78.196309999999997</c:v>
                </c:pt>
                <c:pt idx="1123">
                  <c:v>78.175229999999999</c:v>
                </c:pt>
                <c:pt idx="1124">
                  <c:v>78.194460000000007</c:v>
                </c:pt>
                <c:pt idx="1125">
                  <c:v>78.205789999999993</c:v>
                </c:pt>
                <c:pt idx="1126">
                  <c:v>78.169600000000003</c:v>
                </c:pt>
                <c:pt idx="1127">
                  <c:v>78.154250000000005</c:v>
                </c:pt>
                <c:pt idx="1128">
                  <c:v>78.159970000000001</c:v>
                </c:pt>
                <c:pt idx="1129">
                  <c:v>78.159970000000001</c:v>
                </c:pt>
                <c:pt idx="1130">
                  <c:v>78.158019999999993</c:v>
                </c:pt>
                <c:pt idx="1131">
                  <c:v>78.125360000000001</c:v>
                </c:pt>
                <c:pt idx="1132">
                  <c:v>78.138890000000004</c:v>
                </c:pt>
                <c:pt idx="1133">
                  <c:v>78.140910000000005</c:v>
                </c:pt>
                <c:pt idx="1134">
                  <c:v>78.090980000000002</c:v>
                </c:pt>
                <c:pt idx="1135">
                  <c:v>78.077600000000004</c:v>
                </c:pt>
                <c:pt idx="1136">
                  <c:v>78.102490000000003</c:v>
                </c:pt>
                <c:pt idx="1137">
                  <c:v>78.073710000000005</c:v>
                </c:pt>
                <c:pt idx="1138">
                  <c:v>78.066159999999996</c:v>
                </c:pt>
                <c:pt idx="1139">
                  <c:v>78.046800000000005</c:v>
                </c:pt>
                <c:pt idx="1140">
                  <c:v>78.044889999999995</c:v>
                </c:pt>
                <c:pt idx="1141">
                  <c:v>78.039270000000002</c:v>
                </c:pt>
                <c:pt idx="1142">
                  <c:v>78.018299999999996</c:v>
                </c:pt>
                <c:pt idx="1143">
                  <c:v>78.006590000000003</c:v>
                </c:pt>
                <c:pt idx="1144">
                  <c:v>78.014089999999996</c:v>
                </c:pt>
                <c:pt idx="1145">
                  <c:v>78.000770000000003</c:v>
                </c:pt>
                <c:pt idx="1146">
                  <c:v>77.983620000000002</c:v>
                </c:pt>
                <c:pt idx="1147">
                  <c:v>77.976079999999996</c:v>
                </c:pt>
                <c:pt idx="1148">
                  <c:v>77.968199999999996</c:v>
                </c:pt>
                <c:pt idx="1149">
                  <c:v>77.949169999999995</c:v>
                </c:pt>
                <c:pt idx="1150">
                  <c:v>77.920249999999996</c:v>
                </c:pt>
                <c:pt idx="1151">
                  <c:v>77.926069999999996</c:v>
                </c:pt>
                <c:pt idx="1152">
                  <c:v>77.901060000000001</c:v>
                </c:pt>
                <c:pt idx="1153">
                  <c:v>77.902950000000004</c:v>
                </c:pt>
                <c:pt idx="1154">
                  <c:v>77.905060000000006</c:v>
                </c:pt>
                <c:pt idx="1155">
                  <c:v>77.889690000000002</c:v>
                </c:pt>
                <c:pt idx="1156">
                  <c:v>77.876090000000005</c:v>
                </c:pt>
                <c:pt idx="1157">
                  <c:v>77.880080000000007</c:v>
                </c:pt>
                <c:pt idx="1158">
                  <c:v>77.853070000000002</c:v>
                </c:pt>
                <c:pt idx="1159">
                  <c:v>77.841759999999994</c:v>
                </c:pt>
                <c:pt idx="1160">
                  <c:v>77.839690000000004</c:v>
                </c:pt>
                <c:pt idx="1161">
                  <c:v>77.83587</c:v>
                </c:pt>
                <c:pt idx="1162">
                  <c:v>77.811049999999994</c:v>
                </c:pt>
                <c:pt idx="1163">
                  <c:v>77.811000000000007</c:v>
                </c:pt>
                <c:pt idx="1164">
                  <c:v>77.799570000000003</c:v>
                </c:pt>
                <c:pt idx="1165">
                  <c:v>77.788060000000002</c:v>
                </c:pt>
                <c:pt idx="1166">
                  <c:v>77.780389999999997</c:v>
                </c:pt>
                <c:pt idx="1167">
                  <c:v>77.768730000000005</c:v>
                </c:pt>
                <c:pt idx="1168">
                  <c:v>77.741919999999993</c:v>
                </c:pt>
                <c:pt idx="1169">
                  <c:v>77.74776</c:v>
                </c:pt>
                <c:pt idx="1170">
                  <c:v>77.736159999999998</c:v>
                </c:pt>
                <c:pt idx="1171">
                  <c:v>77.730440000000002</c:v>
                </c:pt>
                <c:pt idx="1172">
                  <c:v>77.719070000000002</c:v>
                </c:pt>
                <c:pt idx="1173">
                  <c:v>77.723020000000005</c:v>
                </c:pt>
                <c:pt idx="1174">
                  <c:v>77.707419999999999</c:v>
                </c:pt>
                <c:pt idx="1175">
                  <c:v>77.707490000000007</c:v>
                </c:pt>
                <c:pt idx="1176">
                  <c:v>77.686359999999993</c:v>
                </c:pt>
                <c:pt idx="1177">
                  <c:v>77.695930000000004</c:v>
                </c:pt>
                <c:pt idx="1178">
                  <c:v>77.670969999999997</c:v>
                </c:pt>
                <c:pt idx="1179">
                  <c:v>77.651719999999997</c:v>
                </c:pt>
                <c:pt idx="1180">
                  <c:v>77.653679999999994</c:v>
                </c:pt>
                <c:pt idx="1181">
                  <c:v>77.634450000000001</c:v>
                </c:pt>
                <c:pt idx="1182">
                  <c:v>77.630570000000006</c:v>
                </c:pt>
                <c:pt idx="1183">
                  <c:v>77.627129999999994</c:v>
                </c:pt>
                <c:pt idx="1184">
                  <c:v>77.623050000000006</c:v>
                </c:pt>
                <c:pt idx="1185">
                  <c:v>77.611720000000005</c:v>
                </c:pt>
                <c:pt idx="1186">
                  <c:v>77.596239999999995</c:v>
                </c:pt>
                <c:pt idx="1187">
                  <c:v>77.599869999999996</c:v>
                </c:pt>
                <c:pt idx="1188">
                  <c:v>77.569339999999997</c:v>
                </c:pt>
                <c:pt idx="1189">
                  <c:v>77.567390000000003</c:v>
                </c:pt>
                <c:pt idx="1190">
                  <c:v>77.567509999999999</c:v>
                </c:pt>
                <c:pt idx="1191">
                  <c:v>77.557950000000005</c:v>
                </c:pt>
                <c:pt idx="1192">
                  <c:v>77.533090000000001</c:v>
                </c:pt>
                <c:pt idx="1193">
                  <c:v>77.527100000000004</c:v>
                </c:pt>
                <c:pt idx="1194">
                  <c:v>77.529340000000005</c:v>
                </c:pt>
                <c:pt idx="1195">
                  <c:v>77.519589999999994</c:v>
                </c:pt>
                <c:pt idx="1196">
                  <c:v>77.506140000000002</c:v>
                </c:pt>
                <c:pt idx="1197">
                  <c:v>77.502309999999994</c:v>
                </c:pt>
                <c:pt idx="1198">
                  <c:v>77.489000000000004</c:v>
                </c:pt>
                <c:pt idx="1199">
                  <c:v>77.486980000000003</c:v>
                </c:pt>
                <c:pt idx="1200">
                  <c:v>77.477310000000003</c:v>
                </c:pt>
                <c:pt idx="1201">
                  <c:v>77.465789999999998</c:v>
                </c:pt>
                <c:pt idx="1202">
                  <c:v>77.458299999999994</c:v>
                </c:pt>
                <c:pt idx="1203">
                  <c:v>77.452370000000002</c:v>
                </c:pt>
                <c:pt idx="1204">
                  <c:v>77.431179999999998</c:v>
                </c:pt>
                <c:pt idx="1205">
                  <c:v>77.429479999999998</c:v>
                </c:pt>
                <c:pt idx="1206">
                  <c:v>77.417950000000005</c:v>
                </c:pt>
                <c:pt idx="1207">
                  <c:v>77.419899999999998</c:v>
                </c:pt>
                <c:pt idx="1208">
                  <c:v>77.406379999999999</c:v>
                </c:pt>
                <c:pt idx="1209">
                  <c:v>77.408280000000005</c:v>
                </c:pt>
                <c:pt idx="1210">
                  <c:v>77.395020000000002</c:v>
                </c:pt>
                <c:pt idx="1211">
                  <c:v>77.372159999999994</c:v>
                </c:pt>
                <c:pt idx="1212">
                  <c:v>77.379509999999996</c:v>
                </c:pt>
                <c:pt idx="1213">
                  <c:v>77.370009999999994</c:v>
                </c:pt>
                <c:pt idx="1214">
                  <c:v>77.362219999999994</c:v>
                </c:pt>
                <c:pt idx="1215">
                  <c:v>77.350899999999996</c:v>
                </c:pt>
                <c:pt idx="1216">
                  <c:v>77.337410000000006</c:v>
                </c:pt>
                <c:pt idx="1217">
                  <c:v>77.337400000000002</c:v>
                </c:pt>
                <c:pt idx="1218">
                  <c:v>77.316190000000006</c:v>
                </c:pt>
                <c:pt idx="1219">
                  <c:v>77.30677</c:v>
                </c:pt>
                <c:pt idx="1220">
                  <c:v>77.304879999999997</c:v>
                </c:pt>
                <c:pt idx="1221">
                  <c:v>77.283850000000001</c:v>
                </c:pt>
                <c:pt idx="1222">
                  <c:v>77.281720000000007</c:v>
                </c:pt>
                <c:pt idx="1223">
                  <c:v>77.279960000000003</c:v>
                </c:pt>
                <c:pt idx="1224">
                  <c:v>77.264679999999998</c:v>
                </c:pt>
                <c:pt idx="1225">
                  <c:v>77.276030000000006</c:v>
                </c:pt>
                <c:pt idx="1226">
                  <c:v>77.243610000000004</c:v>
                </c:pt>
                <c:pt idx="1227">
                  <c:v>77.258719999999997</c:v>
                </c:pt>
                <c:pt idx="1228">
                  <c:v>77.235699999999994</c:v>
                </c:pt>
                <c:pt idx="1229">
                  <c:v>77.222440000000006</c:v>
                </c:pt>
                <c:pt idx="1230">
                  <c:v>77.224100000000007</c:v>
                </c:pt>
                <c:pt idx="1231">
                  <c:v>77.201210000000003</c:v>
                </c:pt>
                <c:pt idx="1232">
                  <c:v>77.21105</c:v>
                </c:pt>
                <c:pt idx="1233">
                  <c:v>77.205029999999994</c:v>
                </c:pt>
                <c:pt idx="1234">
                  <c:v>77.187939999999998</c:v>
                </c:pt>
                <c:pt idx="1235">
                  <c:v>77.158959999999993</c:v>
                </c:pt>
                <c:pt idx="1236">
                  <c:v>77.187719999999999</c:v>
                </c:pt>
                <c:pt idx="1237">
                  <c:v>77.149540000000002</c:v>
                </c:pt>
                <c:pt idx="1238">
                  <c:v>77.141760000000005</c:v>
                </c:pt>
                <c:pt idx="1239">
                  <c:v>77.137990000000002</c:v>
                </c:pt>
                <c:pt idx="1240">
                  <c:v>77.126509999999996</c:v>
                </c:pt>
                <c:pt idx="1241">
                  <c:v>77.114980000000003</c:v>
                </c:pt>
                <c:pt idx="1242">
                  <c:v>77.095780000000005</c:v>
                </c:pt>
                <c:pt idx="1243">
                  <c:v>77.092140000000001</c:v>
                </c:pt>
                <c:pt idx="1244">
                  <c:v>77.074579999999997</c:v>
                </c:pt>
                <c:pt idx="1245">
                  <c:v>77.074730000000002</c:v>
                </c:pt>
                <c:pt idx="1246">
                  <c:v>77.065119999999993</c:v>
                </c:pt>
                <c:pt idx="1247">
                  <c:v>77.070679999999996</c:v>
                </c:pt>
                <c:pt idx="1248">
                  <c:v>77.052049999999994</c:v>
                </c:pt>
                <c:pt idx="1249">
                  <c:v>77.063100000000006</c:v>
                </c:pt>
                <c:pt idx="1250">
                  <c:v>77.036479999999997</c:v>
                </c:pt>
                <c:pt idx="1251">
                  <c:v>77.026539999999997</c:v>
                </c:pt>
                <c:pt idx="1252">
                  <c:v>77.021060000000006</c:v>
                </c:pt>
                <c:pt idx="1253">
                  <c:v>77.009469999999993</c:v>
                </c:pt>
                <c:pt idx="1254">
                  <c:v>76.992270000000005</c:v>
                </c:pt>
                <c:pt idx="1255">
                  <c:v>76.997950000000003</c:v>
                </c:pt>
                <c:pt idx="1256">
                  <c:v>76.988630000000001</c:v>
                </c:pt>
                <c:pt idx="1257">
                  <c:v>76.984660000000005</c:v>
                </c:pt>
                <c:pt idx="1258">
                  <c:v>76.967479999999995</c:v>
                </c:pt>
                <c:pt idx="1259">
                  <c:v>76.948160000000001</c:v>
                </c:pt>
                <c:pt idx="1260">
                  <c:v>76.955730000000003</c:v>
                </c:pt>
                <c:pt idx="1261">
                  <c:v>76.938370000000006</c:v>
                </c:pt>
                <c:pt idx="1262">
                  <c:v>76.925079999999994</c:v>
                </c:pt>
                <c:pt idx="1263">
                  <c:v>76.931049999999999</c:v>
                </c:pt>
                <c:pt idx="1264">
                  <c:v>76.930869999999999</c:v>
                </c:pt>
                <c:pt idx="1265">
                  <c:v>76.928880000000007</c:v>
                </c:pt>
                <c:pt idx="1266">
                  <c:v>76.93074</c:v>
                </c:pt>
                <c:pt idx="1267">
                  <c:v>76.904160000000005</c:v>
                </c:pt>
                <c:pt idx="1268">
                  <c:v>76.892589999999998</c:v>
                </c:pt>
                <c:pt idx="1269">
                  <c:v>76.89058</c:v>
                </c:pt>
                <c:pt idx="1270">
                  <c:v>76.886880000000005</c:v>
                </c:pt>
                <c:pt idx="1271">
                  <c:v>76.869579999999999</c:v>
                </c:pt>
                <c:pt idx="1272">
                  <c:v>76.873459999999994</c:v>
                </c:pt>
                <c:pt idx="1273">
                  <c:v>76.869579999999999</c:v>
                </c:pt>
                <c:pt idx="1274">
                  <c:v>76.854050000000001</c:v>
                </c:pt>
                <c:pt idx="1275">
                  <c:v>76.834940000000003</c:v>
                </c:pt>
                <c:pt idx="1276">
                  <c:v>76.8446</c:v>
                </c:pt>
                <c:pt idx="1277">
                  <c:v>76.825469999999996</c:v>
                </c:pt>
                <c:pt idx="1278">
                  <c:v>76.812129999999996</c:v>
                </c:pt>
                <c:pt idx="1279">
                  <c:v>76.814040000000006</c:v>
                </c:pt>
                <c:pt idx="1280">
                  <c:v>76.813969999999998</c:v>
                </c:pt>
                <c:pt idx="1281">
                  <c:v>76.787149999999997</c:v>
                </c:pt>
                <c:pt idx="1282">
                  <c:v>76.788970000000006</c:v>
                </c:pt>
                <c:pt idx="1283">
                  <c:v>76.775549999999996</c:v>
                </c:pt>
                <c:pt idx="1284">
                  <c:v>76.783230000000003</c:v>
                </c:pt>
                <c:pt idx="1285">
                  <c:v>76.769729999999996</c:v>
                </c:pt>
                <c:pt idx="1286">
                  <c:v>76.773600000000002</c:v>
                </c:pt>
                <c:pt idx="1287">
                  <c:v>76.752430000000004</c:v>
                </c:pt>
                <c:pt idx="1288">
                  <c:v>76.733440000000002</c:v>
                </c:pt>
                <c:pt idx="1289">
                  <c:v>76.739090000000004</c:v>
                </c:pt>
                <c:pt idx="1290">
                  <c:v>76.731250000000003</c:v>
                </c:pt>
                <c:pt idx="1291">
                  <c:v>76.725629999999995</c:v>
                </c:pt>
                <c:pt idx="1292">
                  <c:v>76.704599999999999</c:v>
                </c:pt>
                <c:pt idx="1293">
                  <c:v>76.716089999999994</c:v>
                </c:pt>
                <c:pt idx="1294">
                  <c:v>76.69511</c:v>
                </c:pt>
                <c:pt idx="1295">
                  <c:v>76.685450000000003</c:v>
                </c:pt>
                <c:pt idx="1296">
                  <c:v>76.694980000000001</c:v>
                </c:pt>
                <c:pt idx="1297">
                  <c:v>76.697010000000006</c:v>
                </c:pt>
                <c:pt idx="1298">
                  <c:v>76.675659999999993</c:v>
                </c:pt>
                <c:pt idx="1299">
                  <c:v>76.666259999999994</c:v>
                </c:pt>
                <c:pt idx="1300">
                  <c:v>76.683509999999998</c:v>
                </c:pt>
                <c:pt idx="1301">
                  <c:v>76.67577</c:v>
                </c:pt>
                <c:pt idx="1302">
                  <c:v>76.67962</c:v>
                </c:pt>
                <c:pt idx="1303">
                  <c:v>76.654820000000001</c:v>
                </c:pt>
                <c:pt idx="1304">
                  <c:v>76.63194</c:v>
                </c:pt>
                <c:pt idx="1305">
                  <c:v>76.626109999999997</c:v>
                </c:pt>
                <c:pt idx="1306">
                  <c:v>76.643230000000003</c:v>
                </c:pt>
                <c:pt idx="1307">
                  <c:v>76.616609999999994</c:v>
                </c:pt>
                <c:pt idx="1308">
                  <c:v>76.622190000000003</c:v>
                </c:pt>
                <c:pt idx="1309">
                  <c:v>76.627949999999998</c:v>
                </c:pt>
                <c:pt idx="1310">
                  <c:v>76.610680000000002</c:v>
                </c:pt>
                <c:pt idx="1311">
                  <c:v>76.610609999999994</c:v>
                </c:pt>
                <c:pt idx="1312">
                  <c:v>76.602850000000004</c:v>
                </c:pt>
                <c:pt idx="1313">
                  <c:v>76.593170000000001</c:v>
                </c:pt>
                <c:pt idx="1314">
                  <c:v>76.58587</c:v>
                </c:pt>
                <c:pt idx="1315">
                  <c:v>76.570490000000007</c:v>
                </c:pt>
                <c:pt idx="1316">
                  <c:v>76.55874</c:v>
                </c:pt>
                <c:pt idx="1317">
                  <c:v>76.553299999999993</c:v>
                </c:pt>
                <c:pt idx="1318">
                  <c:v>76.566400000000002</c:v>
                </c:pt>
                <c:pt idx="1319">
                  <c:v>76.535910000000001</c:v>
                </c:pt>
                <c:pt idx="1320">
                  <c:v>76.537760000000006</c:v>
                </c:pt>
                <c:pt idx="1321">
                  <c:v>76.545500000000004</c:v>
                </c:pt>
                <c:pt idx="1322">
                  <c:v>76.532020000000003</c:v>
                </c:pt>
                <c:pt idx="1323">
                  <c:v>76.518839999999997</c:v>
                </c:pt>
                <c:pt idx="1324">
                  <c:v>76.518550000000005</c:v>
                </c:pt>
                <c:pt idx="1325">
                  <c:v>76.50703</c:v>
                </c:pt>
                <c:pt idx="1326">
                  <c:v>76.509029999999996</c:v>
                </c:pt>
                <c:pt idx="1327">
                  <c:v>76.499600000000001</c:v>
                </c:pt>
                <c:pt idx="1328">
                  <c:v>76.486050000000006</c:v>
                </c:pt>
                <c:pt idx="1329">
                  <c:v>76.490009999999998</c:v>
                </c:pt>
                <c:pt idx="1330">
                  <c:v>76.459149999999994</c:v>
                </c:pt>
                <c:pt idx="1331">
                  <c:v>76.487909999999999</c:v>
                </c:pt>
                <c:pt idx="1332">
                  <c:v>76.445750000000004</c:v>
                </c:pt>
                <c:pt idx="1333">
                  <c:v>76.449640000000002</c:v>
                </c:pt>
                <c:pt idx="1334">
                  <c:v>76.447919999999996</c:v>
                </c:pt>
                <c:pt idx="1335">
                  <c:v>76.417019999999994</c:v>
                </c:pt>
                <c:pt idx="1336">
                  <c:v>76.422569999999993</c:v>
                </c:pt>
                <c:pt idx="1337">
                  <c:v>76.430520000000001</c:v>
                </c:pt>
                <c:pt idx="1338">
                  <c:v>76.407449999999997</c:v>
                </c:pt>
                <c:pt idx="1339">
                  <c:v>76.43047</c:v>
                </c:pt>
                <c:pt idx="1340">
                  <c:v>76.426599999999993</c:v>
                </c:pt>
                <c:pt idx="1341">
                  <c:v>76.409360000000007</c:v>
                </c:pt>
                <c:pt idx="1342">
                  <c:v>76.399609999999996</c:v>
                </c:pt>
                <c:pt idx="1343">
                  <c:v>76.411370000000005</c:v>
                </c:pt>
                <c:pt idx="1344">
                  <c:v>76.382559999999998</c:v>
                </c:pt>
                <c:pt idx="1345">
                  <c:v>76.384450000000001</c:v>
                </c:pt>
                <c:pt idx="1346">
                  <c:v>76.376760000000004</c:v>
                </c:pt>
                <c:pt idx="1347">
                  <c:v>76.365319999999997</c:v>
                </c:pt>
                <c:pt idx="1348">
                  <c:v>76.361350000000002</c:v>
                </c:pt>
                <c:pt idx="1349">
                  <c:v>76.35942</c:v>
                </c:pt>
                <c:pt idx="1350">
                  <c:v>76.330680000000001</c:v>
                </c:pt>
                <c:pt idx="1351">
                  <c:v>76.351900000000001</c:v>
                </c:pt>
                <c:pt idx="1352">
                  <c:v>76.326759999999993</c:v>
                </c:pt>
                <c:pt idx="1353">
                  <c:v>76.323030000000003</c:v>
                </c:pt>
                <c:pt idx="1354">
                  <c:v>76.326819999999998</c:v>
                </c:pt>
                <c:pt idx="1355">
                  <c:v>76.319239999999994</c:v>
                </c:pt>
                <c:pt idx="1356">
                  <c:v>76.319220000000001</c:v>
                </c:pt>
                <c:pt idx="1357">
                  <c:v>76.303870000000003</c:v>
                </c:pt>
                <c:pt idx="1358">
                  <c:v>76.303970000000007</c:v>
                </c:pt>
                <c:pt idx="1359">
                  <c:v>76.286730000000006</c:v>
                </c:pt>
                <c:pt idx="1360">
                  <c:v>76.307630000000003</c:v>
                </c:pt>
                <c:pt idx="1361">
                  <c:v>76.284800000000004</c:v>
                </c:pt>
                <c:pt idx="1362">
                  <c:v>76.275009999999995</c:v>
                </c:pt>
                <c:pt idx="1363">
                  <c:v>76.286569999999998</c:v>
                </c:pt>
                <c:pt idx="1364">
                  <c:v>76.273060000000001</c:v>
                </c:pt>
                <c:pt idx="1365">
                  <c:v>76.261510000000001</c:v>
                </c:pt>
                <c:pt idx="1366">
                  <c:v>76.250259999999997</c:v>
                </c:pt>
                <c:pt idx="1367">
                  <c:v>76.221729999999994</c:v>
                </c:pt>
                <c:pt idx="1368">
                  <c:v>76.248329999999996</c:v>
                </c:pt>
                <c:pt idx="1369">
                  <c:v>76.219480000000004</c:v>
                </c:pt>
                <c:pt idx="1370">
                  <c:v>76.22148</c:v>
                </c:pt>
                <c:pt idx="1371">
                  <c:v>76.200400000000002</c:v>
                </c:pt>
                <c:pt idx="1372">
                  <c:v>76.202259999999995</c:v>
                </c:pt>
                <c:pt idx="1373">
                  <c:v>76.190659999999994</c:v>
                </c:pt>
                <c:pt idx="1374">
                  <c:v>76.194509999999994</c:v>
                </c:pt>
                <c:pt idx="1375">
                  <c:v>76.171729999999997</c:v>
                </c:pt>
                <c:pt idx="1376">
                  <c:v>76.177300000000002</c:v>
                </c:pt>
                <c:pt idx="1377">
                  <c:v>76.152559999999994</c:v>
                </c:pt>
                <c:pt idx="1378">
                  <c:v>76.160079999999994</c:v>
                </c:pt>
                <c:pt idx="1379">
                  <c:v>76.152460000000005</c:v>
                </c:pt>
                <c:pt idx="1380">
                  <c:v>76.144620000000003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BB-7A43-BB45-EFB51AF5E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1507312"/>
        <c:axId val="1081509024"/>
      </c:scatterChart>
      <c:valAx>
        <c:axId val="108150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081509024"/>
        <c:crosses val="autoZero"/>
        <c:crossBetween val="midCat"/>
      </c:valAx>
      <c:valAx>
        <c:axId val="108150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081507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temp / time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'250C (Sif)'!$B$32:$B$1411</c:f>
              <c:numCache>
                <c:formatCode>0.00000</c:formatCode>
                <c:ptCount val="138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  <c:pt idx="52">
                  <c:v>26.5</c:v>
                </c:pt>
                <c:pt idx="53">
                  <c:v>27</c:v>
                </c:pt>
                <c:pt idx="54">
                  <c:v>27.5</c:v>
                </c:pt>
                <c:pt idx="55">
                  <c:v>28</c:v>
                </c:pt>
                <c:pt idx="56">
                  <c:v>28.5</c:v>
                </c:pt>
                <c:pt idx="57">
                  <c:v>29</c:v>
                </c:pt>
                <c:pt idx="58">
                  <c:v>29.5</c:v>
                </c:pt>
                <c:pt idx="59">
                  <c:v>30</c:v>
                </c:pt>
                <c:pt idx="60">
                  <c:v>30.5</c:v>
                </c:pt>
                <c:pt idx="61">
                  <c:v>31</c:v>
                </c:pt>
                <c:pt idx="62">
                  <c:v>31.5</c:v>
                </c:pt>
                <c:pt idx="63">
                  <c:v>32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  <c:pt idx="78">
                  <c:v>39.5</c:v>
                </c:pt>
                <c:pt idx="79">
                  <c:v>40</c:v>
                </c:pt>
                <c:pt idx="80">
                  <c:v>40.5</c:v>
                </c:pt>
                <c:pt idx="81">
                  <c:v>41</c:v>
                </c:pt>
                <c:pt idx="82">
                  <c:v>41.5</c:v>
                </c:pt>
                <c:pt idx="83">
                  <c:v>42</c:v>
                </c:pt>
                <c:pt idx="84">
                  <c:v>42.5</c:v>
                </c:pt>
                <c:pt idx="85">
                  <c:v>43</c:v>
                </c:pt>
                <c:pt idx="86">
                  <c:v>43.5</c:v>
                </c:pt>
                <c:pt idx="87">
                  <c:v>44</c:v>
                </c:pt>
                <c:pt idx="88">
                  <c:v>44.5</c:v>
                </c:pt>
                <c:pt idx="89">
                  <c:v>45</c:v>
                </c:pt>
                <c:pt idx="90">
                  <c:v>45.5</c:v>
                </c:pt>
                <c:pt idx="91">
                  <c:v>46</c:v>
                </c:pt>
                <c:pt idx="92">
                  <c:v>46.5</c:v>
                </c:pt>
                <c:pt idx="93">
                  <c:v>47</c:v>
                </c:pt>
                <c:pt idx="94">
                  <c:v>47.5</c:v>
                </c:pt>
                <c:pt idx="95">
                  <c:v>48</c:v>
                </c:pt>
                <c:pt idx="96">
                  <c:v>48.5</c:v>
                </c:pt>
                <c:pt idx="97">
                  <c:v>49</c:v>
                </c:pt>
                <c:pt idx="98">
                  <c:v>49.5</c:v>
                </c:pt>
                <c:pt idx="99">
                  <c:v>50</c:v>
                </c:pt>
                <c:pt idx="100">
                  <c:v>50.5</c:v>
                </c:pt>
                <c:pt idx="101">
                  <c:v>51</c:v>
                </c:pt>
                <c:pt idx="102">
                  <c:v>51.5</c:v>
                </c:pt>
                <c:pt idx="103">
                  <c:v>52</c:v>
                </c:pt>
                <c:pt idx="104">
                  <c:v>52.5</c:v>
                </c:pt>
                <c:pt idx="105">
                  <c:v>53</c:v>
                </c:pt>
                <c:pt idx="106">
                  <c:v>53.5</c:v>
                </c:pt>
                <c:pt idx="107">
                  <c:v>54</c:v>
                </c:pt>
                <c:pt idx="108">
                  <c:v>54.5</c:v>
                </c:pt>
                <c:pt idx="109">
                  <c:v>55</c:v>
                </c:pt>
                <c:pt idx="110">
                  <c:v>55.5</c:v>
                </c:pt>
                <c:pt idx="111">
                  <c:v>56</c:v>
                </c:pt>
                <c:pt idx="112">
                  <c:v>56.5</c:v>
                </c:pt>
                <c:pt idx="113">
                  <c:v>57</c:v>
                </c:pt>
                <c:pt idx="114">
                  <c:v>57.5</c:v>
                </c:pt>
                <c:pt idx="115">
                  <c:v>58</c:v>
                </c:pt>
                <c:pt idx="116">
                  <c:v>58.5</c:v>
                </c:pt>
                <c:pt idx="117">
                  <c:v>59</c:v>
                </c:pt>
                <c:pt idx="118">
                  <c:v>59.5</c:v>
                </c:pt>
                <c:pt idx="119">
                  <c:v>60</c:v>
                </c:pt>
                <c:pt idx="120">
                  <c:v>60.5</c:v>
                </c:pt>
                <c:pt idx="121">
                  <c:v>61</c:v>
                </c:pt>
                <c:pt idx="122">
                  <c:v>61.5</c:v>
                </c:pt>
                <c:pt idx="123">
                  <c:v>62</c:v>
                </c:pt>
                <c:pt idx="124">
                  <c:v>62.5</c:v>
                </c:pt>
                <c:pt idx="125">
                  <c:v>63</c:v>
                </c:pt>
                <c:pt idx="126">
                  <c:v>63.5</c:v>
                </c:pt>
                <c:pt idx="127">
                  <c:v>64</c:v>
                </c:pt>
                <c:pt idx="128">
                  <c:v>64.5</c:v>
                </c:pt>
                <c:pt idx="129">
                  <c:v>65</c:v>
                </c:pt>
                <c:pt idx="130">
                  <c:v>65.5</c:v>
                </c:pt>
                <c:pt idx="131">
                  <c:v>66</c:v>
                </c:pt>
                <c:pt idx="132">
                  <c:v>66.5</c:v>
                </c:pt>
                <c:pt idx="133">
                  <c:v>67</c:v>
                </c:pt>
                <c:pt idx="134">
                  <c:v>67.5</c:v>
                </c:pt>
                <c:pt idx="135">
                  <c:v>68</c:v>
                </c:pt>
                <c:pt idx="136">
                  <c:v>68.5</c:v>
                </c:pt>
                <c:pt idx="137">
                  <c:v>69</c:v>
                </c:pt>
                <c:pt idx="138">
                  <c:v>69.5</c:v>
                </c:pt>
                <c:pt idx="139">
                  <c:v>70</c:v>
                </c:pt>
                <c:pt idx="140">
                  <c:v>70.5</c:v>
                </c:pt>
                <c:pt idx="141">
                  <c:v>71</c:v>
                </c:pt>
                <c:pt idx="142">
                  <c:v>71.5</c:v>
                </c:pt>
                <c:pt idx="143">
                  <c:v>72</c:v>
                </c:pt>
                <c:pt idx="144">
                  <c:v>72.5</c:v>
                </c:pt>
                <c:pt idx="145">
                  <c:v>73</c:v>
                </c:pt>
                <c:pt idx="146">
                  <c:v>73.5</c:v>
                </c:pt>
                <c:pt idx="147">
                  <c:v>74</c:v>
                </c:pt>
                <c:pt idx="148">
                  <c:v>74.5</c:v>
                </c:pt>
                <c:pt idx="149">
                  <c:v>75</c:v>
                </c:pt>
                <c:pt idx="150">
                  <c:v>75.5</c:v>
                </c:pt>
                <c:pt idx="151">
                  <c:v>76</c:v>
                </c:pt>
                <c:pt idx="152">
                  <c:v>76.5</c:v>
                </c:pt>
                <c:pt idx="153">
                  <c:v>77</c:v>
                </c:pt>
                <c:pt idx="154">
                  <c:v>77.5</c:v>
                </c:pt>
                <c:pt idx="155">
                  <c:v>78</c:v>
                </c:pt>
                <c:pt idx="156">
                  <c:v>78.5</c:v>
                </c:pt>
                <c:pt idx="157">
                  <c:v>79</c:v>
                </c:pt>
                <c:pt idx="158">
                  <c:v>79.5</c:v>
                </c:pt>
                <c:pt idx="159">
                  <c:v>80</c:v>
                </c:pt>
                <c:pt idx="160">
                  <c:v>80.5</c:v>
                </c:pt>
                <c:pt idx="161">
                  <c:v>81</c:v>
                </c:pt>
                <c:pt idx="162">
                  <c:v>81.5</c:v>
                </c:pt>
                <c:pt idx="163">
                  <c:v>82</c:v>
                </c:pt>
                <c:pt idx="164">
                  <c:v>82.5</c:v>
                </c:pt>
                <c:pt idx="165">
                  <c:v>83</c:v>
                </c:pt>
                <c:pt idx="166">
                  <c:v>83.5</c:v>
                </c:pt>
                <c:pt idx="167">
                  <c:v>84</c:v>
                </c:pt>
                <c:pt idx="168">
                  <c:v>84.5</c:v>
                </c:pt>
                <c:pt idx="169">
                  <c:v>85</c:v>
                </c:pt>
                <c:pt idx="170">
                  <c:v>85.5</c:v>
                </c:pt>
                <c:pt idx="171">
                  <c:v>86</c:v>
                </c:pt>
                <c:pt idx="172">
                  <c:v>86.5</c:v>
                </c:pt>
                <c:pt idx="173">
                  <c:v>87</c:v>
                </c:pt>
                <c:pt idx="174">
                  <c:v>87.5</c:v>
                </c:pt>
                <c:pt idx="175">
                  <c:v>88</c:v>
                </c:pt>
                <c:pt idx="176">
                  <c:v>88.5</c:v>
                </c:pt>
                <c:pt idx="177">
                  <c:v>89</c:v>
                </c:pt>
                <c:pt idx="178">
                  <c:v>89.5</c:v>
                </c:pt>
                <c:pt idx="179">
                  <c:v>90</c:v>
                </c:pt>
                <c:pt idx="180">
                  <c:v>90.5</c:v>
                </c:pt>
                <c:pt idx="181">
                  <c:v>91</c:v>
                </c:pt>
                <c:pt idx="182">
                  <c:v>91.5</c:v>
                </c:pt>
                <c:pt idx="183">
                  <c:v>92</c:v>
                </c:pt>
                <c:pt idx="184">
                  <c:v>92.5</c:v>
                </c:pt>
                <c:pt idx="185">
                  <c:v>93</c:v>
                </c:pt>
                <c:pt idx="186">
                  <c:v>93.5</c:v>
                </c:pt>
                <c:pt idx="187">
                  <c:v>94</c:v>
                </c:pt>
                <c:pt idx="188">
                  <c:v>94.5</c:v>
                </c:pt>
                <c:pt idx="189">
                  <c:v>95</c:v>
                </c:pt>
                <c:pt idx="190">
                  <c:v>95.5</c:v>
                </c:pt>
                <c:pt idx="191">
                  <c:v>96</c:v>
                </c:pt>
                <c:pt idx="192">
                  <c:v>96.5</c:v>
                </c:pt>
                <c:pt idx="193">
                  <c:v>97</c:v>
                </c:pt>
                <c:pt idx="194">
                  <c:v>97.5</c:v>
                </c:pt>
                <c:pt idx="195">
                  <c:v>98</c:v>
                </c:pt>
                <c:pt idx="196">
                  <c:v>98.5</c:v>
                </c:pt>
                <c:pt idx="197">
                  <c:v>99</c:v>
                </c:pt>
                <c:pt idx="198">
                  <c:v>99.5</c:v>
                </c:pt>
                <c:pt idx="199">
                  <c:v>100</c:v>
                </c:pt>
                <c:pt idx="200">
                  <c:v>100.5</c:v>
                </c:pt>
                <c:pt idx="201">
                  <c:v>101</c:v>
                </c:pt>
                <c:pt idx="202">
                  <c:v>101.5</c:v>
                </c:pt>
                <c:pt idx="203">
                  <c:v>102</c:v>
                </c:pt>
                <c:pt idx="204">
                  <c:v>102.5</c:v>
                </c:pt>
                <c:pt idx="205">
                  <c:v>103</c:v>
                </c:pt>
                <c:pt idx="206">
                  <c:v>103.5</c:v>
                </c:pt>
                <c:pt idx="207">
                  <c:v>104</c:v>
                </c:pt>
                <c:pt idx="208">
                  <c:v>104.5</c:v>
                </c:pt>
                <c:pt idx="209">
                  <c:v>105</c:v>
                </c:pt>
                <c:pt idx="210">
                  <c:v>105.5</c:v>
                </c:pt>
                <c:pt idx="211">
                  <c:v>106</c:v>
                </c:pt>
                <c:pt idx="212">
                  <c:v>106.5</c:v>
                </c:pt>
                <c:pt idx="213">
                  <c:v>107</c:v>
                </c:pt>
                <c:pt idx="214">
                  <c:v>107.5</c:v>
                </c:pt>
                <c:pt idx="215">
                  <c:v>108</c:v>
                </c:pt>
                <c:pt idx="216">
                  <c:v>108.5</c:v>
                </c:pt>
                <c:pt idx="217">
                  <c:v>109</c:v>
                </c:pt>
                <c:pt idx="218">
                  <c:v>109.5</c:v>
                </c:pt>
                <c:pt idx="219">
                  <c:v>110</c:v>
                </c:pt>
                <c:pt idx="220">
                  <c:v>110.5</c:v>
                </c:pt>
                <c:pt idx="221">
                  <c:v>111</c:v>
                </c:pt>
                <c:pt idx="222">
                  <c:v>111.5</c:v>
                </c:pt>
                <c:pt idx="223">
                  <c:v>112</c:v>
                </c:pt>
                <c:pt idx="224">
                  <c:v>112.5</c:v>
                </c:pt>
                <c:pt idx="225">
                  <c:v>113</c:v>
                </c:pt>
                <c:pt idx="226">
                  <c:v>113.5</c:v>
                </c:pt>
                <c:pt idx="227">
                  <c:v>114</c:v>
                </c:pt>
                <c:pt idx="228">
                  <c:v>114.5</c:v>
                </c:pt>
                <c:pt idx="229">
                  <c:v>115</c:v>
                </c:pt>
                <c:pt idx="230">
                  <c:v>115.5</c:v>
                </c:pt>
                <c:pt idx="231">
                  <c:v>116</c:v>
                </c:pt>
                <c:pt idx="232">
                  <c:v>116.5</c:v>
                </c:pt>
                <c:pt idx="233">
                  <c:v>117</c:v>
                </c:pt>
                <c:pt idx="234">
                  <c:v>117.5</c:v>
                </c:pt>
                <c:pt idx="235">
                  <c:v>118</c:v>
                </c:pt>
                <c:pt idx="236">
                  <c:v>118.5</c:v>
                </c:pt>
                <c:pt idx="237">
                  <c:v>119</c:v>
                </c:pt>
                <c:pt idx="238">
                  <c:v>119.5</c:v>
                </c:pt>
                <c:pt idx="239">
                  <c:v>120</c:v>
                </c:pt>
                <c:pt idx="240">
                  <c:v>120.5</c:v>
                </c:pt>
                <c:pt idx="241">
                  <c:v>121</c:v>
                </c:pt>
                <c:pt idx="242">
                  <c:v>121.5</c:v>
                </c:pt>
                <c:pt idx="243">
                  <c:v>122</c:v>
                </c:pt>
                <c:pt idx="244">
                  <c:v>122.5</c:v>
                </c:pt>
                <c:pt idx="245">
                  <c:v>123</c:v>
                </c:pt>
                <c:pt idx="246">
                  <c:v>123.5</c:v>
                </c:pt>
                <c:pt idx="247">
                  <c:v>124</c:v>
                </c:pt>
                <c:pt idx="248">
                  <c:v>124.5</c:v>
                </c:pt>
                <c:pt idx="249">
                  <c:v>125</c:v>
                </c:pt>
                <c:pt idx="250">
                  <c:v>125.5</c:v>
                </c:pt>
                <c:pt idx="251">
                  <c:v>126</c:v>
                </c:pt>
                <c:pt idx="252">
                  <c:v>126.5</c:v>
                </c:pt>
                <c:pt idx="253">
                  <c:v>127</c:v>
                </c:pt>
                <c:pt idx="254">
                  <c:v>127.5</c:v>
                </c:pt>
                <c:pt idx="255">
                  <c:v>128</c:v>
                </c:pt>
                <c:pt idx="256">
                  <c:v>128.5</c:v>
                </c:pt>
                <c:pt idx="257">
                  <c:v>129</c:v>
                </c:pt>
                <c:pt idx="258">
                  <c:v>129.5</c:v>
                </c:pt>
                <c:pt idx="259">
                  <c:v>130</c:v>
                </c:pt>
                <c:pt idx="260">
                  <c:v>130.5</c:v>
                </c:pt>
                <c:pt idx="261">
                  <c:v>131</c:v>
                </c:pt>
                <c:pt idx="262">
                  <c:v>131.5</c:v>
                </c:pt>
                <c:pt idx="263">
                  <c:v>132</c:v>
                </c:pt>
                <c:pt idx="264">
                  <c:v>132.5</c:v>
                </c:pt>
                <c:pt idx="265">
                  <c:v>133</c:v>
                </c:pt>
                <c:pt idx="266">
                  <c:v>133.5</c:v>
                </c:pt>
                <c:pt idx="267">
                  <c:v>134</c:v>
                </c:pt>
                <c:pt idx="268">
                  <c:v>134.5</c:v>
                </c:pt>
                <c:pt idx="269">
                  <c:v>135</c:v>
                </c:pt>
                <c:pt idx="270">
                  <c:v>135.5</c:v>
                </c:pt>
                <c:pt idx="271">
                  <c:v>136</c:v>
                </c:pt>
                <c:pt idx="272">
                  <c:v>136.5</c:v>
                </c:pt>
                <c:pt idx="273">
                  <c:v>137</c:v>
                </c:pt>
                <c:pt idx="274">
                  <c:v>137.5</c:v>
                </c:pt>
                <c:pt idx="275">
                  <c:v>138</c:v>
                </c:pt>
                <c:pt idx="276">
                  <c:v>138.5</c:v>
                </c:pt>
                <c:pt idx="277">
                  <c:v>139</c:v>
                </c:pt>
                <c:pt idx="278">
                  <c:v>139.5</c:v>
                </c:pt>
                <c:pt idx="279">
                  <c:v>140</c:v>
                </c:pt>
                <c:pt idx="280">
                  <c:v>140.5</c:v>
                </c:pt>
                <c:pt idx="281">
                  <c:v>141</c:v>
                </c:pt>
                <c:pt idx="282">
                  <c:v>141.5</c:v>
                </c:pt>
                <c:pt idx="283">
                  <c:v>142</c:v>
                </c:pt>
                <c:pt idx="284">
                  <c:v>142.5</c:v>
                </c:pt>
                <c:pt idx="285">
                  <c:v>143</c:v>
                </c:pt>
                <c:pt idx="286">
                  <c:v>143.5</c:v>
                </c:pt>
                <c:pt idx="287">
                  <c:v>144</c:v>
                </c:pt>
                <c:pt idx="288">
                  <c:v>144.5</c:v>
                </c:pt>
                <c:pt idx="289">
                  <c:v>145</c:v>
                </c:pt>
                <c:pt idx="290">
                  <c:v>145.5</c:v>
                </c:pt>
                <c:pt idx="291">
                  <c:v>146</c:v>
                </c:pt>
                <c:pt idx="292">
                  <c:v>146.5</c:v>
                </c:pt>
                <c:pt idx="293">
                  <c:v>147</c:v>
                </c:pt>
                <c:pt idx="294">
                  <c:v>147.5</c:v>
                </c:pt>
                <c:pt idx="295">
                  <c:v>148</c:v>
                </c:pt>
                <c:pt idx="296">
                  <c:v>148.5</c:v>
                </c:pt>
                <c:pt idx="297">
                  <c:v>149</c:v>
                </c:pt>
                <c:pt idx="298">
                  <c:v>149.5</c:v>
                </c:pt>
                <c:pt idx="299">
                  <c:v>150</c:v>
                </c:pt>
                <c:pt idx="300">
                  <c:v>150.5</c:v>
                </c:pt>
                <c:pt idx="301">
                  <c:v>151</c:v>
                </c:pt>
                <c:pt idx="302">
                  <c:v>151.5</c:v>
                </c:pt>
                <c:pt idx="303">
                  <c:v>152</c:v>
                </c:pt>
                <c:pt idx="304">
                  <c:v>152.5</c:v>
                </c:pt>
                <c:pt idx="305">
                  <c:v>153</c:v>
                </c:pt>
                <c:pt idx="306">
                  <c:v>153.5</c:v>
                </c:pt>
                <c:pt idx="307">
                  <c:v>154</c:v>
                </c:pt>
                <c:pt idx="308">
                  <c:v>154.5</c:v>
                </c:pt>
                <c:pt idx="309">
                  <c:v>155</c:v>
                </c:pt>
                <c:pt idx="310">
                  <c:v>155.5</c:v>
                </c:pt>
                <c:pt idx="311">
                  <c:v>156</c:v>
                </c:pt>
                <c:pt idx="312">
                  <c:v>156.5</c:v>
                </c:pt>
                <c:pt idx="313">
                  <c:v>157</c:v>
                </c:pt>
                <c:pt idx="314">
                  <c:v>157.5</c:v>
                </c:pt>
                <c:pt idx="315">
                  <c:v>158</c:v>
                </c:pt>
                <c:pt idx="316">
                  <c:v>158.5</c:v>
                </c:pt>
                <c:pt idx="317">
                  <c:v>159</c:v>
                </c:pt>
                <c:pt idx="318">
                  <c:v>159.5</c:v>
                </c:pt>
                <c:pt idx="319">
                  <c:v>160</c:v>
                </c:pt>
                <c:pt idx="320">
                  <c:v>160.5</c:v>
                </c:pt>
                <c:pt idx="321">
                  <c:v>161</c:v>
                </c:pt>
                <c:pt idx="322">
                  <c:v>161.5</c:v>
                </c:pt>
                <c:pt idx="323">
                  <c:v>162</c:v>
                </c:pt>
                <c:pt idx="324">
                  <c:v>162.5</c:v>
                </c:pt>
                <c:pt idx="325">
                  <c:v>163</c:v>
                </c:pt>
                <c:pt idx="326">
                  <c:v>163.5</c:v>
                </c:pt>
                <c:pt idx="327">
                  <c:v>164</c:v>
                </c:pt>
                <c:pt idx="328">
                  <c:v>164.5</c:v>
                </c:pt>
                <c:pt idx="329">
                  <c:v>165</c:v>
                </c:pt>
                <c:pt idx="330">
                  <c:v>165.5</c:v>
                </c:pt>
                <c:pt idx="331">
                  <c:v>166</c:v>
                </c:pt>
                <c:pt idx="332">
                  <c:v>166.5</c:v>
                </c:pt>
                <c:pt idx="333">
                  <c:v>167</c:v>
                </c:pt>
                <c:pt idx="334">
                  <c:v>167.5</c:v>
                </c:pt>
                <c:pt idx="335">
                  <c:v>168</c:v>
                </c:pt>
                <c:pt idx="336">
                  <c:v>168.5</c:v>
                </c:pt>
                <c:pt idx="337">
                  <c:v>169</c:v>
                </c:pt>
                <c:pt idx="338">
                  <c:v>169.5</c:v>
                </c:pt>
                <c:pt idx="339">
                  <c:v>170</c:v>
                </c:pt>
                <c:pt idx="340">
                  <c:v>170.5</c:v>
                </c:pt>
                <c:pt idx="341">
                  <c:v>171</c:v>
                </c:pt>
                <c:pt idx="342">
                  <c:v>171.5</c:v>
                </c:pt>
                <c:pt idx="343">
                  <c:v>172</c:v>
                </c:pt>
                <c:pt idx="344">
                  <c:v>172.5</c:v>
                </c:pt>
                <c:pt idx="345">
                  <c:v>173</c:v>
                </c:pt>
                <c:pt idx="346">
                  <c:v>173.5</c:v>
                </c:pt>
                <c:pt idx="347">
                  <c:v>174</c:v>
                </c:pt>
                <c:pt idx="348">
                  <c:v>174.5</c:v>
                </c:pt>
                <c:pt idx="349">
                  <c:v>175</c:v>
                </c:pt>
                <c:pt idx="350">
                  <c:v>175.5</c:v>
                </c:pt>
                <c:pt idx="351">
                  <c:v>176</c:v>
                </c:pt>
                <c:pt idx="352">
                  <c:v>176.5</c:v>
                </c:pt>
                <c:pt idx="353">
                  <c:v>177</c:v>
                </c:pt>
                <c:pt idx="354">
                  <c:v>177.5</c:v>
                </c:pt>
                <c:pt idx="355">
                  <c:v>178</c:v>
                </c:pt>
                <c:pt idx="356">
                  <c:v>178.5</c:v>
                </c:pt>
                <c:pt idx="357">
                  <c:v>179</c:v>
                </c:pt>
                <c:pt idx="358">
                  <c:v>179.5</c:v>
                </c:pt>
                <c:pt idx="359">
                  <c:v>180</c:v>
                </c:pt>
                <c:pt idx="360">
                  <c:v>180.5</c:v>
                </c:pt>
                <c:pt idx="361">
                  <c:v>181</c:v>
                </c:pt>
                <c:pt idx="362">
                  <c:v>181.5</c:v>
                </c:pt>
                <c:pt idx="363">
                  <c:v>182</c:v>
                </c:pt>
                <c:pt idx="364">
                  <c:v>182.5</c:v>
                </c:pt>
                <c:pt idx="365">
                  <c:v>183</c:v>
                </c:pt>
                <c:pt idx="366">
                  <c:v>183.5</c:v>
                </c:pt>
                <c:pt idx="367">
                  <c:v>184</c:v>
                </c:pt>
                <c:pt idx="368">
                  <c:v>184.5</c:v>
                </c:pt>
                <c:pt idx="369">
                  <c:v>185</c:v>
                </c:pt>
                <c:pt idx="370">
                  <c:v>185.5</c:v>
                </c:pt>
                <c:pt idx="371">
                  <c:v>186</c:v>
                </c:pt>
                <c:pt idx="372">
                  <c:v>186.5</c:v>
                </c:pt>
                <c:pt idx="373">
                  <c:v>187</c:v>
                </c:pt>
                <c:pt idx="374">
                  <c:v>187.5</c:v>
                </c:pt>
                <c:pt idx="375">
                  <c:v>188</c:v>
                </c:pt>
                <c:pt idx="376">
                  <c:v>188.5</c:v>
                </c:pt>
                <c:pt idx="377">
                  <c:v>189</c:v>
                </c:pt>
                <c:pt idx="378">
                  <c:v>189.5</c:v>
                </c:pt>
                <c:pt idx="379">
                  <c:v>190</c:v>
                </c:pt>
                <c:pt idx="380">
                  <c:v>190.5</c:v>
                </c:pt>
                <c:pt idx="381">
                  <c:v>191</c:v>
                </c:pt>
                <c:pt idx="382">
                  <c:v>191.5</c:v>
                </c:pt>
                <c:pt idx="383">
                  <c:v>192</c:v>
                </c:pt>
                <c:pt idx="384">
                  <c:v>192.5</c:v>
                </c:pt>
                <c:pt idx="385">
                  <c:v>193</c:v>
                </c:pt>
                <c:pt idx="386">
                  <c:v>193.5</c:v>
                </c:pt>
                <c:pt idx="387">
                  <c:v>194</c:v>
                </c:pt>
                <c:pt idx="388">
                  <c:v>194.5</c:v>
                </c:pt>
                <c:pt idx="389">
                  <c:v>195</c:v>
                </c:pt>
                <c:pt idx="390">
                  <c:v>195.5</c:v>
                </c:pt>
                <c:pt idx="391">
                  <c:v>196</c:v>
                </c:pt>
                <c:pt idx="392">
                  <c:v>196.5</c:v>
                </c:pt>
                <c:pt idx="393">
                  <c:v>197</c:v>
                </c:pt>
                <c:pt idx="394">
                  <c:v>197.5</c:v>
                </c:pt>
                <c:pt idx="395">
                  <c:v>198</c:v>
                </c:pt>
                <c:pt idx="396">
                  <c:v>198.5</c:v>
                </c:pt>
                <c:pt idx="397">
                  <c:v>199</c:v>
                </c:pt>
                <c:pt idx="398">
                  <c:v>199.5</c:v>
                </c:pt>
                <c:pt idx="399">
                  <c:v>200</c:v>
                </c:pt>
                <c:pt idx="400">
                  <c:v>200.5</c:v>
                </c:pt>
                <c:pt idx="401">
                  <c:v>201</c:v>
                </c:pt>
                <c:pt idx="402">
                  <c:v>201.5</c:v>
                </c:pt>
                <c:pt idx="403">
                  <c:v>202</c:v>
                </c:pt>
                <c:pt idx="404">
                  <c:v>202.5</c:v>
                </c:pt>
                <c:pt idx="405">
                  <c:v>203</c:v>
                </c:pt>
                <c:pt idx="406">
                  <c:v>203.5</c:v>
                </c:pt>
                <c:pt idx="407">
                  <c:v>204</c:v>
                </c:pt>
                <c:pt idx="408">
                  <c:v>204.5</c:v>
                </c:pt>
                <c:pt idx="409">
                  <c:v>205</c:v>
                </c:pt>
                <c:pt idx="410">
                  <c:v>205.5</c:v>
                </c:pt>
                <c:pt idx="411">
                  <c:v>206</c:v>
                </c:pt>
                <c:pt idx="412">
                  <c:v>206.5</c:v>
                </c:pt>
                <c:pt idx="413">
                  <c:v>207</c:v>
                </c:pt>
                <c:pt idx="414">
                  <c:v>207.5</c:v>
                </c:pt>
                <c:pt idx="415">
                  <c:v>208</c:v>
                </c:pt>
                <c:pt idx="416">
                  <c:v>208.5</c:v>
                </c:pt>
                <c:pt idx="417">
                  <c:v>209</c:v>
                </c:pt>
                <c:pt idx="418">
                  <c:v>209.5</c:v>
                </c:pt>
                <c:pt idx="419">
                  <c:v>210</c:v>
                </c:pt>
                <c:pt idx="420">
                  <c:v>210.5</c:v>
                </c:pt>
                <c:pt idx="421">
                  <c:v>211</c:v>
                </c:pt>
                <c:pt idx="422">
                  <c:v>211.5</c:v>
                </c:pt>
                <c:pt idx="423">
                  <c:v>212</c:v>
                </c:pt>
                <c:pt idx="424">
                  <c:v>212.5</c:v>
                </c:pt>
                <c:pt idx="425">
                  <c:v>213</c:v>
                </c:pt>
                <c:pt idx="426">
                  <c:v>213.5</c:v>
                </c:pt>
                <c:pt idx="427">
                  <c:v>214</c:v>
                </c:pt>
                <c:pt idx="428">
                  <c:v>214.5</c:v>
                </c:pt>
                <c:pt idx="429">
                  <c:v>215</c:v>
                </c:pt>
                <c:pt idx="430">
                  <c:v>215.5</c:v>
                </c:pt>
                <c:pt idx="431">
                  <c:v>216</c:v>
                </c:pt>
                <c:pt idx="432">
                  <c:v>216.5</c:v>
                </c:pt>
                <c:pt idx="433">
                  <c:v>217</c:v>
                </c:pt>
                <c:pt idx="434">
                  <c:v>217.5</c:v>
                </c:pt>
                <c:pt idx="435">
                  <c:v>218</c:v>
                </c:pt>
                <c:pt idx="436">
                  <c:v>218.5</c:v>
                </c:pt>
                <c:pt idx="437">
                  <c:v>219</c:v>
                </c:pt>
                <c:pt idx="438">
                  <c:v>219.5</c:v>
                </c:pt>
                <c:pt idx="439">
                  <c:v>220</c:v>
                </c:pt>
                <c:pt idx="440">
                  <c:v>220.5</c:v>
                </c:pt>
                <c:pt idx="441">
                  <c:v>221</c:v>
                </c:pt>
                <c:pt idx="442">
                  <c:v>221.5</c:v>
                </c:pt>
                <c:pt idx="443">
                  <c:v>222</c:v>
                </c:pt>
                <c:pt idx="444">
                  <c:v>222.5</c:v>
                </c:pt>
                <c:pt idx="445">
                  <c:v>223</c:v>
                </c:pt>
                <c:pt idx="446">
                  <c:v>223.5</c:v>
                </c:pt>
                <c:pt idx="447">
                  <c:v>224</c:v>
                </c:pt>
                <c:pt idx="448">
                  <c:v>224.5</c:v>
                </c:pt>
                <c:pt idx="449">
                  <c:v>225</c:v>
                </c:pt>
                <c:pt idx="450">
                  <c:v>225.5</c:v>
                </c:pt>
                <c:pt idx="451">
                  <c:v>226</c:v>
                </c:pt>
                <c:pt idx="452">
                  <c:v>226.5</c:v>
                </c:pt>
                <c:pt idx="453">
                  <c:v>227</c:v>
                </c:pt>
                <c:pt idx="454">
                  <c:v>227.5</c:v>
                </c:pt>
                <c:pt idx="455">
                  <c:v>228</c:v>
                </c:pt>
                <c:pt idx="456">
                  <c:v>228.5</c:v>
                </c:pt>
                <c:pt idx="457">
                  <c:v>229</c:v>
                </c:pt>
                <c:pt idx="458">
                  <c:v>229.5</c:v>
                </c:pt>
                <c:pt idx="459">
                  <c:v>230</c:v>
                </c:pt>
                <c:pt idx="460">
                  <c:v>230.5</c:v>
                </c:pt>
                <c:pt idx="461">
                  <c:v>231</c:v>
                </c:pt>
                <c:pt idx="462">
                  <c:v>231.5</c:v>
                </c:pt>
                <c:pt idx="463">
                  <c:v>232</c:v>
                </c:pt>
                <c:pt idx="464">
                  <c:v>232.5</c:v>
                </c:pt>
                <c:pt idx="465">
                  <c:v>233</c:v>
                </c:pt>
                <c:pt idx="466">
                  <c:v>233.5</c:v>
                </c:pt>
                <c:pt idx="467">
                  <c:v>234</c:v>
                </c:pt>
                <c:pt idx="468">
                  <c:v>234.5</c:v>
                </c:pt>
                <c:pt idx="469">
                  <c:v>235</c:v>
                </c:pt>
                <c:pt idx="470">
                  <c:v>235.5</c:v>
                </c:pt>
                <c:pt idx="471">
                  <c:v>236</c:v>
                </c:pt>
                <c:pt idx="472">
                  <c:v>236.5</c:v>
                </c:pt>
                <c:pt idx="473">
                  <c:v>237</c:v>
                </c:pt>
                <c:pt idx="474">
                  <c:v>237.5</c:v>
                </c:pt>
                <c:pt idx="475">
                  <c:v>238</c:v>
                </c:pt>
                <c:pt idx="476">
                  <c:v>238.5</c:v>
                </c:pt>
                <c:pt idx="477">
                  <c:v>239</c:v>
                </c:pt>
                <c:pt idx="478">
                  <c:v>239.5</c:v>
                </c:pt>
                <c:pt idx="479">
                  <c:v>240</c:v>
                </c:pt>
                <c:pt idx="480">
                  <c:v>240.5</c:v>
                </c:pt>
                <c:pt idx="481">
                  <c:v>241</c:v>
                </c:pt>
                <c:pt idx="482">
                  <c:v>241.5</c:v>
                </c:pt>
                <c:pt idx="483">
                  <c:v>242</c:v>
                </c:pt>
                <c:pt idx="484">
                  <c:v>242.5</c:v>
                </c:pt>
                <c:pt idx="485">
                  <c:v>243</c:v>
                </c:pt>
                <c:pt idx="486">
                  <c:v>243.5</c:v>
                </c:pt>
                <c:pt idx="487">
                  <c:v>244</c:v>
                </c:pt>
                <c:pt idx="488">
                  <c:v>244.5</c:v>
                </c:pt>
                <c:pt idx="489">
                  <c:v>245</c:v>
                </c:pt>
                <c:pt idx="490">
                  <c:v>245.5</c:v>
                </c:pt>
                <c:pt idx="491">
                  <c:v>246</c:v>
                </c:pt>
                <c:pt idx="492">
                  <c:v>246.5</c:v>
                </c:pt>
                <c:pt idx="493">
                  <c:v>247</c:v>
                </c:pt>
                <c:pt idx="494">
                  <c:v>247.5</c:v>
                </c:pt>
                <c:pt idx="495">
                  <c:v>248</c:v>
                </c:pt>
                <c:pt idx="496">
                  <c:v>248.5</c:v>
                </c:pt>
                <c:pt idx="497">
                  <c:v>249</c:v>
                </c:pt>
                <c:pt idx="498">
                  <c:v>249.5</c:v>
                </c:pt>
                <c:pt idx="499">
                  <c:v>250</c:v>
                </c:pt>
                <c:pt idx="500">
                  <c:v>250.5</c:v>
                </c:pt>
                <c:pt idx="501">
                  <c:v>251</c:v>
                </c:pt>
                <c:pt idx="502">
                  <c:v>251.5</c:v>
                </c:pt>
                <c:pt idx="503">
                  <c:v>252</c:v>
                </c:pt>
                <c:pt idx="504">
                  <c:v>252.5</c:v>
                </c:pt>
                <c:pt idx="505">
                  <c:v>253</c:v>
                </c:pt>
                <c:pt idx="506">
                  <c:v>253.5</c:v>
                </c:pt>
                <c:pt idx="507">
                  <c:v>254</c:v>
                </c:pt>
                <c:pt idx="508">
                  <c:v>254.5</c:v>
                </c:pt>
                <c:pt idx="509">
                  <c:v>255</c:v>
                </c:pt>
                <c:pt idx="510">
                  <c:v>255.5</c:v>
                </c:pt>
                <c:pt idx="511">
                  <c:v>256</c:v>
                </c:pt>
                <c:pt idx="512">
                  <c:v>256.5</c:v>
                </c:pt>
                <c:pt idx="513">
                  <c:v>257</c:v>
                </c:pt>
                <c:pt idx="514">
                  <c:v>257.5</c:v>
                </c:pt>
                <c:pt idx="515">
                  <c:v>258</c:v>
                </c:pt>
                <c:pt idx="516">
                  <c:v>258.5</c:v>
                </c:pt>
                <c:pt idx="517">
                  <c:v>259</c:v>
                </c:pt>
                <c:pt idx="518">
                  <c:v>259.5</c:v>
                </c:pt>
                <c:pt idx="519">
                  <c:v>260</c:v>
                </c:pt>
                <c:pt idx="520">
                  <c:v>260.5</c:v>
                </c:pt>
                <c:pt idx="521">
                  <c:v>261</c:v>
                </c:pt>
                <c:pt idx="522">
                  <c:v>261.5</c:v>
                </c:pt>
                <c:pt idx="523">
                  <c:v>262</c:v>
                </c:pt>
                <c:pt idx="524">
                  <c:v>262.5</c:v>
                </c:pt>
                <c:pt idx="525">
                  <c:v>263</c:v>
                </c:pt>
                <c:pt idx="526">
                  <c:v>263.5</c:v>
                </c:pt>
                <c:pt idx="527">
                  <c:v>264</c:v>
                </c:pt>
                <c:pt idx="528">
                  <c:v>264.5</c:v>
                </c:pt>
                <c:pt idx="529">
                  <c:v>265</c:v>
                </c:pt>
                <c:pt idx="530">
                  <c:v>265.5</c:v>
                </c:pt>
                <c:pt idx="531">
                  <c:v>266</c:v>
                </c:pt>
                <c:pt idx="532">
                  <c:v>266.5</c:v>
                </c:pt>
                <c:pt idx="533">
                  <c:v>267</c:v>
                </c:pt>
                <c:pt idx="534">
                  <c:v>267.5</c:v>
                </c:pt>
                <c:pt idx="535">
                  <c:v>268</c:v>
                </c:pt>
                <c:pt idx="536">
                  <c:v>268.5</c:v>
                </c:pt>
                <c:pt idx="537">
                  <c:v>269</c:v>
                </c:pt>
                <c:pt idx="538">
                  <c:v>269.5</c:v>
                </c:pt>
                <c:pt idx="539">
                  <c:v>270</c:v>
                </c:pt>
                <c:pt idx="540">
                  <c:v>270.5</c:v>
                </c:pt>
                <c:pt idx="541">
                  <c:v>271</c:v>
                </c:pt>
                <c:pt idx="542">
                  <c:v>271.5</c:v>
                </c:pt>
                <c:pt idx="543">
                  <c:v>272</c:v>
                </c:pt>
                <c:pt idx="544">
                  <c:v>272.5</c:v>
                </c:pt>
                <c:pt idx="545">
                  <c:v>273</c:v>
                </c:pt>
                <c:pt idx="546">
                  <c:v>273.5</c:v>
                </c:pt>
                <c:pt idx="547">
                  <c:v>274</c:v>
                </c:pt>
                <c:pt idx="548">
                  <c:v>274.5</c:v>
                </c:pt>
                <c:pt idx="549">
                  <c:v>275</c:v>
                </c:pt>
                <c:pt idx="550">
                  <c:v>275.5</c:v>
                </c:pt>
                <c:pt idx="551">
                  <c:v>276</c:v>
                </c:pt>
                <c:pt idx="552">
                  <c:v>276.5</c:v>
                </c:pt>
                <c:pt idx="553">
                  <c:v>277</c:v>
                </c:pt>
                <c:pt idx="554">
                  <c:v>277.5</c:v>
                </c:pt>
                <c:pt idx="555">
                  <c:v>278</c:v>
                </c:pt>
                <c:pt idx="556">
                  <c:v>278.5</c:v>
                </c:pt>
                <c:pt idx="557">
                  <c:v>279</c:v>
                </c:pt>
                <c:pt idx="558">
                  <c:v>279.5</c:v>
                </c:pt>
                <c:pt idx="559">
                  <c:v>280</c:v>
                </c:pt>
                <c:pt idx="560">
                  <c:v>280.5</c:v>
                </c:pt>
                <c:pt idx="561">
                  <c:v>281</c:v>
                </c:pt>
                <c:pt idx="562">
                  <c:v>281.5</c:v>
                </c:pt>
                <c:pt idx="563">
                  <c:v>282</c:v>
                </c:pt>
                <c:pt idx="564">
                  <c:v>282.5</c:v>
                </c:pt>
                <c:pt idx="565">
                  <c:v>283</c:v>
                </c:pt>
                <c:pt idx="566">
                  <c:v>283.5</c:v>
                </c:pt>
                <c:pt idx="567">
                  <c:v>284</c:v>
                </c:pt>
                <c:pt idx="568">
                  <c:v>284.5</c:v>
                </c:pt>
                <c:pt idx="569">
                  <c:v>285</c:v>
                </c:pt>
                <c:pt idx="570">
                  <c:v>285.5</c:v>
                </c:pt>
                <c:pt idx="571">
                  <c:v>286</c:v>
                </c:pt>
                <c:pt idx="572">
                  <c:v>286.5</c:v>
                </c:pt>
                <c:pt idx="573">
                  <c:v>287</c:v>
                </c:pt>
                <c:pt idx="574">
                  <c:v>287.5</c:v>
                </c:pt>
                <c:pt idx="575">
                  <c:v>288</c:v>
                </c:pt>
                <c:pt idx="576">
                  <c:v>288.5</c:v>
                </c:pt>
                <c:pt idx="577">
                  <c:v>289</c:v>
                </c:pt>
                <c:pt idx="578">
                  <c:v>289.5</c:v>
                </c:pt>
                <c:pt idx="579">
                  <c:v>290</c:v>
                </c:pt>
                <c:pt idx="580">
                  <c:v>290.5</c:v>
                </c:pt>
                <c:pt idx="581">
                  <c:v>291</c:v>
                </c:pt>
                <c:pt idx="582">
                  <c:v>291.5</c:v>
                </c:pt>
                <c:pt idx="583">
                  <c:v>292</c:v>
                </c:pt>
                <c:pt idx="584">
                  <c:v>292.5</c:v>
                </c:pt>
                <c:pt idx="585">
                  <c:v>293</c:v>
                </c:pt>
                <c:pt idx="586">
                  <c:v>293.5</c:v>
                </c:pt>
                <c:pt idx="587">
                  <c:v>294</c:v>
                </c:pt>
                <c:pt idx="588">
                  <c:v>294.5</c:v>
                </c:pt>
                <c:pt idx="589">
                  <c:v>295</c:v>
                </c:pt>
                <c:pt idx="590">
                  <c:v>295.5</c:v>
                </c:pt>
                <c:pt idx="591">
                  <c:v>296</c:v>
                </c:pt>
                <c:pt idx="592">
                  <c:v>296.5</c:v>
                </c:pt>
                <c:pt idx="593">
                  <c:v>297</c:v>
                </c:pt>
                <c:pt idx="594">
                  <c:v>297.5</c:v>
                </c:pt>
                <c:pt idx="595">
                  <c:v>298</c:v>
                </c:pt>
                <c:pt idx="596">
                  <c:v>298.5</c:v>
                </c:pt>
                <c:pt idx="597">
                  <c:v>299</c:v>
                </c:pt>
                <c:pt idx="598">
                  <c:v>299.5</c:v>
                </c:pt>
                <c:pt idx="599">
                  <c:v>300</c:v>
                </c:pt>
                <c:pt idx="600">
                  <c:v>300.5</c:v>
                </c:pt>
                <c:pt idx="601">
                  <c:v>301</c:v>
                </c:pt>
                <c:pt idx="602">
                  <c:v>301.5</c:v>
                </c:pt>
                <c:pt idx="603">
                  <c:v>302</c:v>
                </c:pt>
                <c:pt idx="604">
                  <c:v>302.5</c:v>
                </c:pt>
                <c:pt idx="605">
                  <c:v>303</c:v>
                </c:pt>
                <c:pt idx="606">
                  <c:v>303.5</c:v>
                </c:pt>
                <c:pt idx="607">
                  <c:v>304</c:v>
                </c:pt>
                <c:pt idx="608">
                  <c:v>304.5</c:v>
                </c:pt>
                <c:pt idx="609">
                  <c:v>305</c:v>
                </c:pt>
                <c:pt idx="610">
                  <c:v>305.5</c:v>
                </c:pt>
                <c:pt idx="611">
                  <c:v>306</c:v>
                </c:pt>
                <c:pt idx="612">
                  <c:v>306.5</c:v>
                </c:pt>
                <c:pt idx="613">
                  <c:v>307</c:v>
                </c:pt>
                <c:pt idx="614">
                  <c:v>307.5</c:v>
                </c:pt>
                <c:pt idx="615">
                  <c:v>308</c:v>
                </c:pt>
                <c:pt idx="616">
                  <c:v>308.5</c:v>
                </c:pt>
                <c:pt idx="617">
                  <c:v>309</c:v>
                </c:pt>
                <c:pt idx="618">
                  <c:v>309.5</c:v>
                </c:pt>
                <c:pt idx="619">
                  <c:v>310</c:v>
                </c:pt>
                <c:pt idx="620">
                  <c:v>310.5</c:v>
                </c:pt>
                <c:pt idx="621">
                  <c:v>311</c:v>
                </c:pt>
                <c:pt idx="622">
                  <c:v>311.5</c:v>
                </c:pt>
                <c:pt idx="623">
                  <c:v>312</c:v>
                </c:pt>
                <c:pt idx="624">
                  <c:v>312.5</c:v>
                </c:pt>
                <c:pt idx="625">
                  <c:v>313</c:v>
                </c:pt>
                <c:pt idx="626">
                  <c:v>313.5</c:v>
                </c:pt>
                <c:pt idx="627">
                  <c:v>314</c:v>
                </c:pt>
                <c:pt idx="628">
                  <c:v>314.5</c:v>
                </c:pt>
                <c:pt idx="629">
                  <c:v>315</c:v>
                </c:pt>
                <c:pt idx="630">
                  <c:v>315.5</c:v>
                </c:pt>
                <c:pt idx="631">
                  <c:v>316</c:v>
                </c:pt>
                <c:pt idx="632">
                  <c:v>316.5</c:v>
                </c:pt>
                <c:pt idx="633">
                  <c:v>317</c:v>
                </c:pt>
                <c:pt idx="634">
                  <c:v>317.5</c:v>
                </c:pt>
                <c:pt idx="635">
                  <c:v>318</c:v>
                </c:pt>
                <c:pt idx="636">
                  <c:v>318.5</c:v>
                </c:pt>
                <c:pt idx="637">
                  <c:v>319</c:v>
                </c:pt>
                <c:pt idx="638">
                  <c:v>319.5</c:v>
                </c:pt>
                <c:pt idx="639">
                  <c:v>320</c:v>
                </c:pt>
                <c:pt idx="640">
                  <c:v>320.5</c:v>
                </c:pt>
                <c:pt idx="641">
                  <c:v>321</c:v>
                </c:pt>
                <c:pt idx="642">
                  <c:v>321.5</c:v>
                </c:pt>
                <c:pt idx="643">
                  <c:v>322</c:v>
                </c:pt>
                <c:pt idx="644">
                  <c:v>322.5</c:v>
                </c:pt>
                <c:pt idx="645">
                  <c:v>323</c:v>
                </c:pt>
                <c:pt idx="646">
                  <c:v>323.5</c:v>
                </c:pt>
                <c:pt idx="647">
                  <c:v>324</c:v>
                </c:pt>
                <c:pt idx="648">
                  <c:v>324.5</c:v>
                </c:pt>
                <c:pt idx="649">
                  <c:v>325</c:v>
                </c:pt>
                <c:pt idx="650">
                  <c:v>325.5</c:v>
                </c:pt>
                <c:pt idx="651">
                  <c:v>326</c:v>
                </c:pt>
                <c:pt idx="652">
                  <c:v>326.5</c:v>
                </c:pt>
                <c:pt idx="653">
                  <c:v>327</c:v>
                </c:pt>
                <c:pt idx="654">
                  <c:v>327.5</c:v>
                </c:pt>
                <c:pt idx="655">
                  <c:v>328</c:v>
                </c:pt>
                <c:pt idx="656">
                  <c:v>328.5</c:v>
                </c:pt>
                <c:pt idx="657">
                  <c:v>329</c:v>
                </c:pt>
                <c:pt idx="658">
                  <c:v>329.5</c:v>
                </c:pt>
                <c:pt idx="659">
                  <c:v>330</c:v>
                </c:pt>
                <c:pt idx="660">
                  <c:v>330.5</c:v>
                </c:pt>
                <c:pt idx="661">
                  <c:v>331</c:v>
                </c:pt>
                <c:pt idx="662">
                  <c:v>331.5</c:v>
                </c:pt>
                <c:pt idx="663">
                  <c:v>332</c:v>
                </c:pt>
                <c:pt idx="664">
                  <c:v>332.5</c:v>
                </c:pt>
                <c:pt idx="665">
                  <c:v>333</c:v>
                </c:pt>
                <c:pt idx="666">
                  <c:v>333.5</c:v>
                </c:pt>
                <c:pt idx="667">
                  <c:v>334</c:v>
                </c:pt>
                <c:pt idx="668">
                  <c:v>334.5</c:v>
                </c:pt>
                <c:pt idx="669">
                  <c:v>335</c:v>
                </c:pt>
                <c:pt idx="670">
                  <c:v>335.5</c:v>
                </c:pt>
                <c:pt idx="671">
                  <c:v>336</c:v>
                </c:pt>
                <c:pt idx="672">
                  <c:v>336.5</c:v>
                </c:pt>
                <c:pt idx="673">
                  <c:v>337</c:v>
                </c:pt>
                <c:pt idx="674">
                  <c:v>337.5</c:v>
                </c:pt>
                <c:pt idx="675">
                  <c:v>338</c:v>
                </c:pt>
                <c:pt idx="676">
                  <c:v>338.5</c:v>
                </c:pt>
                <c:pt idx="677">
                  <c:v>339</c:v>
                </c:pt>
                <c:pt idx="678">
                  <c:v>339.5</c:v>
                </c:pt>
                <c:pt idx="679">
                  <c:v>340</c:v>
                </c:pt>
                <c:pt idx="680">
                  <c:v>340.5</c:v>
                </c:pt>
                <c:pt idx="681">
                  <c:v>341</c:v>
                </c:pt>
                <c:pt idx="682">
                  <c:v>341.5</c:v>
                </c:pt>
                <c:pt idx="683">
                  <c:v>342</c:v>
                </c:pt>
                <c:pt idx="684">
                  <c:v>342.5</c:v>
                </c:pt>
                <c:pt idx="685">
                  <c:v>343</c:v>
                </c:pt>
                <c:pt idx="686">
                  <c:v>343.5</c:v>
                </c:pt>
                <c:pt idx="687">
                  <c:v>344</c:v>
                </c:pt>
                <c:pt idx="688">
                  <c:v>344.5</c:v>
                </c:pt>
                <c:pt idx="689">
                  <c:v>345</c:v>
                </c:pt>
                <c:pt idx="690">
                  <c:v>345.5</c:v>
                </c:pt>
                <c:pt idx="691">
                  <c:v>346</c:v>
                </c:pt>
                <c:pt idx="692">
                  <c:v>346.5</c:v>
                </c:pt>
                <c:pt idx="693">
                  <c:v>347</c:v>
                </c:pt>
                <c:pt idx="694">
                  <c:v>347.5</c:v>
                </c:pt>
                <c:pt idx="695">
                  <c:v>348</c:v>
                </c:pt>
                <c:pt idx="696">
                  <c:v>348.5</c:v>
                </c:pt>
                <c:pt idx="697">
                  <c:v>349</c:v>
                </c:pt>
                <c:pt idx="698">
                  <c:v>349.5</c:v>
                </c:pt>
                <c:pt idx="699">
                  <c:v>350</c:v>
                </c:pt>
                <c:pt idx="700">
                  <c:v>350.5</c:v>
                </c:pt>
                <c:pt idx="701">
                  <c:v>351</c:v>
                </c:pt>
                <c:pt idx="702">
                  <c:v>351.5</c:v>
                </c:pt>
                <c:pt idx="703">
                  <c:v>352</c:v>
                </c:pt>
                <c:pt idx="704">
                  <c:v>352.5</c:v>
                </c:pt>
                <c:pt idx="705">
                  <c:v>353</c:v>
                </c:pt>
                <c:pt idx="706">
                  <c:v>353.5</c:v>
                </c:pt>
                <c:pt idx="707">
                  <c:v>354</c:v>
                </c:pt>
                <c:pt idx="708">
                  <c:v>354.5</c:v>
                </c:pt>
                <c:pt idx="709">
                  <c:v>355</c:v>
                </c:pt>
                <c:pt idx="710">
                  <c:v>355.5</c:v>
                </c:pt>
                <c:pt idx="711">
                  <c:v>356</c:v>
                </c:pt>
                <c:pt idx="712">
                  <c:v>356.5</c:v>
                </c:pt>
                <c:pt idx="713">
                  <c:v>357</c:v>
                </c:pt>
                <c:pt idx="714">
                  <c:v>357.5</c:v>
                </c:pt>
                <c:pt idx="715">
                  <c:v>358</c:v>
                </c:pt>
                <c:pt idx="716">
                  <c:v>358.5</c:v>
                </c:pt>
                <c:pt idx="717">
                  <c:v>359</c:v>
                </c:pt>
                <c:pt idx="718">
                  <c:v>359.5</c:v>
                </c:pt>
                <c:pt idx="719">
                  <c:v>360</c:v>
                </c:pt>
                <c:pt idx="720">
                  <c:v>360.5</c:v>
                </c:pt>
                <c:pt idx="721">
                  <c:v>361</c:v>
                </c:pt>
                <c:pt idx="722">
                  <c:v>361.5</c:v>
                </c:pt>
                <c:pt idx="723">
                  <c:v>362</c:v>
                </c:pt>
                <c:pt idx="724">
                  <c:v>362.5</c:v>
                </c:pt>
                <c:pt idx="725">
                  <c:v>363</c:v>
                </c:pt>
                <c:pt idx="726">
                  <c:v>363.5</c:v>
                </c:pt>
                <c:pt idx="727">
                  <c:v>364</c:v>
                </c:pt>
                <c:pt idx="728">
                  <c:v>364.5</c:v>
                </c:pt>
                <c:pt idx="729">
                  <c:v>365</c:v>
                </c:pt>
                <c:pt idx="730">
                  <c:v>365.5</c:v>
                </c:pt>
                <c:pt idx="731">
                  <c:v>366</c:v>
                </c:pt>
                <c:pt idx="732">
                  <c:v>366.5</c:v>
                </c:pt>
                <c:pt idx="733">
                  <c:v>367</c:v>
                </c:pt>
                <c:pt idx="734">
                  <c:v>367.5</c:v>
                </c:pt>
                <c:pt idx="735">
                  <c:v>368</c:v>
                </c:pt>
                <c:pt idx="736">
                  <c:v>368.5</c:v>
                </c:pt>
                <c:pt idx="737">
                  <c:v>369</c:v>
                </c:pt>
                <c:pt idx="738">
                  <c:v>369.5</c:v>
                </c:pt>
                <c:pt idx="739">
                  <c:v>370</c:v>
                </c:pt>
                <c:pt idx="740">
                  <c:v>370.5</c:v>
                </c:pt>
                <c:pt idx="741">
                  <c:v>371</c:v>
                </c:pt>
                <c:pt idx="742">
                  <c:v>371.5</c:v>
                </c:pt>
                <c:pt idx="743">
                  <c:v>372</c:v>
                </c:pt>
                <c:pt idx="744">
                  <c:v>372.5</c:v>
                </c:pt>
                <c:pt idx="745">
                  <c:v>373</c:v>
                </c:pt>
                <c:pt idx="746">
                  <c:v>373.5</c:v>
                </c:pt>
                <c:pt idx="747">
                  <c:v>374</c:v>
                </c:pt>
                <c:pt idx="748">
                  <c:v>374.5</c:v>
                </c:pt>
                <c:pt idx="749">
                  <c:v>375</c:v>
                </c:pt>
                <c:pt idx="750">
                  <c:v>375.5</c:v>
                </c:pt>
                <c:pt idx="751">
                  <c:v>376</c:v>
                </c:pt>
                <c:pt idx="752">
                  <c:v>376.5</c:v>
                </c:pt>
                <c:pt idx="753">
                  <c:v>377</c:v>
                </c:pt>
                <c:pt idx="754">
                  <c:v>377.5</c:v>
                </c:pt>
                <c:pt idx="755">
                  <c:v>378</c:v>
                </c:pt>
                <c:pt idx="756">
                  <c:v>378.5</c:v>
                </c:pt>
                <c:pt idx="757">
                  <c:v>379</c:v>
                </c:pt>
                <c:pt idx="758">
                  <c:v>379.5</c:v>
                </c:pt>
                <c:pt idx="759">
                  <c:v>380</c:v>
                </c:pt>
                <c:pt idx="760">
                  <c:v>380.5</c:v>
                </c:pt>
                <c:pt idx="761">
                  <c:v>381</c:v>
                </c:pt>
                <c:pt idx="762">
                  <c:v>381.5</c:v>
                </c:pt>
                <c:pt idx="763">
                  <c:v>382</c:v>
                </c:pt>
                <c:pt idx="764">
                  <c:v>382.5</c:v>
                </c:pt>
                <c:pt idx="765">
                  <c:v>383</c:v>
                </c:pt>
                <c:pt idx="766">
                  <c:v>383.5</c:v>
                </c:pt>
                <c:pt idx="767">
                  <c:v>384</c:v>
                </c:pt>
                <c:pt idx="768">
                  <c:v>384.5</c:v>
                </c:pt>
                <c:pt idx="769">
                  <c:v>385</c:v>
                </c:pt>
                <c:pt idx="770">
                  <c:v>385.5</c:v>
                </c:pt>
                <c:pt idx="771">
                  <c:v>386</c:v>
                </c:pt>
                <c:pt idx="772">
                  <c:v>386.5</c:v>
                </c:pt>
                <c:pt idx="773">
                  <c:v>387</c:v>
                </c:pt>
                <c:pt idx="774">
                  <c:v>387.5</c:v>
                </c:pt>
                <c:pt idx="775">
                  <c:v>388</c:v>
                </c:pt>
                <c:pt idx="776">
                  <c:v>388.5</c:v>
                </c:pt>
                <c:pt idx="777">
                  <c:v>389</c:v>
                </c:pt>
                <c:pt idx="778">
                  <c:v>389.5</c:v>
                </c:pt>
                <c:pt idx="779">
                  <c:v>390</c:v>
                </c:pt>
                <c:pt idx="780">
                  <c:v>390.5</c:v>
                </c:pt>
                <c:pt idx="781">
                  <c:v>391</c:v>
                </c:pt>
                <c:pt idx="782">
                  <c:v>391.5</c:v>
                </c:pt>
                <c:pt idx="783">
                  <c:v>392</c:v>
                </c:pt>
                <c:pt idx="784">
                  <c:v>392.5</c:v>
                </c:pt>
                <c:pt idx="785">
                  <c:v>393</c:v>
                </c:pt>
                <c:pt idx="786">
                  <c:v>393.5</c:v>
                </c:pt>
                <c:pt idx="787">
                  <c:v>394</c:v>
                </c:pt>
                <c:pt idx="788">
                  <c:v>394.5</c:v>
                </c:pt>
                <c:pt idx="789">
                  <c:v>395</c:v>
                </c:pt>
                <c:pt idx="790">
                  <c:v>395.5</c:v>
                </c:pt>
                <c:pt idx="791">
                  <c:v>396</c:v>
                </c:pt>
                <c:pt idx="792">
                  <c:v>396.5</c:v>
                </c:pt>
                <c:pt idx="793">
                  <c:v>397</c:v>
                </c:pt>
                <c:pt idx="794">
                  <c:v>397.5</c:v>
                </c:pt>
                <c:pt idx="795">
                  <c:v>398</c:v>
                </c:pt>
                <c:pt idx="796">
                  <c:v>398.5</c:v>
                </c:pt>
                <c:pt idx="797">
                  <c:v>399</c:v>
                </c:pt>
                <c:pt idx="798">
                  <c:v>399.5</c:v>
                </c:pt>
                <c:pt idx="799">
                  <c:v>400</c:v>
                </c:pt>
                <c:pt idx="800">
                  <c:v>400.5</c:v>
                </c:pt>
                <c:pt idx="801">
                  <c:v>401</c:v>
                </c:pt>
                <c:pt idx="802">
                  <c:v>401.5</c:v>
                </c:pt>
                <c:pt idx="803">
                  <c:v>402</c:v>
                </c:pt>
                <c:pt idx="804">
                  <c:v>402.5</c:v>
                </c:pt>
                <c:pt idx="805">
                  <c:v>403</c:v>
                </c:pt>
                <c:pt idx="806">
                  <c:v>403.5</c:v>
                </c:pt>
                <c:pt idx="807">
                  <c:v>404</c:v>
                </c:pt>
                <c:pt idx="808">
                  <c:v>404.5</c:v>
                </c:pt>
                <c:pt idx="809">
                  <c:v>405</c:v>
                </c:pt>
                <c:pt idx="810">
                  <c:v>405.5</c:v>
                </c:pt>
                <c:pt idx="811">
                  <c:v>406</c:v>
                </c:pt>
                <c:pt idx="812">
                  <c:v>406.5</c:v>
                </c:pt>
                <c:pt idx="813">
                  <c:v>407</c:v>
                </c:pt>
                <c:pt idx="814">
                  <c:v>407.5</c:v>
                </c:pt>
                <c:pt idx="815">
                  <c:v>408</c:v>
                </c:pt>
                <c:pt idx="816">
                  <c:v>408.5</c:v>
                </c:pt>
                <c:pt idx="817">
                  <c:v>409</c:v>
                </c:pt>
                <c:pt idx="818">
                  <c:v>409.5</c:v>
                </c:pt>
                <c:pt idx="819">
                  <c:v>410</c:v>
                </c:pt>
                <c:pt idx="820">
                  <c:v>410.5</c:v>
                </c:pt>
                <c:pt idx="821">
                  <c:v>411</c:v>
                </c:pt>
                <c:pt idx="822">
                  <c:v>411.5</c:v>
                </c:pt>
                <c:pt idx="823">
                  <c:v>412</c:v>
                </c:pt>
                <c:pt idx="824">
                  <c:v>412.5</c:v>
                </c:pt>
                <c:pt idx="825">
                  <c:v>413</c:v>
                </c:pt>
                <c:pt idx="826">
                  <c:v>413.5</c:v>
                </c:pt>
                <c:pt idx="827">
                  <c:v>414</c:v>
                </c:pt>
                <c:pt idx="828">
                  <c:v>414.5</c:v>
                </c:pt>
                <c:pt idx="829">
                  <c:v>415</c:v>
                </c:pt>
                <c:pt idx="830">
                  <c:v>415.5</c:v>
                </c:pt>
                <c:pt idx="831">
                  <c:v>416</c:v>
                </c:pt>
                <c:pt idx="832">
                  <c:v>416.5</c:v>
                </c:pt>
                <c:pt idx="833">
                  <c:v>417</c:v>
                </c:pt>
                <c:pt idx="834">
                  <c:v>417.5</c:v>
                </c:pt>
                <c:pt idx="835">
                  <c:v>418</c:v>
                </c:pt>
                <c:pt idx="836">
                  <c:v>418.5</c:v>
                </c:pt>
                <c:pt idx="837">
                  <c:v>419</c:v>
                </c:pt>
                <c:pt idx="838">
                  <c:v>419.5</c:v>
                </c:pt>
                <c:pt idx="839">
                  <c:v>420</c:v>
                </c:pt>
                <c:pt idx="840">
                  <c:v>420.5</c:v>
                </c:pt>
                <c:pt idx="841">
                  <c:v>421</c:v>
                </c:pt>
                <c:pt idx="842">
                  <c:v>421.5</c:v>
                </c:pt>
                <c:pt idx="843">
                  <c:v>422</c:v>
                </c:pt>
                <c:pt idx="844">
                  <c:v>422.5</c:v>
                </c:pt>
                <c:pt idx="845">
                  <c:v>423</c:v>
                </c:pt>
                <c:pt idx="846">
                  <c:v>423.5</c:v>
                </c:pt>
                <c:pt idx="847">
                  <c:v>424</c:v>
                </c:pt>
                <c:pt idx="848">
                  <c:v>424.5</c:v>
                </c:pt>
                <c:pt idx="849">
                  <c:v>425</c:v>
                </c:pt>
                <c:pt idx="850">
                  <c:v>425.5</c:v>
                </c:pt>
                <c:pt idx="851">
                  <c:v>426</c:v>
                </c:pt>
                <c:pt idx="852">
                  <c:v>426.5</c:v>
                </c:pt>
                <c:pt idx="853">
                  <c:v>427</c:v>
                </c:pt>
                <c:pt idx="854">
                  <c:v>427.5</c:v>
                </c:pt>
                <c:pt idx="855">
                  <c:v>428</c:v>
                </c:pt>
                <c:pt idx="856">
                  <c:v>428.5</c:v>
                </c:pt>
                <c:pt idx="857">
                  <c:v>429</c:v>
                </c:pt>
                <c:pt idx="858">
                  <c:v>429.5</c:v>
                </c:pt>
                <c:pt idx="859">
                  <c:v>430</c:v>
                </c:pt>
                <c:pt idx="860">
                  <c:v>430.5</c:v>
                </c:pt>
                <c:pt idx="861">
                  <c:v>431</c:v>
                </c:pt>
                <c:pt idx="862">
                  <c:v>431.5</c:v>
                </c:pt>
                <c:pt idx="863">
                  <c:v>432</c:v>
                </c:pt>
                <c:pt idx="864">
                  <c:v>432.5</c:v>
                </c:pt>
                <c:pt idx="865">
                  <c:v>433</c:v>
                </c:pt>
                <c:pt idx="866">
                  <c:v>433.5</c:v>
                </c:pt>
                <c:pt idx="867">
                  <c:v>434</c:v>
                </c:pt>
                <c:pt idx="868">
                  <c:v>434.5</c:v>
                </c:pt>
                <c:pt idx="869">
                  <c:v>435</c:v>
                </c:pt>
                <c:pt idx="870">
                  <c:v>435.5</c:v>
                </c:pt>
                <c:pt idx="871">
                  <c:v>436</c:v>
                </c:pt>
                <c:pt idx="872">
                  <c:v>436.5</c:v>
                </c:pt>
                <c:pt idx="873">
                  <c:v>437</c:v>
                </c:pt>
                <c:pt idx="874">
                  <c:v>437.5</c:v>
                </c:pt>
                <c:pt idx="875">
                  <c:v>438</c:v>
                </c:pt>
                <c:pt idx="876">
                  <c:v>438.5</c:v>
                </c:pt>
                <c:pt idx="877">
                  <c:v>439</c:v>
                </c:pt>
                <c:pt idx="878">
                  <c:v>439.5</c:v>
                </c:pt>
                <c:pt idx="879">
                  <c:v>440</c:v>
                </c:pt>
                <c:pt idx="880">
                  <c:v>440.5</c:v>
                </c:pt>
                <c:pt idx="881">
                  <c:v>441</c:v>
                </c:pt>
                <c:pt idx="882">
                  <c:v>441.5</c:v>
                </c:pt>
                <c:pt idx="883">
                  <c:v>442</c:v>
                </c:pt>
                <c:pt idx="884">
                  <c:v>442.5</c:v>
                </c:pt>
                <c:pt idx="885">
                  <c:v>443</c:v>
                </c:pt>
                <c:pt idx="886">
                  <c:v>443.5</c:v>
                </c:pt>
                <c:pt idx="887">
                  <c:v>444</c:v>
                </c:pt>
                <c:pt idx="888">
                  <c:v>444.5</c:v>
                </c:pt>
                <c:pt idx="889">
                  <c:v>445</c:v>
                </c:pt>
                <c:pt idx="890">
                  <c:v>445.5</c:v>
                </c:pt>
                <c:pt idx="891">
                  <c:v>446</c:v>
                </c:pt>
                <c:pt idx="892">
                  <c:v>446.5</c:v>
                </c:pt>
                <c:pt idx="893">
                  <c:v>447</c:v>
                </c:pt>
                <c:pt idx="894">
                  <c:v>447.5</c:v>
                </c:pt>
                <c:pt idx="895">
                  <c:v>448</c:v>
                </c:pt>
                <c:pt idx="896">
                  <c:v>448.5</c:v>
                </c:pt>
                <c:pt idx="897">
                  <c:v>449</c:v>
                </c:pt>
                <c:pt idx="898">
                  <c:v>449.5</c:v>
                </c:pt>
                <c:pt idx="899">
                  <c:v>450</c:v>
                </c:pt>
                <c:pt idx="900">
                  <c:v>450.5</c:v>
                </c:pt>
                <c:pt idx="901">
                  <c:v>451</c:v>
                </c:pt>
                <c:pt idx="902">
                  <c:v>451.5</c:v>
                </c:pt>
                <c:pt idx="903">
                  <c:v>452</c:v>
                </c:pt>
                <c:pt idx="904">
                  <c:v>452.5</c:v>
                </c:pt>
                <c:pt idx="905">
                  <c:v>453</c:v>
                </c:pt>
                <c:pt idx="906">
                  <c:v>453.5</c:v>
                </c:pt>
                <c:pt idx="907">
                  <c:v>454</c:v>
                </c:pt>
                <c:pt idx="908">
                  <c:v>454.5</c:v>
                </c:pt>
                <c:pt idx="909">
                  <c:v>455</c:v>
                </c:pt>
                <c:pt idx="910">
                  <c:v>455.5</c:v>
                </c:pt>
                <c:pt idx="911">
                  <c:v>456</c:v>
                </c:pt>
                <c:pt idx="912">
                  <c:v>456.5</c:v>
                </c:pt>
                <c:pt idx="913">
                  <c:v>457</c:v>
                </c:pt>
                <c:pt idx="914">
                  <c:v>457.5</c:v>
                </c:pt>
                <c:pt idx="915">
                  <c:v>458</c:v>
                </c:pt>
                <c:pt idx="916">
                  <c:v>458.5</c:v>
                </c:pt>
                <c:pt idx="917">
                  <c:v>459</c:v>
                </c:pt>
                <c:pt idx="918">
                  <c:v>459.5</c:v>
                </c:pt>
                <c:pt idx="919">
                  <c:v>460</c:v>
                </c:pt>
                <c:pt idx="920">
                  <c:v>460.5</c:v>
                </c:pt>
                <c:pt idx="921">
                  <c:v>461</c:v>
                </c:pt>
                <c:pt idx="922">
                  <c:v>461.5</c:v>
                </c:pt>
                <c:pt idx="923">
                  <c:v>462</c:v>
                </c:pt>
                <c:pt idx="924">
                  <c:v>462.5</c:v>
                </c:pt>
                <c:pt idx="925">
                  <c:v>463</c:v>
                </c:pt>
                <c:pt idx="926">
                  <c:v>463.5</c:v>
                </c:pt>
                <c:pt idx="927">
                  <c:v>464</c:v>
                </c:pt>
                <c:pt idx="928">
                  <c:v>464.5</c:v>
                </c:pt>
                <c:pt idx="929">
                  <c:v>465</c:v>
                </c:pt>
                <c:pt idx="930">
                  <c:v>465.5</c:v>
                </c:pt>
                <c:pt idx="931">
                  <c:v>466</c:v>
                </c:pt>
                <c:pt idx="932">
                  <c:v>466.5</c:v>
                </c:pt>
                <c:pt idx="933">
                  <c:v>467</c:v>
                </c:pt>
                <c:pt idx="934">
                  <c:v>467.5</c:v>
                </c:pt>
                <c:pt idx="935">
                  <c:v>468</c:v>
                </c:pt>
                <c:pt idx="936">
                  <c:v>468.5</c:v>
                </c:pt>
                <c:pt idx="937">
                  <c:v>469</c:v>
                </c:pt>
                <c:pt idx="938">
                  <c:v>469.5</c:v>
                </c:pt>
                <c:pt idx="939">
                  <c:v>470</c:v>
                </c:pt>
                <c:pt idx="940">
                  <c:v>470.5</c:v>
                </c:pt>
                <c:pt idx="941">
                  <c:v>471</c:v>
                </c:pt>
                <c:pt idx="942">
                  <c:v>471.5</c:v>
                </c:pt>
                <c:pt idx="943">
                  <c:v>472</c:v>
                </c:pt>
                <c:pt idx="944">
                  <c:v>472.5</c:v>
                </c:pt>
                <c:pt idx="945">
                  <c:v>473</c:v>
                </c:pt>
                <c:pt idx="946">
                  <c:v>473.5</c:v>
                </c:pt>
                <c:pt idx="947">
                  <c:v>474</c:v>
                </c:pt>
                <c:pt idx="948">
                  <c:v>474.5</c:v>
                </c:pt>
                <c:pt idx="949">
                  <c:v>475</c:v>
                </c:pt>
                <c:pt idx="950">
                  <c:v>475.5</c:v>
                </c:pt>
                <c:pt idx="951">
                  <c:v>476</c:v>
                </c:pt>
                <c:pt idx="952">
                  <c:v>476.5</c:v>
                </c:pt>
                <c:pt idx="953">
                  <c:v>477</c:v>
                </c:pt>
                <c:pt idx="954">
                  <c:v>477.5</c:v>
                </c:pt>
                <c:pt idx="955">
                  <c:v>478</c:v>
                </c:pt>
                <c:pt idx="956">
                  <c:v>478.5</c:v>
                </c:pt>
                <c:pt idx="957">
                  <c:v>479</c:v>
                </c:pt>
                <c:pt idx="958">
                  <c:v>479.5</c:v>
                </c:pt>
                <c:pt idx="959">
                  <c:v>480</c:v>
                </c:pt>
                <c:pt idx="960">
                  <c:v>480.5</c:v>
                </c:pt>
                <c:pt idx="961">
                  <c:v>481</c:v>
                </c:pt>
                <c:pt idx="962">
                  <c:v>481.5</c:v>
                </c:pt>
                <c:pt idx="963">
                  <c:v>482</c:v>
                </c:pt>
                <c:pt idx="964">
                  <c:v>482.5</c:v>
                </c:pt>
                <c:pt idx="965">
                  <c:v>483</c:v>
                </c:pt>
                <c:pt idx="966">
                  <c:v>483.5</c:v>
                </c:pt>
                <c:pt idx="967">
                  <c:v>484</c:v>
                </c:pt>
                <c:pt idx="968">
                  <c:v>484.5</c:v>
                </c:pt>
                <c:pt idx="969">
                  <c:v>485</c:v>
                </c:pt>
                <c:pt idx="970">
                  <c:v>485.5</c:v>
                </c:pt>
                <c:pt idx="971">
                  <c:v>486</c:v>
                </c:pt>
                <c:pt idx="972">
                  <c:v>486.5</c:v>
                </c:pt>
                <c:pt idx="973">
                  <c:v>487</c:v>
                </c:pt>
                <c:pt idx="974">
                  <c:v>487.5</c:v>
                </c:pt>
                <c:pt idx="975">
                  <c:v>488</c:v>
                </c:pt>
                <c:pt idx="976">
                  <c:v>488.5</c:v>
                </c:pt>
                <c:pt idx="977">
                  <c:v>489</c:v>
                </c:pt>
                <c:pt idx="978">
                  <c:v>489.5</c:v>
                </c:pt>
                <c:pt idx="979">
                  <c:v>490</c:v>
                </c:pt>
                <c:pt idx="980">
                  <c:v>490.5</c:v>
                </c:pt>
                <c:pt idx="981">
                  <c:v>491</c:v>
                </c:pt>
                <c:pt idx="982">
                  <c:v>491.5</c:v>
                </c:pt>
                <c:pt idx="983">
                  <c:v>492</c:v>
                </c:pt>
                <c:pt idx="984">
                  <c:v>492.5</c:v>
                </c:pt>
                <c:pt idx="985">
                  <c:v>493</c:v>
                </c:pt>
                <c:pt idx="986">
                  <c:v>493.5</c:v>
                </c:pt>
                <c:pt idx="987">
                  <c:v>494</c:v>
                </c:pt>
                <c:pt idx="988">
                  <c:v>494.5</c:v>
                </c:pt>
                <c:pt idx="989">
                  <c:v>495</c:v>
                </c:pt>
                <c:pt idx="990">
                  <c:v>495.5</c:v>
                </c:pt>
                <c:pt idx="991">
                  <c:v>496</c:v>
                </c:pt>
                <c:pt idx="992">
                  <c:v>496.5</c:v>
                </c:pt>
                <c:pt idx="993">
                  <c:v>497</c:v>
                </c:pt>
                <c:pt idx="994">
                  <c:v>497.5</c:v>
                </c:pt>
                <c:pt idx="995">
                  <c:v>498</c:v>
                </c:pt>
                <c:pt idx="996">
                  <c:v>498.5</c:v>
                </c:pt>
                <c:pt idx="997">
                  <c:v>499</c:v>
                </c:pt>
                <c:pt idx="998">
                  <c:v>499.5</c:v>
                </c:pt>
                <c:pt idx="999">
                  <c:v>500</c:v>
                </c:pt>
                <c:pt idx="1000">
                  <c:v>500.5</c:v>
                </c:pt>
                <c:pt idx="1001">
                  <c:v>501</c:v>
                </c:pt>
                <c:pt idx="1002">
                  <c:v>501.5</c:v>
                </c:pt>
                <c:pt idx="1003">
                  <c:v>502</c:v>
                </c:pt>
                <c:pt idx="1004">
                  <c:v>502.5</c:v>
                </c:pt>
                <c:pt idx="1005">
                  <c:v>503</c:v>
                </c:pt>
                <c:pt idx="1006">
                  <c:v>503.5</c:v>
                </c:pt>
                <c:pt idx="1007">
                  <c:v>504</c:v>
                </c:pt>
                <c:pt idx="1008">
                  <c:v>504.5</c:v>
                </c:pt>
                <c:pt idx="1009">
                  <c:v>505</c:v>
                </c:pt>
                <c:pt idx="1010">
                  <c:v>505.5</c:v>
                </c:pt>
                <c:pt idx="1011">
                  <c:v>506</c:v>
                </c:pt>
                <c:pt idx="1012">
                  <c:v>506.5</c:v>
                </c:pt>
                <c:pt idx="1013">
                  <c:v>507</c:v>
                </c:pt>
                <c:pt idx="1014">
                  <c:v>507.5</c:v>
                </c:pt>
                <c:pt idx="1015">
                  <c:v>508</c:v>
                </c:pt>
                <c:pt idx="1016">
                  <c:v>508.5</c:v>
                </c:pt>
                <c:pt idx="1017">
                  <c:v>509</c:v>
                </c:pt>
                <c:pt idx="1018">
                  <c:v>509.5</c:v>
                </c:pt>
                <c:pt idx="1019">
                  <c:v>510</c:v>
                </c:pt>
                <c:pt idx="1020">
                  <c:v>510.5</c:v>
                </c:pt>
                <c:pt idx="1021">
                  <c:v>511</c:v>
                </c:pt>
                <c:pt idx="1022">
                  <c:v>511.5</c:v>
                </c:pt>
                <c:pt idx="1023">
                  <c:v>512</c:v>
                </c:pt>
                <c:pt idx="1024">
                  <c:v>512.5</c:v>
                </c:pt>
                <c:pt idx="1025">
                  <c:v>513</c:v>
                </c:pt>
                <c:pt idx="1026">
                  <c:v>513.5</c:v>
                </c:pt>
                <c:pt idx="1027">
                  <c:v>514</c:v>
                </c:pt>
                <c:pt idx="1028">
                  <c:v>514.5</c:v>
                </c:pt>
                <c:pt idx="1029">
                  <c:v>515</c:v>
                </c:pt>
                <c:pt idx="1030">
                  <c:v>515.5</c:v>
                </c:pt>
                <c:pt idx="1031">
                  <c:v>516</c:v>
                </c:pt>
                <c:pt idx="1032">
                  <c:v>516.5</c:v>
                </c:pt>
                <c:pt idx="1033">
                  <c:v>517</c:v>
                </c:pt>
                <c:pt idx="1034">
                  <c:v>517.5</c:v>
                </c:pt>
                <c:pt idx="1035">
                  <c:v>518</c:v>
                </c:pt>
                <c:pt idx="1036">
                  <c:v>518.5</c:v>
                </c:pt>
                <c:pt idx="1037">
                  <c:v>519</c:v>
                </c:pt>
                <c:pt idx="1038">
                  <c:v>519.5</c:v>
                </c:pt>
                <c:pt idx="1039">
                  <c:v>520</c:v>
                </c:pt>
                <c:pt idx="1040">
                  <c:v>520.5</c:v>
                </c:pt>
                <c:pt idx="1041">
                  <c:v>521</c:v>
                </c:pt>
                <c:pt idx="1042">
                  <c:v>521.5</c:v>
                </c:pt>
                <c:pt idx="1043">
                  <c:v>522</c:v>
                </c:pt>
                <c:pt idx="1044">
                  <c:v>522.5</c:v>
                </c:pt>
                <c:pt idx="1045">
                  <c:v>523</c:v>
                </c:pt>
                <c:pt idx="1046">
                  <c:v>523.5</c:v>
                </c:pt>
                <c:pt idx="1047">
                  <c:v>524</c:v>
                </c:pt>
                <c:pt idx="1048">
                  <c:v>524.5</c:v>
                </c:pt>
                <c:pt idx="1049">
                  <c:v>525</c:v>
                </c:pt>
                <c:pt idx="1050">
                  <c:v>525.5</c:v>
                </c:pt>
                <c:pt idx="1051">
                  <c:v>526</c:v>
                </c:pt>
                <c:pt idx="1052">
                  <c:v>526.5</c:v>
                </c:pt>
                <c:pt idx="1053">
                  <c:v>527</c:v>
                </c:pt>
                <c:pt idx="1054">
                  <c:v>527.5</c:v>
                </c:pt>
                <c:pt idx="1055">
                  <c:v>528</c:v>
                </c:pt>
                <c:pt idx="1056">
                  <c:v>528.5</c:v>
                </c:pt>
                <c:pt idx="1057">
                  <c:v>529</c:v>
                </c:pt>
                <c:pt idx="1058">
                  <c:v>529.5</c:v>
                </c:pt>
                <c:pt idx="1059">
                  <c:v>530</c:v>
                </c:pt>
                <c:pt idx="1060">
                  <c:v>530.5</c:v>
                </c:pt>
                <c:pt idx="1061">
                  <c:v>531</c:v>
                </c:pt>
                <c:pt idx="1062">
                  <c:v>531.5</c:v>
                </c:pt>
                <c:pt idx="1063">
                  <c:v>532</c:v>
                </c:pt>
                <c:pt idx="1064">
                  <c:v>532.5</c:v>
                </c:pt>
                <c:pt idx="1065">
                  <c:v>533</c:v>
                </c:pt>
                <c:pt idx="1066">
                  <c:v>533.5</c:v>
                </c:pt>
                <c:pt idx="1067">
                  <c:v>534</c:v>
                </c:pt>
                <c:pt idx="1068">
                  <c:v>534.5</c:v>
                </c:pt>
                <c:pt idx="1069">
                  <c:v>535</c:v>
                </c:pt>
                <c:pt idx="1070">
                  <c:v>535.5</c:v>
                </c:pt>
                <c:pt idx="1071">
                  <c:v>536</c:v>
                </c:pt>
                <c:pt idx="1072">
                  <c:v>536.5</c:v>
                </c:pt>
                <c:pt idx="1073">
                  <c:v>537</c:v>
                </c:pt>
                <c:pt idx="1074">
                  <c:v>537.5</c:v>
                </c:pt>
                <c:pt idx="1075">
                  <c:v>538</c:v>
                </c:pt>
                <c:pt idx="1076">
                  <c:v>538.5</c:v>
                </c:pt>
                <c:pt idx="1077">
                  <c:v>539</c:v>
                </c:pt>
                <c:pt idx="1078">
                  <c:v>539.5</c:v>
                </c:pt>
                <c:pt idx="1079">
                  <c:v>540</c:v>
                </c:pt>
                <c:pt idx="1080">
                  <c:v>540.5</c:v>
                </c:pt>
                <c:pt idx="1081">
                  <c:v>541</c:v>
                </c:pt>
                <c:pt idx="1082">
                  <c:v>541.5</c:v>
                </c:pt>
                <c:pt idx="1083">
                  <c:v>542</c:v>
                </c:pt>
                <c:pt idx="1084">
                  <c:v>542.5</c:v>
                </c:pt>
                <c:pt idx="1085">
                  <c:v>543</c:v>
                </c:pt>
                <c:pt idx="1086">
                  <c:v>543.5</c:v>
                </c:pt>
                <c:pt idx="1087">
                  <c:v>544</c:v>
                </c:pt>
                <c:pt idx="1088">
                  <c:v>544.5</c:v>
                </c:pt>
                <c:pt idx="1089">
                  <c:v>545</c:v>
                </c:pt>
                <c:pt idx="1090">
                  <c:v>545.5</c:v>
                </c:pt>
                <c:pt idx="1091">
                  <c:v>546</c:v>
                </c:pt>
                <c:pt idx="1092">
                  <c:v>546.5</c:v>
                </c:pt>
                <c:pt idx="1093">
                  <c:v>547</c:v>
                </c:pt>
                <c:pt idx="1094">
                  <c:v>547.5</c:v>
                </c:pt>
                <c:pt idx="1095">
                  <c:v>548</c:v>
                </c:pt>
                <c:pt idx="1096">
                  <c:v>548.5</c:v>
                </c:pt>
                <c:pt idx="1097">
                  <c:v>549</c:v>
                </c:pt>
                <c:pt idx="1098">
                  <c:v>549.5</c:v>
                </c:pt>
                <c:pt idx="1099">
                  <c:v>550</c:v>
                </c:pt>
                <c:pt idx="1100">
                  <c:v>550.5</c:v>
                </c:pt>
                <c:pt idx="1101">
                  <c:v>551</c:v>
                </c:pt>
                <c:pt idx="1102">
                  <c:v>551.5</c:v>
                </c:pt>
                <c:pt idx="1103">
                  <c:v>552</c:v>
                </c:pt>
                <c:pt idx="1104">
                  <c:v>552.5</c:v>
                </c:pt>
                <c:pt idx="1105">
                  <c:v>553</c:v>
                </c:pt>
                <c:pt idx="1106">
                  <c:v>553.5</c:v>
                </c:pt>
                <c:pt idx="1107">
                  <c:v>554</c:v>
                </c:pt>
                <c:pt idx="1108">
                  <c:v>554.5</c:v>
                </c:pt>
                <c:pt idx="1109">
                  <c:v>555</c:v>
                </c:pt>
                <c:pt idx="1110">
                  <c:v>555.5</c:v>
                </c:pt>
                <c:pt idx="1111">
                  <c:v>556</c:v>
                </c:pt>
                <c:pt idx="1112">
                  <c:v>556.5</c:v>
                </c:pt>
                <c:pt idx="1113">
                  <c:v>557</c:v>
                </c:pt>
                <c:pt idx="1114">
                  <c:v>557.5</c:v>
                </c:pt>
                <c:pt idx="1115">
                  <c:v>558</c:v>
                </c:pt>
                <c:pt idx="1116">
                  <c:v>558.5</c:v>
                </c:pt>
                <c:pt idx="1117">
                  <c:v>559</c:v>
                </c:pt>
                <c:pt idx="1118">
                  <c:v>559.5</c:v>
                </c:pt>
                <c:pt idx="1119">
                  <c:v>560</c:v>
                </c:pt>
                <c:pt idx="1120">
                  <c:v>560.5</c:v>
                </c:pt>
                <c:pt idx="1121">
                  <c:v>561</c:v>
                </c:pt>
                <c:pt idx="1122">
                  <c:v>561.5</c:v>
                </c:pt>
                <c:pt idx="1123">
                  <c:v>562</c:v>
                </c:pt>
                <c:pt idx="1124">
                  <c:v>562.5</c:v>
                </c:pt>
                <c:pt idx="1125">
                  <c:v>563</c:v>
                </c:pt>
                <c:pt idx="1126">
                  <c:v>563.5</c:v>
                </c:pt>
                <c:pt idx="1127">
                  <c:v>564</c:v>
                </c:pt>
                <c:pt idx="1128">
                  <c:v>564.5</c:v>
                </c:pt>
                <c:pt idx="1129">
                  <c:v>565</c:v>
                </c:pt>
                <c:pt idx="1130">
                  <c:v>565.5</c:v>
                </c:pt>
                <c:pt idx="1131">
                  <c:v>566</c:v>
                </c:pt>
                <c:pt idx="1132">
                  <c:v>566.5</c:v>
                </c:pt>
                <c:pt idx="1133">
                  <c:v>567</c:v>
                </c:pt>
                <c:pt idx="1134">
                  <c:v>567.5</c:v>
                </c:pt>
                <c:pt idx="1135">
                  <c:v>568</c:v>
                </c:pt>
                <c:pt idx="1136">
                  <c:v>568.5</c:v>
                </c:pt>
                <c:pt idx="1137">
                  <c:v>569</c:v>
                </c:pt>
                <c:pt idx="1138">
                  <c:v>569.5</c:v>
                </c:pt>
                <c:pt idx="1139">
                  <c:v>570</c:v>
                </c:pt>
                <c:pt idx="1140">
                  <c:v>570.5</c:v>
                </c:pt>
                <c:pt idx="1141">
                  <c:v>571</c:v>
                </c:pt>
                <c:pt idx="1142">
                  <c:v>571.5</c:v>
                </c:pt>
                <c:pt idx="1143">
                  <c:v>572</c:v>
                </c:pt>
                <c:pt idx="1144">
                  <c:v>572.5</c:v>
                </c:pt>
                <c:pt idx="1145">
                  <c:v>573</c:v>
                </c:pt>
                <c:pt idx="1146">
                  <c:v>573.5</c:v>
                </c:pt>
                <c:pt idx="1147">
                  <c:v>574</c:v>
                </c:pt>
                <c:pt idx="1148">
                  <c:v>574.5</c:v>
                </c:pt>
                <c:pt idx="1149">
                  <c:v>575</c:v>
                </c:pt>
                <c:pt idx="1150">
                  <c:v>575.5</c:v>
                </c:pt>
                <c:pt idx="1151">
                  <c:v>576</c:v>
                </c:pt>
                <c:pt idx="1152">
                  <c:v>576.5</c:v>
                </c:pt>
                <c:pt idx="1153">
                  <c:v>577</c:v>
                </c:pt>
                <c:pt idx="1154">
                  <c:v>577.5</c:v>
                </c:pt>
                <c:pt idx="1155">
                  <c:v>578</c:v>
                </c:pt>
                <c:pt idx="1156">
                  <c:v>578.5</c:v>
                </c:pt>
                <c:pt idx="1157">
                  <c:v>579</c:v>
                </c:pt>
                <c:pt idx="1158">
                  <c:v>579.5</c:v>
                </c:pt>
                <c:pt idx="1159">
                  <c:v>580</c:v>
                </c:pt>
                <c:pt idx="1160">
                  <c:v>580.5</c:v>
                </c:pt>
                <c:pt idx="1161">
                  <c:v>581</c:v>
                </c:pt>
                <c:pt idx="1162">
                  <c:v>581.5</c:v>
                </c:pt>
                <c:pt idx="1163">
                  <c:v>582</c:v>
                </c:pt>
                <c:pt idx="1164">
                  <c:v>582.5</c:v>
                </c:pt>
                <c:pt idx="1165">
                  <c:v>583</c:v>
                </c:pt>
                <c:pt idx="1166">
                  <c:v>583.5</c:v>
                </c:pt>
                <c:pt idx="1167">
                  <c:v>584</c:v>
                </c:pt>
                <c:pt idx="1168">
                  <c:v>584.5</c:v>
                </c:pt>
                <c:pt idx="1169">
                  <c:v>585</c:v>
                </c:pt>
                <c:pt idx="1170">
                  <c:v>585.5</c:v>
                </c:pt>
                <c:pt idx="1171">
                  <c:v>586</c:v>
                </c:pt>
                <c:pt idx="1172">
                  <c:v>586.5</c:v>
                </c:pt>
                <c:pt idx="1173">
                  <c:v>587</c:v>
                </c:pt>
                <c:pt idx="1174">
                  <c:v>587.5</c:v>
                </c:pt>
                <c:pt idx="1175">
                  <c:v>588</c:v>
                </c:pt>
                <c:pt idx="1176">
                  <c:v>588.5</c:v>
                </c:pt>
                <c:pt idx="1177">
                  <c:v>589</c:v>
                </c:pt>
                <c:pt idx="1178">
                  <c:v>589.5</c:v>
                </c:pt>
                <c:pt idx="1179">
                  <c:v>590</c:v>
                </c:pt>
                <c:pt idx="1180">
                  <c:v>590.5</c:v>
                </c:pt>
                <c:pt idx="1181">
                  <c:v>591</c:v>
                </c:pt>
                <c:pt idx="1182">
                  <c:v>591.5</c:v>
                </c:pt>
                <c:pt idx="1183">
                  <c:v>592</c:v>
                </c:pt>
                <c:pt idx="1184">
                  <c:v>592.5</c:v>
                </c:pt>
                <c:pt idx="1185">
                  <c:v>593</c:v>
                </c:pt>
                <c:pt idx="1186">
                  <c:v>593.5</c:v>
                </c:pt>
                <c:pt idx="1187">
                  <c:v>594</c:v>
                </c:pt>
                <c:pt idx="1188">
                  <c:v>594.5</c:v>
                </c:pt>
                <c:pt idx="1189">
                  <c:v>595</c:v>
                </c:pt>
                <c:pt idx="1190">
                  <c:v>595.5</c:v>
                </c:pt>
                <c:pt idx="1191">
                  <c:v>596</c:v>
                </c:pt>
                <c:pt idx="1192">
                  <c:v>596.5</c:v>
                </c:pt>
                <c:pt idx="1193">
                  <c:v>597</c:v>
                </c:pt>
                <c:pt idx="1194">
                  <c:v>597.5</c:v>
                </c:pt>
                <c:pt idx="1195">
                  <c:v>598</c:v>
                </c:pt>
                <c:pt idx="1196">
                  <c:v>598.5</c:v>
                </c:pt>
                <c:pt idx="1197">
                  <c:v>599</c:v>
                </c:pt>
                <c:pt idx="1198">
                  <c:v>599.5</c:v>
                </c:pt>
                <c:pt idx="1199">
                  <c:v>600</c:v>
                </c:pt>
                <c:pt idx="1200">
                  <c:v>600.5</c:v>
                </c:pt>
                <c:pt idx="1201">
                  <c:v>601</c:v>
                </c:pt>
                <c:pt idx="1202">
                  <c:v>601.5</c:v>
                </c:pt>
                <c:pt idx="1203">
                  <c:v>602</c:v>
                </c:pt>
                <c:pt idx="1204">
                  <c:v>602.5</c:v>
                </c:pt>
                <c:pt idx="1205">
                  <c:v>603</c:v>
                </c:pt>
                <c:pt idx="1206">
                  <c:v>603.5</c:v>
                </c:pt>
                <c:pt idx="1207">
                  <c:v>604</c:v>
                </c:pt>
                <c:pt idx="1208">
                  <c:v>604.5</c:v>
                </c:pt>
                <c:pt idx="1209">
                  <c:v>605</c:v>
                </c:pt>
                <c:pt idx="1210">
                  <c:v>605.5</c:v>
                </c:pt>
                <c:pt idx="1211">
                  <c:v>606</c:v>
                </c:pt>
                <c:pt idx="1212">
                  <c:v>606.5</c:v>
                </c:pt>
                <c:pt idx="1213">
                  <c:v>607</c:v>
                </c:pt>
                <c:pt idx="1214">
                  <c:v>607.5</c:v>
                </c:pt>
                <c:pt idx="1215">
                  <c:v>608</c:v>
                </c:pt>
                <c:pt idx="1216">
                  <c:v>608.5</c:v>
                </c:pt>
                <c:pt idx="1217">
                  <c:v>609</c:v>
                </c:pt>
                <c:pt idx="1218">
                  <c:v>609.5</c:v>
                </c:pt>
                <c:pt idx="1219">
                  <c:v>610</c:v>
                </c:pt>
                <c:pt idx="1220">
                  <c:v>610.5</c:v>
                </c:pt>
                <c:pt idx="1221">
                  <c:v>611</c:v>
                </c:pt>
                <c:pt idx="1222">
                  <c:v>611.5</c:v>
                </c:pt>
                <c:pt idx="1223">
                  <c:v>612</c:v>
                </c:pt>
                <c:pt idx="1224">
                  <c:v>612.5</c:v>
                </c:pt>
                <c:pt idx="1225">
                  <c:v>613</c:v>
                </c:pt>
                <c:pt idx="1226">
                  <c:v>613.5</c:v>
                </c:pt>
                <c:pt idx="1227">
                  <c:v>614</c:v>
                </c:pt>
                <c:pt idx="1228">
                  <c:v>614.5</c:v>
                </c:pt>
                <c:pt idx="1229">
                  <c:v>615</c:v>
                </c:pt>
                <c:pt idx="1230">
                  <c:v>615.5</c:v>
                </c:pt>
                <c:pt idx="1231">
                  <c:v>616</c:v>
                </c:pt>
                <c:pt idx="1232">
                  <c:v>616.5</c:v>
                </c:pt>
                <c:pt idx="1233">
                  <c:v>617</c:v>
                </c:pt>
                <c:pt idx="1234">
                  <c:v>617.5</c:v>
                </c:pt>
                <c:pt idx="1235">
                  <c:v>618</c:v>
                </c:pt>
                <c:pt idx="1236">
                  <c:v>618.5</c:v>
                </c:pt>
                <c:pt idx="1237">
                  <c:v>619</c:v>
                </c:pt>
                <c:pt idx="1238">
                  <c:v>619.5</c:v>
                </c:pt>
                <c:pt idx="1239">
                  <c:v>620</c:v>
                </c:pt>
                <c:pt idx="1240">
                  <c:v>620.5</c:v>
                </c:pt>
                <c:pt idx="1241">
                  <c:v>621</c:v>
                </c:pt>
                <c:pt idx="1242">
                  <c:v>621.5</c:v>
                </c:pt>
                <c:pt idx="1243">
                  <c:v>622</c:v>
                </c:pt>
                <c:pt idx="1244">
                  <c:v>622.5</c:v>
                </c:pt>
                <c:pt idx="1245">
                  <c:v>623</c:v>
                </c:pt>
                <c:pt idx="1246">
                  <c:v>623.5</c:v>
                </c:pt>
                <c:pt idx="1247">
                  <c:v>624</c:v>
                </c:pt>
                <c:pt idx="1248">
                  <c:v>624.5</c:v>
                </c:pt>
                <c:pt idx="1249">
                  <c:v>625</c:v>
                </c:pt>
                <c:pt idx="1250">
                  <c:v>625.5</c:v>
                </c:pt>
                <c:pt idx="1251">
                  <c:v>626</c:v>
                </c:pt>
                <c:pt idx="1252">
                  <c:v>626.5</c:v>
                </c:pt>
                <c:pt idx="1253">
                  <c:v>627</c:v>
                </c:pt>
                <c:pt idx="1254">
                  <c:v>627.5</c:v>
                </c:pt>
                <c:pt idx="1255">
                  <c:v>628</c:v>
                </c:pt>
                <c:pt idx="1256">
                  <c:v>628.5</c:v>
                </c:pt>
                <c:pt idx="1257">
                  <c:v>629</c:v>
                </c:pt>
                <c:pt idx="1258">
                  <c:v>629.5</c:v>
                </c:pt>
                <c:pt idx="1259">
                  <c:v>630</c:v>
                </c:pt>
                <c:pt idx="1260">
                  <c:v>630.5</c:v>
                </c:pt>
                <c:pt idx="1261">
                  <c:v>631</c:v>
                </c:pt>
                <c:pt idx="1262">
                  <c:v>631.5</c:v>
                </c:pt>
                <c:pt idx="1263">
                  <c:v>632</c:v>
                </c:pt>
                <c:pt idx="1264">
                  <c:v>632.5</c:v>
                </c:pt>
                <c:pt idx="1265">
                  <c:v>633</c:v>
                </c:pt>
                <c:pt idx="1266">
                  <c:v>633.5</c:v>
                </c:pt>
                <c:pt idx="1267">
                  <c:v>634</c:v>
                </c:pt>
                <c:pt idx="1268">
                  <c:v>634.5</c:v>
                </c:pt>
                <c:pt idx="1269">
                  <c:v>635</c:v>
                </c:pt>
                <c:pt idx="1270">
                  <c:v>635.5</c:v>
                </c:pt>
                <c:pt idx="1271">
                  <c:v>636</c:v>
                </c:pt>
                <c:pt idx="1272">
                  <c:v>636.5</c:v>
                </c:pt>
                <c:pt idx="1273">
                  <c:v>637</c:v>
                </c:pt>
                <c:pt idx="1274">
                  <c:v>637.5</c:v>
                </c:pt>
                <c:pt idx="1275">
                  <c:v>638</c:v>
                </c:pt>
                <c:pt idx="1276">
                  <c:v>638.5</c:v>
                </c:pt>
                <c:pt idx="1277">
                  <c:v>639</c:v>
                </c:pt>
                <c:pt idx="1278">
                  <c:v>639.5</c:v>
                </c:pt>
                <c:pt idx="1279">
                  <c:v>640</c:v>
                </c:pt>
                <c:pt idx="1280">
                  <c:v>640.5</c:v>
                </c:pt>
                <c:pt idx="1281">
                  <c:v>641</c:v>
                </c:pt>
                <c:pt idx="1282">
                  <c:v>641.5</c:v>
                </c:pt>
                <c:pt idx="1283">
                  <c:v>642</c:v>
                </c:pt>
                <c:pt idx="1284">
                  <c:v>642.5</c:v>
                </c:pt>
                <c:pt idx="1285">
                  <c:v>643</c:v>
                </c:pt>
                <c:pt idx="1286">
                  <c:v>643.5</c:v>
                </c:pt>
                <c:pt idx="1287">
                  <c:v>644</c:v>
                </c:pt>
                <c:pt idx="1288">
                  <c:v>644.5</c:v>
                </c:pt>
                <c:pt idx="1289">
                  <c:v>645</c:v>
                </c:pt>
                <c:pt idx="1290">
                  <c:v>645.5</c:v>
                </c:pt>
                <c:pt idx="1291">
                  <c:v>646</c:v>
                </c:pt>
                <c:pt idx="1292">
                  <c:v>646.5</c:v>
                </c:pt>
                <c:pt idx="1293">
                  <c:v>647</c:v>
                </c:pt>
                <c:pt idx="1294">
                  <c:v>647.5</c:v>
                </c:pt>
                <c:pt idx="1295">
                  <c:v>648</c:v>
                </c:pt>
                <c:pt idx="1296">
                  <c:v>648.5</c:v>
                </c:pt>
                <c:pt idx="1297">
                  <c:v>649</c:v>
                </c:pt>
                <c:pt idx="1298">
                  <c:v>649.5</c:v>
                </c:pt>
                <c:pt idx="1299">
                  <c:v>650</c:v>
                </c:pt>
                <c:pt idx="1300">
                  <c:v>650.5</c:v>
                </c:pt>
                <c:pt idx="1301">
                  <c:v>651</c:v>
                </c:pt>
                <c:pt idx="1302">
                  <c:v>651.5</c:v>
                </c:pt>
                <c:pt idx="1303">
                  <c:v>652</c:v>
                </c:pt>
                <c:pt idx="1304">
                  <c:v>652.5</c:v>
                </c:pt>
                <c:pt idx="1305">
                  <c:v>653</c:v>
                </c:pt>
                <c:pt idx="1306">
                  <c:v>653.5</c:v>
                </c:pt>
                <c:pt idx="1307">
                  <c:v>654</c:v>
                </c:pt>
                <c:pt idx="1308">
                  <c:v>654.5</c:v>
                </c:pt>
                <c:pt idx="1309">
                  <c:v>655</c:v>
                </c:pt>
                <c:pt idx="1310">
                  <c:v>655.5</c:v>
                </c:pt>
                <c:pt idx="1311">
                  <c:v>656</c:v>
                </c:pt>
                <c:pt idx="1312">
                  <c:v>656.5</c:v>
                </c:pt>
                <c:pt idx="1313">
                  <c:v>657</c:v>
                </c:pt>
                <c:pt idx="1314">
                  <c:v>657.5</c:v>
                </c:pt>
                <c:pt idx="1315">
                  <c:v>658</c:v>
                </c:pt>
                <c:pt idx="1316">
                  <c:v>658.5</c:v>
                </c:pt>
                <c:pt idx="1317">
                  <c:v>659</c:v>
                </c:pt>
                <c:pt idx="1318">
                  <c:v>659.5</c:v>
                </c:pt>
                <c:pt idx="1319">
                  <c:v>660</c:v>
                </c:pt>
                <c:pt idx="1320">
                  <c:v>660.5</c:v>
                </c:pt>
                <c:pt idx="1321">
                  <c:v>661</c:v>
                </c:pt>
                <c:pt idx="1322">
                  <c:v>661.5</c:v>
                </c:pt>
                <c:pt idx="1323">
                  <c:v>662</c:v>
                </c:pt>
                <c:pt idx="1324">
                  <c:v>662.5</c:v>
                </c:pt>
                <c:pt idx="1325">
                  <c:v>663</c:v>
                </c:pt>
                <c:pt idx="1326">
                  <c:v>663.5</c:v>
                </c:pt>
                <c:pt idx="1327">
                  <c:v>664</c:v>
                </c:pt>
                <c:pt idx="1328">
                  <c:v>664.5</c:v>
                </c:pt>
                <c:pt idx="1329">
                  <c:v>665</c:v>
                </c:pt>
                <c:pt idx="1330">
                  <c:v>665.5</c:v>
                </c:pt>
                <c:pt idx="1331">
                  <c:v>666</c:v>
                </c:pt>
                <c:pt idx="1332">
                  <c:v>666.5</c:v>
                </c:pt>
                <c:pt idx="1333">
                  <c:v>667</c:v>
                </c:pt>
                <c:pt idx="1334">
                  <c:v>667.5</c:v>
                </c:pt>
                <c:pt idx="1335">
                  <c:v>668</c:v>
                </c:pt>
                <c:pt idx="1336">
                  <c:v>668.5</c:v>
                </c:pt>
                <c:pt idx="1337">
                  <c:v>669</c:v>
                </c:pt>
                <c:pt idx="1338">
                  <c:v>669.5</c:v>
                </c:pt>
                <c:pt idx="1339">
                  <c:v>670</c:v>
                </c:pt>
                <c:pt idx="1340">
                  <c:v>670.5</c:v>
                </c:pt>
                <c:pt idx="1341">
                  <c:v>671</c:v>
                </c:pt>
                <c:pt idx="1342">
                  <c:v>671.5</c:v>
                </c:pt>
                <c:pt idx="1343">
                  <c:v>672</c:v>
                </c:pt>
                <c:pt idx="1344">
                  <c:v>672.5</c:v>
                </c:pt>
                <c:pt idx="1345">
                  <c:v>673</c:v>
                </c:pt>
                <c:pt idx="1346">
                  <c:v>673.5</c:v>
                </c:pt>
                <c:pt idx="1347">
                  <c:v>674</c:v>
                </c:pt>
                <c:pt idx="1348">
                  <c:v>674.5</c:v>
                </c:pt>
                <c:pt idx="1349">
                  <c:v>675</c:v>
                </c:pt>
                <c:pt idx="1350">
                  <c:v>675.5</c:v>
                </c:pt>
                <c:pt idx="1351">
                  <c:v>676</c:v>
                </c:pt>
                <c:pt idx="1352">
                  <c:v>676.5</c:v>
                </c:pt>
                <c:pt idx="1353">
                  <c:v>677</c:v>
                </c:pt>
                <c:pt idx="1354">
                  <c:v>677.5</c:v>
                </c:pt>
                <c:pt idx="1355">
                  <c:v>678</c:v>
                </c:pt>
                <c:pt idx="1356">
                  <c:v>678.5</c:v>
                </c:pt>
                <c:pt idx="1357">
                  <c:v>679</c:v>
                </c:pt>
                <c:pt idx="1358">
                  <c:v>679.5</c:v>
                </c:pt>
                <c:pt idx="1359">
                  <c:v>680</c:v>
                </c:pt>
                <c:pt idx="1360">
                  <c:v>680.5</c:v>
                </c:pt>
                <c:pt idx="1361">
                  <c:v>681</c:v>
                </c:pt>
                <c:pt idx="1362">
                  <c:v>681.5</c:v>
                </c:pt>
                <c:pt idx="1363">
                  <c:v>682</c:v>
                </c:pt>
                <c:pt idx="1364">
                  <c:v>682.5</c:v>
                </c:pt>
                <c:pt idx="1365">
                  <c:v>683</c:v>
                </c:pt>
                <c:pt idx="1366">
                  <c:v>683.5</c:v>
                </c:pt>
                <c:pt idx="1367">
                  <c:v>684</c:v>
                </c:pt>
                <c:pt idx="1368">
                  <c:v>684.5</c:v>
                </c:pt>
                <c:pt idx="1369">
                  <c:v>685</c:v>
                </c:pt>
                <c:pt idx="1370">
                  <c:v>685.5</c:v>
                </c:pt>
                <c:pt idx="1371">
                  <c:v>686</c:v>
                </c:pt>
                <c:pt idx="1372">
                  <c:v>686.5</c:v>
                </c:pt>
                <c:pt idx="1373">
                  <c:v>687</c:v>
                </c:pt>
                <c:pt idx="1374">
                  <c:v>687.5</c:v>
                </c:pt>
                <c:pt idx="1375">
                  <c:v>688</c:v>
                </c:pt>
                <c:pt idx="1376">
                  <c:v>688.5</c:v>
                </c:pt>
                <c:pt idx="1377">
                  <c:v>689</c:v>
                </c:pt>
                <c:pt idx="1378">
                  <c:v>689.5</c:v>
                </c:pt>
                <c:pt idx="1379">
                  <c:v>690</c:v>
                </c:pt>
              </c:numCache>
            </c:numRef>
          </c:cat>
          <c:val>
            <c:numRef>
              <c:f>'250C (Sif)'!$A$31:$A$1411</c:f>
              <c:numCache>
                <c:formatCode>0.00000</c:formatCode>
                <c:ptCount val="1381"/>
                <c:pt idx="0" formatCode="General">
                  <c:v>0</c:v>
                </c:pt>
                <c:pt idx="1">
                  <c:v>50.058999999999997</c:v>
                </c:pt>
                <c:pt idx="2">
                  <c:v>61.003</c:v>
                </c:pt>
                <c:pt idx="3">
                  <c:v>76.842089999999999</c:v>
                </c:pt>
                <c:pt idx="4">
                  <c:v>92.215519999999998</c:v>
                </c:pt>
                <c:pt idx="5">
                  <c:v>101.23123</c:v>
                </c:pt>
                <c:pt idx="6">
                  <c:v>106.1969</c:v>
                </c:pt>
                <c:pt idx="7">
                  <c:v>108.5945</c:v>
                </c:pt>
                <c:pt idx="8">
                  <c:v>109.40442</c:v>
                </c:pt>
                <c:pt idx="9">
                  <c:v>109.29124</c:v>
                </c:pt>
                <c:pt idx="10">
                  <c:v>108.69576000000001</c:v>
                </c:pt>
                <c:pt idx="11">
                  <c:v>107.91858999999999</c:v>
                </c:pt>
                <c:pt idx="12">
                  <c:v>107.11363</c:v>
                </c:pt>
                <c:pt idx="13">
                  <c:v>106.38679</c:v>
                </c:pt>
                <c:pt idx="14">
                  <c:v>105.77892</c:v>
                </c:pt>
                <c:pt idx="15">
                  <c:v>105.29522</c:v>
                </c:pt>
                <c:pt idx="16">
                  <c:v>104.93738</c:v>
                </c:pt>
                <c:pt idx="17">
                  <c:v>104.68351</c:v>
                </c:pt>
                <c:pt idx="18">
                  <c:v>104.51663000000001</c:v>
                </c:pt>
                <c:pt idx="19">
                  <c:v>104.43077</c:v>
                </c:pt>
                <c:pt idx="20">
                  <c:v>104.39082999999999</c:v>
                </c:pt>
                <c:pt idx="21">
                  <c:v>104.37988</c:v>
                </c:pt>
                <c:pt idx="22">
                  <c:v>104.40185</c:v>
                </c:pt>
                <c:pt idx="23">
                  <c:v>104.4289</c:v>
                </c:pt>
                <c:pt idx="24">
                  <c:v>104.47391</c:v>
                </c:pt>
                <c:pt idx="25">
                  <c:v>104.51788999999999</c:v>
                </c:pt>
                <c:pt idx="26">
                  <c:v>104.56495</c:v>
                </c:pt>
                <c:pt idx="27">
                  <c:v>104.59984</c:v>
                </c:pt>
                <c:pt idx="28">
                  <c:v>104.63889</c:v>
                </c:pt>
                <c:pt idx="29">
                  <c:v>104.67589</c:v>
                </c:pt>
                <c:pt idx="30">
                  <c:v>104.70586</c:v>
                </c:pt>
                <c:pt idx="31">
                  <c:v>104.7269</c:v>
                </c:pt>
                <c:pt idx="32">
                  <c:v>104.75185</c:v>
                </c:pt>
                <c:pt idx="33">
                  <c:v>104.77679999999999</c:v>
                </c:pt>
                <c:pt idx="34">
                  <c:v>104.79783</c:v>
                </c:pt>
                <c:pt idx="35">
                  <c:v>104.82088</c:v>
                </c:pt>
                <c:pt idx="36">
                  <c:v>104.83287</c:v>
                </c:pt>
                <c:pt idx="37">
                  <c:v>104.84491</c:v>
                </c:pt>
                <c:pt idx="38">
                  <c:v>104.85684000000001</c:v>
                </c:pt>
                <c:pt idx="39">
                  <c:v>104.85983</c:v>
                </c:pt>
                <c:pt idx="40">
                  <c:v>104.87485</c:v>
                </c:pt>
                <c:pt idx="41">
                  <c:v>104.88781</c:v>
                </c:pt>
                <c:pt idx="42">
                  <c:v>104.89483</c:v>
                </c:pt>
                <c:pt idx="43">
                  <c:v>104.89883</c:v>
                </c:pt>
                <c:pt idx="44">
                  <c:v>104.90482</c:v>
                </c:pt>
                <c:pt idx="45">
                  <c:v>104.91276999999999</c:v>
                </c:pt>
                <c:pt idx="46">
                  <c:v>104.91880999999999</c:v>
                </c:pt>
                <c:pt idx="47">
                  <c:v>104.92385</c:v>
                </c:pt>
                <c:pt idx="48">
                  <c:v>104.93487</c:v>
                </c:pt>
                <c:pt idx="49">
                  <c:v>104.94286</c:v>
                </c:pt>
                <c:pt idx="50">
                  <c:v>104.94184</c:v>
                </c:pt>
                <c:pt idx="51">
                  <c:v>104.94580999999999</c:v>
                </c:pt>
                <c:pt idx="52">
                  <c:v>104.95784999999999</c:v>
                </c:pt>
                <c:pt idx="53">
                  <c:v>104.9629</c:v>
                </c:pt>
                <c:pt idx="54">
                  <c:v>104.9679</c:v>
                </c:pt>
                <c:pt idx="55">
                  <c:v>104.9678</c:v>
                </c:pt>
                <c:pt idx="56">
                  <c:v>104.97187</c:v>
                </c:pt>
                <c:pt idx="57">
                  <c:v>104.96281999999999</c:v>
                </c:pt>
                <c:pt idx="58">
                  <c:v>104.97087999999999</c:v>
                </c:pt>
                <c:pt idx="59">
                  <c:v>104.96778</c:v>
                </c:pt>
                <c:pt idx="60">
                  <c:v>104.96575</c:v>
                </c:pt>
                <c:pt idx="61">
                  <c:v>104.96983</c:v>
                </c:pt>
                <c:pt idx="62">
                  <c:v>104.97389</c:v>
                </c:pt>
                <c:pt idx="63">
                  <c:v>104.97269</c:v>
                </c:pt>
                <c:pt idx="64">
                  <c:v>105.72911000000001</c:v>
                </c:pt>
                <c:pt idx="65">
                  <c:v>107.29559999999999</c:v>
                </c:pt>
                <c:pt idx="66">
                  <c:v>109.38621999999999</c:v>
                </c:pt>
                <c:pt idx="67">
                  <c:v>111.82731</c:v>
                </c:pt>
                <c:pt idx="68">
                  <c:v>114.47219</c:v>
                </c:pt>
                <c:pt idx="69">
                  <c:v>117.22238</c:v>
                </c:pt>
                <c:pt idx="70">
                  <c:v>119.99168</c:v>
                </c:pt>
                <c:pt idx="71">
                  <c:v>122.73368000000001</c:v>
                </c:pt>
                <c:pt idx="72">
                  <c:v>125.44934000000001</c:v>
                </c:pt>
                <c:pt idx="73">
                  <c:v>128.15612999999999</c:v>
                </c:pt>
                <c:pt idx="74">
                  <c:v>130.8288</c:v>
                </c:pt>
                <c:pt idx="75">
                  <c:v>133.45477</c:v>
                </c:pt>
                <c:pt idx="76">
                  <c:v>136.02744000000001</c:v>
                </c:pt>
                <c:pt idx="77">
                  <c:v>138.60924</c:v>
                </c:pt>
                <c:pt idx="78">
                  <c:v>141.18407999999999</c:v>
                </c:pt>
                <c:pt idx="79">
                  <c:v>143.70769000000001</c:v>
                </c:pt>
                <c:pt idx="80">
                  <c:v>146.23885000000001</c:v>
                </c:pt>
                <c:pt idx="81">
                  <c:v>148.79103000000001</c:v>
                </c:pt>
                <c:pt idx="82">
                  <c:v>151.31269</c:v>
                </c:pt>
                <c:pt idx="83">
                  <c:v>153.82973999999999</c:v>
                </c:pt>
                <c:pt idx="84">
                  <c:v>156.37944999999999</c:v>
                </c:pt>
                <c:pt idx="85">
                  <c:v>158.88289</c:v>
                </c:pt>
                <c:pt idx="86">
                  <c:v>161.40195</c:v>
                </c:pt>
                <c:pt idx="87">
                  <c:v>163.92552000000001</c:v>
                </c:pt>
                <c:pt idx="88">
                  <c:v>166.43020000000001</c:v>
                </c:pt>
                <c:pt idx="89">
                  <c:v>168.95438999999999</c:v>
                </c:pt>
                <c:pt idx="90">
                  <c:v>171.45429999999999</c:v>
                </c:pt>
                <c:pt idx="91">
                  <c:v>173.96221</c:v>
                </c:pt>
                <c:pt idx="92">
                  <c:v>176.4632</c:v>
                </c:pt>
                <c:pt idx="93">
                  <c:v>178.97116</c:v>
                </c:pt>
                <c:pt idx="94">
                  <c:v>181.47602000000001</c:v>
                </c:pt>
                <c:pt idx="95">
                  <c:v>183.97326000000001</c:v>
                </c:pt>
                <c:pt idx="96">
                  <c:v>186.47676999999999</c:v>
                </c:pt>
                <c:pt idx="97">
                  <c:v>188.97693000000001</c:v>
                </c:pt>
                <c:pt idx="98">
                  <c:v>191.47549000000001</c:v>
                </c:pt>
                <c:pt idx="99">
                  <c:v>193.97664</c:v>
                </c:pt>
                <c:pt idx="100">
                  <c:v>196.48740000000001</c:v>
                </c:pt>
                <c:pt idx="101">
                  <c:v>198.99184</c:v>
                </c:pt>
                <c:pt idx="102">
                  <c:v>201.49064999999999</c:v>
                </c:pt>
                <c:pt idx="103">
                  <c:v>203.99299999999999</c:v>
                </c:pt>
                <c:pt idx="104">
                  <c:v>206.4932</c:v>
                </c:pt>
                <c:pt idx="105">
                  <c:v>208.99109000000001</c:v>
                </c:pt>
                <c:pt idx="106">
                  <c:v>211.48213000000001</c:v>
                </c:pt>
                <c:pt idx="107">
                  <c:v>213.98736</c:v>
                </c:pt>
                <c:pt idx="108">
                  <c:v>216.49122</c:v>
                </c:pt>
                <c:pt idx="109">
                  <c:v>218.99312</c:v>
                </c:pt>
                <c:pt idx="110">
                  <c:v>221.49809999999999</c:v>
                </c:pt>
                <c:pt idx="111">
                  <c:v>224.00014999999999</c:v>
                </c:pt>
                <c:pt idx="112">
                  <c:v>226.50030000000001</c:v>
                </c:pt>
                <c:pt idx="113">
                  <c:v>229.00400999999999</c:v>
                </c:pt>
                <c:pt idx="114">
                  <c:v>231.50746000000001</c:v>
                </c:pt>
                <c:pt idx="115">
                  <c:v>234.01558</c:v>
                </c:pt>
                <c:pt idx="116">
                  <c:v>236.524</c:v>
                </c:pt>
                <c:pt idx="117">
                  <c:v>239.02714</c:v>
                </c:pt>
                <c:pt idx="118">
                  <c:v>241.53109000000001</c:v>
                </c:pt>
                <c:pt idx="119">
                  <c:v>244.03325000000001</c:v>
                </c:pt>
                <c:pt idx="120">
                  <c:v>246.53627</c:v>
                </c:pt>
                <c:pt idx="121">
                  <c:v>249.03832</c:v>
                </c:pt>
                <c:pt idx="122">
                  <c:v>250.80771999999999</c:v>
                </c:pt>
                <c:pt idx="123">
                  <c:v>251.37333000000001</c:v>
                </c:pt>
                <c:pt idx="124">
                  <c:v>251.36276000000001</c:v>
                </c:pt>
                <c:pt idx="125">
                  <c:v>251.13553999999999</c:v>
                </c:pt>
                <c:pt idx="126">
                  <c:v>250.84952999999999</c:v>
                </c:pt>
                <c:pt idx="127">
                  <c:v>250.57759999999999</c:v>
                </c:pt>
                <c:pt idx="128">
                  <c:v>250.35463999999999</c:v>
                </c:pt>
                <c:pt idx="129">
                  <c:v>250.17876000000001</c:v>
                </c:pt>
                <c:pt idx="130">
                  <c:v>250.05483000000001</c:v>
                </c:pt>
                <c:pt idx="131">
                  <c:v>249.9699</c:v>
                </c:pt>
                <c:pt idx="132">
                  <c:v>249.92894999999999</c:v>
                </c:pt>
                <c:pt idx="133">
                  <c:v>249.89394999999999</c:v>
                </c:pt>
                <c:pt idx="134">
                  <c:v>249.87899999999999</c:v>
                </c:pt>
                <c:pt idx="135">
                  <c:v>249.86698000000001</c:v>
                </c:pt>
                <c:pt idx="136">
                  <c:v>249.86801</c:v>
                </c:pt>
                <c:pt idx="137">
                  <c:v>249.87503000000001</c:v>
                </c:pt>
                <c:pt idx="138">
                  <c:v>249.88094000000001</c:v>
                </c:pt>
                <c:pt idx="139">
                  <c:v>249.89897999999999</c:v>
                </c:pt>
                <c:pt idx="140">
                  <c:v>249.90705</c:v>
                </c:pt>
                <c:pt idx="141">
                  <c:v>249.91702000000001</c:v>
                </c:pt>
                <c:pt idx="142">
                  <c:v>249.91603000000001</c:v>
                </c:pt>
                <c:pt idx="143">
                  <c:v>249.92301</c:v>
                </c:pt>
                <c:pt idx="144">
                  <c:v>249.93299999999999</c:v>
                </c:pt>
                <c:pt idx="145">
                  <c:v>249.94300000000001</c:v>
                </c:pt>
                <c:pt idx="146">
                  <c:v>249.94705999999999</c:v>
                </c:pt>
                <c:pt idx="147">
                  <c:v>249.95101</c:v>
                </c:pt>
                <c:pt idx="148">
                  <c:v>249.95793</c:v>
                </c:pt>
                <c:pt idx="149">
                  <c:v>249.96600000000001</c:v>
                </c:pt>
                <c:pt idx="150">
                  <c:v>249.96999</c:v>
                </c:pt>
                <c:pt idx="151">
                  <c:v>249.97300999999999</c:v>
                </c:pt>
                <c:pt idx="152">
                  <c:v>249.97998999999999</c:v>
                </c:pt>
                <c:pt idx="153">
                  <c:v>249.96997999999999</c:v>
                </c:pt>
                <c:pt idx="154">
                  <c:v>249.97399999999999</c:v>
                </c:pt>
                <c:pt idx="155">
                  <c:v>249.97300000000001</c:v>
                </c:pt>
                <c:pt idx="156">
                  <c:v>249.97902999999999</c:v>
                </c:pt>
                <c:pt idx="157">
                  <c:v>249.98303000000001</c:v>
                </c:pt>
                <c:pt idx="158">
                  <c:v>249.98201</c:v>
                </c:pt>
                <c:pt idx="159">
                  <c:v>249.98602</c:v>
                </c:pt>
                <c:pt idx="160">
                  <c:v>249.98899</c:v>
                </c:pt>
                <c:pt idx="161">
                  <c:v>249.98801</c:v>
                </c:pt>
                <c:pt idx="162">
                  <c:v>249.989</c:v>
                </c:pt>
                <c:pt idx="163">
                  <c:v>249.98898</c:v>
                </c:pt>
                <c:pt idx="164">
                  <c:v>249.98199</c:v>
                </c:pt>
                <c:pt idx="165">
                  <c:v>249.99002999999999</c:v>
                </c:pt>
                <c:pt idx="166">
                  <c:v>249.98999000000001</c:v>
                </c:pt>
                <c:pt idx="167">
                  <c:v>249.99304000000001</c:v>
                </c:pt>
                <c:pt idx="168">
                  <c:v>249.995</c:v>
                </c:pt>
                <c:pt idx="169">
                  <c:v>249.99995999999999</c:v>
                </c:pt>
                <c:pt idx="170">
                  <c:v>249.99700999999999</c:v>
                </c:pt>
                <c:pt idx="171">
                  <c:v>250.00004999999999</c:v>
                </c:pt>
                <c:pt idx="172">
                  <c:v>250.00299999999999</c:v>
                </c:pt>
                <c:pt idx="173">
                  <c:v>250.00001</c:v>
                </c:pt>
                <c:pt idx="174">
                  <c:v>249.99902</c:v>
                </c:pt>
                <c:pt idx="175">
                  <c:v>249.99901</c:v>
                </c:pt>
                <c:pt idx="176">
                  <c:v>250.00301999999999</c:v>
                </c:pt>
                <c:pt idx="177">
                  <c:v>250.00595000000001</c:v>
                </c:pt>
                <c:pt idx="178">
                  <c:v>250.00102999999999</c:v>
                </c:pt>
                <c:pt idx="179">
                  <c:v>250.00198</c:v>
                </c:pt>
                <c:pt idx="180">
                  <c:v>250.00201000000001</c:v>
                </c:pt>
                <c:pt idx="181">
                  <c:v>250.00303</c:v>
                </c:pt>
                <c:pt idx="182">
                  <c:v>250.27969999999999</c:v>
                </c:pt>
                <c:pt idx="183">
                  <c:v>250.52506</c:v>
                </c:pt>
                <c:pt idx="184">
                  <c:v>250.48582999999999</c:v>
                </c:pt>
                <c:pt idx="185">
                  <c:v>250.35082</c:v>
                </c:pt>
                <c:pt idx="186">
                  <c:v>250.21381</c:v>
                </c:pt>
                <c:pt idx="187">
                  <c:v>250.10078999999999</c:v>
                </c:pt>
                <c:pt idx="188">
                  <c:v>250.01891000000001</c:v>
                </c:pt>
                <c:pt idx="189">
                  <c:v>249.96587</c:v>
                </c:pt>
                <c:pt idx="190">
                  <c:v>249.94198</c:v>
                </c:pt>
                <c:pt idx="191">
                  <c:v>249.93098000000001</c:v>
                </c:pt>
                <c:pt idx="192">
                  <c:v>249.92099999999999</c:v>
                </c:pt>
                <c:pt idx="193">
                  <c:v>249.92001999999999</c:v>
                </c:pt>
                <c:pt idx="194">
                  <c:v>249.93305000000001</c:v>
                </c:pt>
                <c:pt idx="195">
                  <c:v>249.93805</c:v>
                </c:pt>
                <c:pt idx="196">
                  <c:v>249.94702000000001</c:v>
                </c:pt>
                <c:pt idx="197">
                  <c:v>249.95301000000001</c:v>
                </c:pt>
                <c:pt idx="198">
                  <c:v>249.95797999999999</c:v>
                </c:pt>
                <c:pt idx="199">
                  <c:v>249.964</c:v>
                </c:pt>
                <c:pt idx="200">
                  <c:v>249.96902</c:v>
                </c:pt>
                <c:pt idx="201">
                  <c:v>249.97202999999999</c:v>
                </c:pt>
                <c:pt idx="202">
                  <c:v>249.97400999999999</c:v>
                </c:pt>
                <c:pt idx="203">
                  <c:v>249.98004</c:v>
                </c:pt>
                <c:pt idx="204">
                  <c:v>249.98193000000001</c:v>
                </c:pt>
                <c:pt idx="205">
                  <c:v>249.98602</c:v>
                </c:pt>
                <c:pt idx="206">
                  <c:v>249.98502999999999</c:v>
                </c:pt>
                <c:pt idx="207">
                  <c:v>249.98804000000001</c:v>
                </c:pt>
                <c:pt idx="208">
                  <c:v>249.98795999999999</c:v>
                </c:pt>
                <c:pt idx="209">
                  <c:v>249.99301</c:v>
                </c:pt>
                <c:pt idx="210">
                  <c:v>249.98902000000001</c:v>
                </c:pt>
                <c:pt idx="211">
                  <c:v>249.99498</c:v>
                </c:pt>
                <c:pt idx="212">
                  <c:v>249.99297999999999</c:v>
                </c:pt>
                <c:pt idx="213">
                  <c:v>249.99799999999999</c:v>
                </c:pt>
                <c:pt idx="214">
                  <c:v>249.99699000000001</c:v>
                </c:pt>
                <c:pt idx="215">
                  <c:v>249.99401</c:v>
                </c:pt>
                <c:pt idx="216">
                  <c:v>249.98895999999999</c:v>
                </c:pt>
                <c:pt idx="217">
                  <c:v>249.99100999999999</c:v>
                </c:pt>
                <c:pt idx="218">
                  <c:v>249.99200999999999</c:v>
                </c:pt>
                <c:pt idx="219">
                  <c:v>249.99799999999999</c:v>
                </c:pt>
                <c:pt idx="220">
                  <c:v>249.99804</c:v>
                </c:pt>
                <c:pt idx="221">
                  <c:v>249.99399</c:v>
                </c:pt>
                <c:pt idx="222">
                  <c:v>249.99203</c:v>
                </c:pt>
                <c:pt idx="223">
                  <c:v>249.99703</c:v>
                </c:pt>
                <c:pt idx="224">
                  <c:v>249.99508</c:v>
                </c:pt>
                <c:pt idx="225">
                  <c:v>249.99898999999999</c:v>
                </c:pt>
                <c:pt idx="226">
                  <c:v>249.994</c:v>
                </c:pt>
                <c:pt idx="227">
                  <c:v>249.99701999999999</c:v>
                </c:pt>
                <c:pt idx="228">
                  <c:v>249.99599000000001</c:v>
                </c:pt>
                <c:pt idx="229">
                  <c:v>249.99601999999999</c:v>
                </c:pt>
                <c:pt idx="230">
                  <c:v>249.994</c:v>
                </c:pt>
                <c:pt idx="231">
                  <c:v>249.99600000000001</c:v>
                </c:pt>
                <c:pt idx="232">
                  <c:v>249.99700000000001</c:v>
                </c:pt>
                <c:pt idx="233">
                  <c:v>249.999</c:v>
                </c:pt>
                <c:pt idx="234">
                  <c:v>250.005</c:v>
                </c:pt>
                <c:pt idx="235">
                  <c:v>250.00399999999999</c:v>
                </c:pt>
                <c:pt idx="236">
                  <c:v>249.99999</c:v>
                </c:pt>
                <c:pt idx="237">
                  <c:v>250.00303</c:v>
                </c:pt>
                <c:pt idx="238">
                  <c:v>250.00393</c:v>
                </c:pt>
                <c:pt idx="239">
                  <c:v>250.00397000000001</c:v>
                </c:pt>
                <c:pt idx="240">
                  <c:v>249.99795</c:v>
                </c:pt>
                <c:pt idx="241">
                  <c:v>250.00299999999999</c:v>
                </c:pt>
                <c:pt idx="242">
                  <c:v>250.00202999999999</c:v>
                </c:pt>
                <c:pt idx="243">
                  <c:v>249.99999</c:v>
                </c:pt>
                <c:pt idx="244">
                  <c:v>250.00003000000001</c:v>
                </c:pt>
                <c:pt idx="245">
                  <c:v>250.00299000000001</c:v>
                </c:pt>
                <c:pt idx="246">
                  <c:v>250.00595000000001</c:v>
                </c:pt>
                <c:pt idx="247">
                  <c:v>250.005</c:v>
                </c:pt>
                <c:pt idx="248">
                  <c:v>250.00597999999999</c:v>
                </c:pt>
                <c:pt idx="249">
                  <c:v>250.00102000000001</c:v>
                </c:pt>
                <c:pt idx="250">
                  <c:v>249.99898999999999</c:v>
                </c:pt>
                <c:pt idx="251">
                  <c:v>250.00196</c:v>
                </c:pt>
                <c:pt idx="252">
                  <c:v>250.00199000000001</c:v>
                </c:pt>
                <c:pt idx="253">
                  <c:v>250.00596999999999</c:v>
                </c:pt>
                <c:pt idx="254">
                  <c:v>249.99901</c:v>
                </c:pt>
                <c:pt idx="255">
                  <c:v>249.99798000000001</c:v>
                </c:pt>
                <c:pt idx="256">
                  <c:v>250.00299999999999</c:v>
                </c:pt>
                <c:pt idx="257">
                  <c:v>250.00301999999999</c:v>
                </c:pt>
                <c:pt idx="258">
                  <c:v>249.99800999999999</c:v>
                </c:pt>
                <c:pt idx="259">
                  <c:v>249.99601000000001</c:v>
                </c:pt>
                <c:pt idx="260">
                  <c:v>249.99700999999999</c:v>
                </c:pt>
                <c:pt idx="261">
                  <c:v>249.99897999999999</c:v>
                </c:pt>
                <c:pt idx="262">
                  <c:v>250.00498999999999</c:v>
                </c:pt>
                <c:pt idx="263">
                  <c:v>250.00301999999999</c:v>
                </c:pt>
                <c:pt idx="264">
                  <c:v>249.99796000000001</c:v>
                </c:pt>
                <c:pt idx="265">
                  <c:v>249.99600000000001</c:v>
                </c:pt>
                <c:pt idx="266">
                  <c:v>249.99794</c:v>
                </c:pt>
                <c:pt idx="267">
                  <c:v>250.00507999999999</c:v>
                </c:pt>
                <c:pt idx="268">
                  <c:v>250.00199000000001</c:v>
                </c:pt>
                <c:pt idx="269">
                  <c:v>250</c:v>
                </c:pt>
                <c:pt idx="270">
                  <c:v>249.99802</c:v>
                </c:pt>
                <c:pt idx="271">
                  <c:v>249.99597</c:v>
                </c:pt>
                <c:pt idx="272">
                  <c:v>249.99701999999999</c:v>
                </c:pt>
                <c:pt idx="273">
                  <c:v>250.00299000000001</c:v>
                </c:pt>
                <c:pt idx="274">
                  <c:v>250.00699</c:v>
                </c:pt>
                <c:pt idx="275">
                  <c:v>250.00099</c:v>
                </c:pt>
                <c:pt idx="276">
                  <c:v>250.00601</c:v>
                </c:pt>
                <c:pt idx="277">
                  <c:v>250.00102999999999</c:v>
                </c:pt>
                <c:pt idx="278">
                  <c:v>250.00299999999999</c:v>
                </c:pt>
                <c:pt idx="279">
                  <c:v>250.00109</c:v>
                </c:pt>
                <c:pt idx="280">
                  <c:v>250.00296</c:v>
                </c:pt>
                <c:pt idx="281">
                  <c:v>249.99997999999999</c:v>
                </c:pt>
                <c:pt idx="282">
                  <c:v>250.00001</c:v>
                </c:pt>
                <c:pt idx="283">
                  <c:v>250.00201999999999</c:v>
                </c:pt>
                <c:pt idx="284">
                  <c:v>250.00504000000001</c:v>
                </c:pt>
                <c:pt idx="285">
                  <c:v>250.00300999999999</c:v>
                </c:pt>
                <c:pt idx="286">
                  <c:v>250.00306</c:v>
                </c:pt>
                <c:pt idx="287">
                  <c:v>250.00702999999999</c:v>
                </c:pt>
                <c:pt idx="288">
                  <c:v>250.00403</c:v>
                </c:pt>
                <c:pt idx="289">
                  <c:v>249.99999</c:v>
                </c:pt>
                <c:pt idx="290">
                  <c:v>250.00502</c:v>
                </c:pt>
                <c:pt idx="291">
                  <c:v>249.99800999999999</c:v>
                </c:pt>
                <c:pt idx="292">
                  <c:v>249.99901</c:v>
                </c:pt>
                <c:pt idx="293">
                  <c:v>249.99996999999999</c:v>
                </c:pt>
                <c:pt idx="294">
                  <c:v>249.99895000000001</c:v>
                </c:pt>
                <c:pt idx="295">
                  <c:v>250.00101000000001</c:v>
                </c:pt>
                <c:pt idx="296">
                  <c:v>250.00101000000001</c:v>
                </c:pt>
                <c:pt idx="297">
                  <c:v>249.999</c:v>
                </c:pt>
                <c:pt idx="298">
                  <c:v>249.99798000000001</c:v>
                </c:pt>
                <c:pt idx="299">
                  <c:v>250.00498999999999</c:v>
                </c:pt>
                <c:pt idx="300">
                  <c:v>250.00200000000001</c:v>
                </c:pt>
                <c:pt idx="301">
                  <c:v>250.00402</c:v>
                </c:pt>
                <c:pt idx="302">
                  <c:v>250.00001</c:v>
                </c:pt>
                <c:pt idx="303">
                  <c:v>250.00502</c:v>
                </c:pt>
                <c:pt idx="304">
                  <c:v>250.00297</c:v>
                </c:pt>
                <c:pt idx="305">
                  <c:v>250.00597999999999</c:v>
                </c:pt>
                <c:pt idx="306">
                  <c:v>250.00799000000001</c:v>
                </c:pt>
                <c:pt idx="307">
                  <c:v>250.00998999999999</c:v>
                </c:pt>
                <c:pt idx="308">
                  <c:v>250.00307000000001</c:v>
                </c:pt>
                <c:pt idx="309">
                  <c:v>250.01000999999999</c:v>
                </c:pt>
                <c:pt idx="310">
                  <c:v>250.00703999999999</c:v>
                </c:pt>
                <c:pt idx="311">
                  <c:v>250.00497999999999</c:v>
                </c:pt>
                <c:pt idx="312">
                  <c:v>250.00698</c:v>
                </c:pt>
                <c:pt idx="313">
                  <c:v>250.00503</c:v>
                </c:pt>
                <c:pt idx="314">
                  <c:v>250.00599</c:v>
                </c:pt>
                <c:pt idx="315">
                  <c:v>250.00300999999999</c:v>
                </c:pt>
                <c:pt idx="316">
                  <c:v>249.99996999999999</c:v>
                </c:pt>
                <c:pt idx="317">
                  <c:v>250.00299999999999</c:v>
                </c:pt>
                <c:pt idx="318">
                  <c:v>250.00200000000001</c:v>
                </c:pt>
                <c:pt idx="319">
                  <c:v>250.00503</c:v>
                </c:pt>
                <c:pt idx="320">
                  <c:v>250.00802999999999</c:v>
                </c:pt>
                <c:pt idx="321">
                  <c:v>250.00299000000001</c:v>
                </c:pt>
                <c:pt idx="322">
                  <c:v>250.00501</c:v>
                </c:pt>
                <c:pt idx="323">
                  <c:v>250.00506999999999</c:v>
                </c:pt>
                <c:pt idx="324">
                  <c:v>250.00301999999999</c:v>
                </c:pt>
                <c:pt idx="325">
                  <c:v>250.00200000000001</c:v>
                </c:pt>
                <c:pt idx="326">
                  <c:v>250.00307000000001</c:v>
                </c:pt>
                <c:pt idx="327">
                  <c:v>250.00201999999999</c:v>
                </c:pt>
                <c:pt idx="328">
                  <c:v>250.00497999999999</c:v>
                </c:pt>
                <c:pt idx="329">
                  <c:v>250.00299999999999</c:v>
                </c:pt>
                <c:pt idx="330">
                  <c:v>249.99497</c:v>
                </c:pt>
                <c:pt idx="331">
                  <c:v>249.99902</c:v>
                </c:pt>
                <c:pt idx="332">
                  <c:v>250.00304</c:v>
                </c:pt>
                <c:pt idx="333">
                  <c:v>250.00599</c:v>
                </c:pt>
                <c:pt idx="334">
                  <c:v>249.99903</c:v>
                </c:pt>
                <c:pt idx="335">
                  <c:v>250.00502</c:v>
                </c:pt>
                <c:pt idx="336">
                  <c:v>250.00298000000001</c:v>
                </c:pt>
                <c:pt idx="337">
                  <c:v>250.00398999999999</c:v>
                </c:pt>
                <c:pt idx="338">
                  <c:v>250.00700000000001</c:v>
                </c:pt>
                <c:pt idx="339">
                  <c:v>250.00202999999999</c:v>
                </c:pt>
                <c:pt idx="340">
                  <c:v>250.00398999999999</c:v>
                </c:pt>
                <c:pt idx="341">
                  <c:v>249.99803</c:v>
                </c:pt>
                <c:pt idx="342">
                  <c:v>250.00602000000001</c:v>
                </c:pt>
                <c:pt idx="343">
                  <c:v>250.005</c:v>
                </c:pt>
                <c:pt idx="344">
                  <c:v>250.00404</c:v>
                </c:pt>
                <c:pt idx="345">
                  <c:v>250.00601</c:v>
                </c:pt>
                <c:pt idx="346">
                  <c:v>250.00103999999999</c:v>
                </c:pt>
                <c:pt idx="347">
                  <c:v>250.00701000000001</c:v>
                </c:pt>
                <c:pt idx="348">
                  <c:v>250.00796</c:v>
                </c:pt>
                <c:pt idx="349">
                  <c:v>249.999</c:v>
                </c:pt>
                <c:pt idx="350">
                  <c:v>249.995</c:v>
                </c:pt>
                <c:pt idx="351">
                  <c:v>249.99797000000001</c:v>
                </c:pt>
                <c:pt idx="352">
                  <c:v>250.00303</c:v>
                </c:pt>
                <c:pt idx="353">
                  <c:v>250.00301999999999</c:v>
                </c:pt>
                <c:pt idx="354">
                  <c:v>250.00300999999999</c:v>
                </c:pt>
                <c:pt idx="355">
                  <c:v>250.00599</c:v>
                </c:pt>
                <c:pt idx="356">
                  <c:v>250.00694999999999</c:v>
                </c:pt>
                <c:pt idx="357">
                  <c:v>250.00998000000001</c:v>
                </c:pt>
                <c:pt idx="358">
                  <c:v>250.00693999999999</c:v>
                </c:pt>
                <c:pt idx="359">
                  <c:v>250.00393</c:v>
                </c:pt>
                <c:pt idx="360">
                  <c:v>250.00699</c:v>
                </c:pt>
                <c:pt idx="361">
                  <c:v>250.00596999999999</c:v>
                </c:pt>
                <c:pt idx="362">
                  <c:v>250.00199000000001</c:v>
                </c:pt>
                <c:pt idx="363">
                  <c:v>250.00597999999999</c:v>
                </c:pt>
                <c:pt idx="364">
                  <c:v>250.00202999999999</c:v>
                </c:pt>
                <c:pt idx="365">
                  <c:v>250.00297</c:v>
                </c:pt>
                <c:pt idx="366">
                  <c:v>250.00402</c:v>
                </c:pt>
                <c:pt idx="367">
                  <c:v>250.00399999999999</c:v>
                </c:pt>
                <c:pt idx="368">
                  <c:v>250.00398000000001</c:v>
                </c:pt>
                <c:pt idx="369">
                  <c:v>250.00303</c:v>
                </c:pt>
                <c:pt idx="370">
                  <c:v>250.00002000000001</c:v>
                </c:pt>
                <c:pt idx="371">
                  <c:v>250.00998000000001</c:v>
                </c:pt>
                <c:pt idx="372">
                  <c:v>250.00301999999999</c:v>
                </c:pt>
                <c:pt idx="373">
                  <c:v>250.00407000000001</c:v>
                </c:pt>
                <c:pt idx="374">
                  <c:v>250.005</c:v>
                </c:pt>
                <c:pt idx="375">
                  <c:v>250.006</c:v>
                </c:pt>
                <c:pt idx="376">
                  <c:v>250.00398000000001</c:v>
                </c:pt>
                <c:pt idx="377">
                  <c:v>250.01</c:v>
                </c:pt>
                <c:pt idx="378">
                  <c:v>250.01101</c:v>
                </c:pt>
                <c:pt idx="379">
                  <c:v>250.00998000000001</c:v>
                </c:pt>
                <c:pt idx="380">
                  <c:v>250.00699</c:v>
                </c:pt>
                <c:pt idx="381">
                  <c:v>250.00900999999999</c:v>
                </c:pt>
                <c:pt idx="382">
                  <c:v>250.00998000000001</c:v>
                </c:pt>
                <c:pt idx="383">
                  <c:v>250.00599</c:v>
                </c:pt>
                <c:pt idx="384">
                  <c:v>250.001</c:v>
                </c:pt>
                <c:pt idx="385">
                  <c:v>250.00299000000001</c:v>
                </c:pt>
                <c:pt idx="386">
                  <c:v>250.00599</c:v>
                </c:pt>
                <c:pt idx="387">
                  <c:v>250.00299000000001</c:v>
                </c:pt>
                <c:pt idx="388">
                  <c:v>250.00497999999999</c:v>
                </c:pt>
                <c:pt idx="389">
                  <c:v>250.00399999999999</c:v>
                </c:pt>
                <c:pt idx="390">
                  <c:v>250.00703999999999</c:v>
                </c:pt>
                <c:pt idx="391">
                  <c:v>250.00398999999999</c:v>
                </c:pt>
                <c:pt idx="392">
                  <c:v>250.00402</c:v>
                </c:pt>
                <c:pt idx="393">
                  <c:v>250.00201000000001</c:v>
                </c:pt>
                <c:pt idx="394">
                  <c:v>250.00502</c:v>
                </c:pt>
                <c:pt idx="395">
                  <c:v>250.00699</c:v>
                </c:pt>
                <c:pt idx="396">
                  <c:v>250.00599</c:v>
                </c:pt>
                <c:pt idx="397">
                  <c:v>250</c:v>
                </c:pt>
                <c:pt idx="398">
                  <c:v>249.99804</c:v>
                </c:pt>
                <c:pt idx="399">
                  <c:v>249.99903</c:v>
                </c:pt>
                <c:pt idx="400">
                  <c:v>250.00996000000001</c:v>
                </c:pt>
                <c:pt idx="401">
                  <c:v>250.011</c:v>
                </c:pt>
                <c:pt idx="402">
                  <c:v>250.00700000000001</c:v>
                </c:pt>
                <c:pt idx="403">
                  <c:v>250.00395</c:v>
                </c:pt>
                <c:pt idx="404">
                  <c:v>250.00099</c:v>
                </c:pt>
                <c:pt idx="405">
                  <c:v>250.00201999999999</c:v>
                </c:pt>
                <c:pt idx="406">
                  <c:v>249.99904000000001</c:v>
                </c:pt>
                <c:pt idx="407">
                  <c:v>250.00502</c:v>
                </c:pt>
                <c:pt idx="408">
                  <c:v>250.00498999999999</c:v>
                </c:pt>
                <c:pt idx="409">
                  <c:v>250.00402</c:v>
                </c:pt>
                <c:pt idx="410">
                  <c:v>250.00496000000001</c:v>
                </c:pt>
                <c:pt idx="411">
                  <c:v>249.99999</c:v>
                </c:pt>
                <c:pt idx="412">
                  <c:v>250.00201000000001</c:v>
                </c:pt>
                <c:pt idx="413">
                  <c:v>250.00403</c:v>
                </c:pt>
                <c:pt idx="414">
                  <c:v>249.99903</c:v>
                </c:pt>
                <c:pt idx="415">
                  <c:v>250.00402</c:v>
                </c:pt>
                <c:pt idx="416">
                  <c:v>250.00303</c:v>
                </c:pt>
                <c:pt idx="417">
                  <c:v>250.00098</c:v>
                </c:pt>
                <c:pt idx="418">
                  <c:v>250.00707</c:v>
                </c:pt>
                <c:pt idx="419">
                  <c:v>250.01104000000001</c:v>
                </c:pt>
                <c:pt idx="420">
                  <c:v>250.00905</c:v>
                </c:pt>
                <c:pt idx="421">
                  <c:v>250.00398999999999</c:v>
                </c:pt>
                <c:pt idx="422">
                  <c:v>250.00098</c:v>
                </c:pt>
                <c:pt idx="423">
                  <c:v>250.00702999999999</c:v>
                </c:pt>
                <c:pt idx="424">
                  <c:v>250.00403</c:v>
                </c:pt>
                <c:pt idx="425">
                  <c:v>250.005</c:v>
                </c:pt>
                <c:pt idx="426">
                  <c:v>250.00695999999999</c:v>
                </c:pt>
                <c:pt idx="427">
                  <c:v>250.00497999999999</c:v>
                </c:pt>
                <c:pt idx="428">
                  <c:v>250.006</c:v>
                </c:pt>
                <c:pt idx="429">
                  <c:v>250.00303</c:v>
                </c:pt>
                <c:pt idx="430">
                  <c:v>250.00602000000001</c:v>
                </c:pt>
                <c:pt idx="431">
                  <c:v>250.00701000000001</c:v>
                </c:pt>
                <c:pt idx="432">
                  <c:v>250.00601</c:v>
                </c:pt>
                <c:pt idx="433">
                  <c:v>250.00398000000001</c:v>
                </c:pt>
                <c:pt idx="434">
                  <c:v>250.005</c:v>
                </c:pt>
                <c:pt idx="435">
                  <c:v>250.00797</c:v>
                </c:pt>
                <c:pt idx="436">
                  <c:v>250.00597999999999</c:v>
                </c:pt>
                <c:pt idx="437">
                  <c:v>250.01000999999999</c:v>
                </c:pt>
                <c:pt idx="438">
                  <c:v>250.00503</c:v>
                </c:pt>
                <c:pt idx="439">
                  <c:v>250.00303</c:v>
                </c:pt>
                <c:pt idx="440">
                  <c:v>250.005</c:v>
                </c:pt>
                <c:pt idx="441">
                  <c:v>250.00899999999999</c:v>
                </c:pt>
                <c:pt idx="442">
                  <c:v>250.00901999999999</c:v>
                </c:pt>
                <c:pt idx="443">
                  <c:v>250.01104000000001</c:v>
                </c:pt>
                <c:pt idx="444">
                  <c:v>250.00597999999999</c:v>
                </c:pt>
                <c:pt idx="445">
                  <c:v>250.00301999999999</c:v>
                </c:pt>
                <c:pt idx="446">
                  <c:v>250.00098</c:v>
                </c:pt>
                <c:pt idx="447">
                  <c:v>250.00803999999999</c:v>
                </c:pt>
                <c:pt idx="448">
                  <c:v>250.00801999999999</c:v>
                </c:pt>
                <c:pt idx="449">
                  <c:v>250.00997000000001</c:v>
                </c:pt>
                <c:pt idx="450">
                  <c:v>250.00702999999999</c:v>
                </c:pt>
                <c:pt idx="451">
                  <c:v>250.00702000000001</c:v>
                </c:pt>
                <c:pt idx="452">
                  <c:v>250.006</c:v>
                </c:pt>
                <c:pt idx="453">
                  <c:v>250.00304</c:v>
                </c:pt>
                <c:pt idx="454">
                  <c:v>250.005</c:v>
                </c:pt>
                <c:pt idx="455">
                  <c:v>250.00502</c:v>
                </c:pt>
                <c:pt idx="456">
                  <c:v>250.00397000000001</c:v>
                </c:pt>
                <c:pt idx="457">
                  <c:v>250.00501</c:v>
                </c:pt>
                <c:pt idx="458">
                  <c:v>250.00496000000001</c:v>
                </c:pt>
                <c:pt idx="459">
                  <c:v>249.99997999999999</c:v>
                </c:pt>
                <c:pt idx="460">
                  <c:v>250.00192999999999</c:v>
                </c:pt>
                <c:pt idx="461">
                  <c:v>250.00201000000001</c:v>
                </c:pt>
                <c:pt idx="462">
                  <c:v>250.00299999999999</c:v>
                </c:pt>
                <c:pt idx="463">
                  <c:v>250.00399999999999</c:v>
                </c:pt>
                <c:pt idx="464">
                  <c:v>250.00301999999999</c:v>
                </c:pt>
                <c:pt idx="465">
                  <c:v>250.00597999999999</c:v>
                </c:pt>
                <c:pt idx="466">
                  <c:v>250.00595000000001</c:v>
                </c:pt>
                <c:pt idx="467">
                  <c:v>250.00400999999999</c:v>
                </c:pt>
                <c:pt idx="468">
                  <c:v>250.00097</c:v>
                </c:pt>
                <c:pt idx="469">
                  <c:v>250.00402</c:v>
                </c:pt>
                <c:pt idx="470">
                  <c:v>250.00699</c:v>
                </c:pt>
                <c:pt idx="471">
                  <c:v>250.00502</c:v>
                </c:pt>
                <c:pt idx="472">
                  <c:v>250.00503</c:v>
                </c:pt>
                <c:pt idx="473">
                  <c:v>250.00197</c:v>
                </c:pt>
                <c:pt idx="474">
                  <c:v>249.99999</c:v>
                </c:pt>
                <c:pt idx="475">
                  <c:v>250.00801999999999</c:v>
                </c:pt>
                <c:pt idx="476">
                  <c:v>250.006</c:v>
                </c:pt>
                <c:pt idx="477">
                  <c:v>249.99901</c:v>
                </c:pt>
                <c:pt idx="478">
                  <c:v>250.00599</c:v>
                </c:pt>
                <c:pt idx="479">
                  <c:v>250.00502</c:v>
                </c:pt>
                <c:pt idx="480">
                  <c:v>250.00102000000001</c:v>
                </c:pt>
                <c:pt idx="481">
                  <c:v>250.00200000000001</c:v>
                </c:pt>
                <c:pt idx="482">
                  <c:v>250.00698</c:v>
                </c:pt>
                <c:pt idx="483">
                  <c:v>250.00900999999999</c:v>
                </c:pt>
                <c:pt idx="484">
                  <c:v>250.00498999999999</c:v>
                </c:pt>
                <c:pt idx="485">
                  <c:v>250.00702000000001</c:v>
                </c:pt>
                <c:pt idx="486">
                  <c:v>250.00699</c:v>
                </c:pt>
                <c:pt idx="487">
                  <c:v>250.01098999999999</c:v>
                </c:pt>
                <c:pt idx="488">
                  <c:v>250.00299999999999</c:v>
                </c:pt>
                <c:pt idx="489">
                  <c:v>250.00305</c:v>
                </c:pt>
                <c:pt idx="490">
                  <c:v>250.00901999999999</c:v>
                </c:pt>
                <c:pt idx="491">
                  <c:v>250.00901999999999</c:v>
                </c:pt>
                <c:pt idx="492">
                  <c:v>249.9999</c:v>
                </c:pt>
                <c:pt idx="493">
                  <c:v>250.00298000000001</c:v>
                </c:pt>
                <c:pt idx="494">
                  <c:v>250.00905</c:v>
                </c:pt>
                <c:pt idx="495">
                  <c:v>250.01102</c:v>
                </c:pt>
                <c:pt idx="496">
                  <c:v>250.00801999999999</c:v>
                </c:pt>
                <c:pt idx="497">
                  <c:v>250.00504000000001</c:v>
                </c:pt>
                <c:pt idx="498">
                  <c:v>250.00398000000001</c:v>
                </c:pt>
                <c:pt idx="499">
                  <c:v>250.00191000000001</c:v>
                </c:pt>
                <c:pt idx="500">
                  <c:v>250.01102</c:v>
                </c:pt>
                <c:pt idx="501">
                  <c:v>250.00403</c:v>
                </c:pt>
                <c:pt idx="502">
                  <c:v>250.005</c:v>
                </c:pt>
                <c:pt idx="503">
                  <c:v>250.00001</c:v>
                </c:pt>
                <c:pt idx="504">
                  <c:v>250.00391999999999</c:v>
                </c:pt>
                <c:pt idx="505">
                  <c:v>250.00002000000001</c:v>
                </c:pt>
                <c:pt idx="506">
                  <c:v>250.00802999999999</c:v>
                </c:pt>
                <c:pt idx="507">
                  <c:v>250.01402999999999</c:v>
                </c:pt>
                <c:pt idx="508">
                  <c:v>250.01803000000001</c:v>
                </c:pt>
                <c:pt idx="509">
                  <c:v>250.01701</c:v>
                </c:pt>
                <c:pt idx="510">
                  <c:v>250.00794999999999</c:v>
                </c:pt>
                <c:pt idx="511">
                  <c:v>250.00400999999999</c:v>
                </c:pt>
                <c:pt idx="512">
                  <c:v>250.00501</c:v>
                </c:pt>
                <c:pt idx="513">
                  <c:v>250.00603000000001</c:v>
                </c:pt>
                <c:pt idx="514">
                  <c:v>250.00299000000001</c:v>
                </c:pt>
                <c:pt idx="515">
                  <c:v>249.99997999999999</c:v>
                </c:pt>
                <c:pt idx="516">
                  <c:v>250.00402</c:v>
                </c:pt>
                <c:pt idx="517">
                  <c:v>250.00701000000001</c:v>
                </c:pt>
                <c:pt idx="518">
                  <c:v>250.00797</c:v>
                </c:pt>
                <c:pt idx="519">
                  <c:v>250.00399999999999</c:v>
                </c:pt>
                <c:pt idx="520">
                  <c:v>250.00801999999999</c:v>
                </c:pt>
                <c:pt idx="521">
                  <c:v>250.01302000000001</c:v>
                </c:pt>
                <c:pt idx="522">
                  <c:v>250.00899000000001</c:v>
                </c:pt>
                <c:pt idx="523">
                  <c:v>250.005</c:v>
                </c:pt>
                <c:pt idx="524">
                  <c:v>250.00898000000001</c:v>
                </c:pt>
                <c:pt idx="525">
                  <c:v>250.00599</c:v>
                </c:pt>
                <c:pt idx="526">
                  <c:v>250.00801000000001</c:v>
                </c:pt>
                <c:pt idx="527">
                  <c:v>250.00400999999999</c:v>
                </c:pt>
                <c:pt idx="528">
                  <c:v>250.00395</c:v>
                </c:pt>
                <c:pt idx="529">
                  <c:v>250.00304</c:v>
                </c:pt>
                <c:pt idx="530">
                  <c:v>250.00597999999999</c:v>
                </c:pt>
                <c:pt idx="531">
                  <c:v>250.00799000000001</c:v>
                </c:pt>
                <c:pt idx="532">
                  <c:v>250.006</c:v>
                </c:pt>
                <c:pt idx="533">
                  <c:v>250.00602000000001</c:v>
                </c:pt>
                <c:pt idx="534">
                  <c:v>250.00700000000001</c:v>
                </c:pt>
                <c:pt idx="535">
                  <c:v>250.00396000000001</c:v>
                </c:pt>
                <c:pt idx="536">
                  <c:v>250.00396000000001</c:v>
                </c:pt>
                <c:pt idx="537">
                  <c:v>249.99995999999999</c:v>
                </c:pt>
                <c:pt idx="538">
                  <c:v>250.00702999999999</c:v>
                </c:pt>
                <c:pt idx="539">
                  <c:v>250.00399999999999</c:v>
                </c:pt>
                <c:pt idx="540">
                  <c:v>250.00501</c:v>
                </c:pt>
                <c:pt idx="541">
                  <c:v>250.00398999999999</c:v>
                </c:pt>
                <c:pt idx="542">
                  <c:v>249.99895000000001</c:v>
                </c:pt>
                <c:pt idx="543">
                  <c:v>250.00300999999999</c:v>
                </c:pt>
                <c:pt idx="544">
                  <c:v>250.00102999999999</c:v>
                </c:pt>
                <c:pt idx="545">
                  <c:v>249.99895000000001</c:v>
                </c:pt>
                <c:pt idx="546">
                  <c:v>250.001</c:v>
                </c:pt>
                <c:pt idx="547">
                  <c:v>250.00808000000001</c:v>
                </c:pt>
                <c:pt idx="548">
                  <c:v>250.01098999999999</c:v>
                </c:pt>
                <c:pt idx="549">
                  <c:v>250.00897000000001</c:v>
                </c:pt>
                <c:pt idx="550">
                  <c:v>249.99994000000001</c:v>
                </c:pt>
                <c:pt idx="551">
                  <c:v>250.00303</c:v>
                </c:pt>
                <c:pt idx="552">
                  <c:v>250.00796</c:v>
                </c:pt>
                <c:pt idx="553">
                  <c:v>250.00899999999999</c:v>
                </c:pt>
                <c:pt idx="554">
                  <c:v>250.00803999999999</c:v>
                </c:pt>
                <c:pt idx="555">
                  <c:v>250.00402</c:v>
                </c:pt>
                <c:pt idx="556">
                  <c:v>250.00496000000001</c:v>
                </c:pt>
                <c:pt idx="557">
                  <c:v>250.00701000000001</c:v>
                </c:pt>
                <c:pt idx="558">
                  <c:v>250.00698</c:v>
                </c:pt>
                <c:pt idx="559">
                  <c:v>250.00794999999999</c:v>
                </c:pt>
                <c:pt idx="560">
                  <c:v>250.00801999999999</c:v>
                </c:pt>
                <c:pt idx="561">
                  <c:v>250.01300000000001</c:v>
                </c:pt>
                <c:pt idx="562">
                  <c:v>250.00303</c:v>
                </c:pt>
                <c:pt idx="563">
                  <c:v>250.00400999999999</c:v>
                </c:pt>
                <c:pt idx="564">
                  <c:v>250.00200000000001</c:v>
                </c:pt>
                <c:pt idx="565">
                  <c:v>250</c:v>
                </c:pt>
                <c:pt idx="566">
                  <c:v>250.00203999999999</c:v>
                </c:pt>
                <c:pt idx="567">
                  <c:v>250.00306</c:v>
                </c:pt>
                <c:pt idx="568">
                  <c:v>250.00701000000001</c:v>
                </c:pt>
                <c:pt idx="569">
                  <c:v>250.01302000000001</c:v>
                </c:pt>
                <c:pt idx="570">
                  <c:v>250.01201</c:v>
                </c:pt>
                <c:pt idx="571">
                  <c:v>250.00203999999999</c:v>
                </c:pt>
                <c:pt idx="572">
                  <c:v>250.00900999999999</c:v>
                </c:pt>
                <c:pt idx="573">
                  <c:v>250.00596999999999</c:v>
                </c:pt>
                <c:pt idx="574">
                  <c:v>250.006</c:v>
                </c:pt>
                <c:pt idx="575">
                  <c:v>250.00301999999999</c:v>
                </c:pt>
                <c:pt idx="576">
                  <c:v>250.00398999999999</c:v>
                </c:pt>
                <c:pt idx="577">
                  <c:v>250.005</c:v>
                </c:pt>
                <c:pt idx="578">
                  <c:v>250.00397000000001</c:v>
                </c:pt>
                <c:pt idx="579">
                  <c:v>250.00396000000001</c:v>
                </c:pt>
                <c:pt idx="580">
                  <c:v>250.00798</c:v>
                </c:pt>
                <c:pt idx="581">
                  <c:v>250.01197999999999</c:v>
                </c:pt>
                <c:pt idx="582">
                  <c:v>250.01203000000001</c:v>
                </c:pt>
                <c:pt idx="583">
                  <c:v>250.00800000000001</c:v>
                </c:pt>
                <c:pt idx="584">
                  <c:v>250.00900999999999</c:v>
                </c:pt>
                <c:pt idx="585">
                  <c:v>250.00702000000001</c:v>
                </c:pt>
                <c:pt idx="586">
                  <c:v>250.00895</c:v>
                </c:pt>
                <c:pt idx="587">
                  <c:v>250.00798</c:v>
                </c:pt>
                <c:pt idx="588">
                  <c:v>250.00203999999999</c:v>
                </c:pt>
                <c:pt idx="589">
                  <c:v>250.00104999999999</c:v>
                </c:pt>
                <c:pt idx="590">
                  <c:v>250.00002000000001</c:v>
                </c:pt>
                <c:pt idx="591">
                  <c:v>250.00497999999999</c:v>
                </c:pt>
                <c:pt idx="592">
                  <c:v>250.00699</c:v>
                </c:pt>
                <c:pt idx="593">
                  <c:v>250.00399999999999</c:v>
                </c:pt>
                <c:pt idx="594">
                  <c:v>250.00498999999999</c:v>
                </c:pt>
                <c:pt idx="595">
                  <c:v>250.00303</c:v>
                </c:pt>
                <c:pt idx="596">
                  <c:v>250.001</c:v>
                </c:pt>
                <c:pt idx="597">
                  <c:v>250.001</c:v>
                </c:pt>
                <c:pt idx="598">
                  <c:v>250.00304</c:v>
                </c:pt>
                <c:pt idx="599">
                  <c:v>250.00400999999999</c:v>
                </c:pt>
                <c:pt idx="600">
                  <c:v>250.00505000000001</c:v>
                </c:pt>
                <c:pt idx="601">
                  <c:v>250.006</c:v>
                </c:pt>
                <c:pt idx="602">
                  <c:v>250.00199000000001</c:v>
                </c:pt>
                <c:pt idx="603">
                  <c:v>250.00198</c:v>
                </c:pt>
                <c:pt idx="604">
                  <c:v>250.00596999999999</c:v>
                </c:pt>
                <c:pt idx="605">
                  <c:v>250.00093000000001</c:v>
                </c:pt>
                <c:pt idx="606">
                  <c:v>250.00606999999999</c:v>
                </c:pt>
                <c:pt idx="607">
                  <c:v>250.01000999999999</c:v>
                </c:pt>
                <c:pt idx="608">
                  <c:v>250.00492</c:v>
                </c:pt>
                <c:pt idx="609">
                  <c:v>250.01102</c:v>
                </c:pt>
                <c:pt idx="610">
                  <c:v>250.00403</c:v>
                </c:pt>
                <c:pt idx="611">
                  <c:v>250.005</c:v>
                </c:pt>
                <c:pt idx="612">
                  <c:v>250.00202999999999</c:v>
                </c:pt>
                <c:pt idx="613">
                  <c:v>250.00400999999999</c:v>
                </c:pt>
                <c:pt idx="614">
                  <c:v>250.00398999999999</c:v>
                </c:pt>
                <c:pt idx="615">
                  <c:v>250.00299999999999</c:v>
                </c:pt>
                <c:pt idx="616">
                  <c:v>250.00200000000001</c:v>
                </c:pt>
                <c:pt idx="617">
                  <c:v>250.00503</c:v>
                </c:pt>
                <c:pt idx="618">
                  <c:v>250.00797</c:v>
                </c:pt>
                <c:pt idx="619">
                  <c:v>250.00901999999999</c:v>
                </c:pt>
                <c:pt idx="620">
                  <c:v>250.00396000000001</c:v>
                </c:pt>
                <c:pt idx="621">
                  <c:v>250.00194999999999</c:v>
                </c:pt>
                <c:pt idx="622">
                  <c:v>250.00597999999999</c:v>
                </c:pt>
                <c:pt idx="623">
                  <c:v>250.00299000000001</c:v>
                </c:pt>
                <c:pt idx="624">
                  <c:v>250.00502</c:v>
                </c:pt>
                <c:pt idx="625">
                  <c:v>250.00498999999999</c:v>
                </c:pt>
                <c:pt idx="626">
                  <c:v>250.00597999999999</c:v>
                </c:pt>
                <c:pt idx="627">
                  <c:v>250.00803999999999</c:v>
                </c:pt>
                <c:pt idx="628">
                  <c:v>250.00400999999999</c:v>
                </c:pt>
                <c:pt idx="629">
                  <c:v>250.00297</c:v>
                </c:pt>
                <c:pt idx="630">
                  <c:v>250.00798</c:v>
                </c:pt>
                <c:pt idx="631">
                  <c:v>250.00298000000001</c:v>
                </c:pt>
                <c:pt idx="632">
                  <c:v>250</c:v>
                </c:pt>
                <c:pt idx="633">
                  <c:v>250.00199000000001</c:v>
                </c:pt>
                <c:pt idx="634">
                  <c:v>250.00504000000001</c:v>
                </c:pt>
                <c:pt idx="635">
                  <c:v>250.00497999999999</c:v>
                </c:pt>
                <c:pt idx="636">
                  <c:v>249.99895000000001</c:v>
                </c:pt>
                <c:pt idx="637">
                  <c:v>250.00092000000001</c:v>
                </c:pt>
                <c:pt idx="638">
                  <c:v>250.00601</c:v>
                </c:pt>
                <c:pt idx="639">
                  <c:v>250.00800000000001</c:v>
                </c:pt>
                <c:pt idx="640">
                  <c:v>250.01000999999999</c:v>
                </c:pt>
                <c:pt idx="641">
                  <c:v>250.00206</c:v>
                </c:pt>
                <c:pt idx="642">
                  <c:v>250.00699</c:v>
                </c:pt>
                <c:pt idx="643">
                  <c:v>250.00505000000001</c:v>
                </c:pt>
                <c:pt idx="644">
                  <c:v>250.00097</c:v>
                </c:pt>
                <c:pt idx="645">
                  <c:v>250.00196</c:v>
                </c:pt>
                <c:pt idx="646">
                  <c:v>250.00300999999999</c:v>
                </c:pt>
                <c:pt idx="647">
                  <c:v>250.00703999999999</c:v>
                </c:pt>
                <c:pt idx="648">
                  <c:v>250.00700000000001</c:v>
                </c:pt>
                <c:pt idx="649">
                  <c:v>250.00803999999999</c:v>
                </c:pt>
                <c:pt idx="650">
                  <c:v>250.00901999999999</c:v>
                </c:pt>
                <c:pt idx="651">
                  <c:v>250.011</c:v>
                </c:pt>
                <c:pt idx="652">
                  <c:v>250.00698</c:v>
                </c:pt>
                <c:pt idx="653">
                  <c:v>250.00404</c:v>
                </c:pt>
                <c:pt idx="654">
                  <c:v>250.00502</c:v>
                </c:pt>
                <c:pt idx="655">
                  <c:v>250.00397000000001</c:v>
                </c:pt>
                <c:pt idx="656">
                  <c:v>250.00498999999999</c:v>
                </c:pt>
                <c:pt idx="657">
                  <c:v>250.00900999999999</c:v>
                </c:pt>
                <c:pt idx="658">
                  <c:v>250.00503</c:v>
                </c:pt>
                <c:pt idx="659">
                  <c:v>250.00899000000001</c:v>
                </c:pt>
                <c:pt idx="660">
                  <c:v>250.00700000000001</c:v>
                </c:pt>
                <c:pt idx="661">
                  <c:v>250.00299999999999</c:v>
                </c:pt>
                <c:pt idx="662">
                  <c:v>250.00396000000001</c:v>
                </c:pt>
                <c:pt idx="663">
                  <c:v>250.00299000000001</c:v>
                </c:pt>
                <c:pt idx="664">
                  <c:v>250.00599</c:v>
                </c:pt>
                <c:pt idx="665">
                  <c:v>250.00596999999999</c:v>
                </c:pt>
                <c:pt idx="666">
                  <c:v>250.01098999999999</c:v>
                </c:pt>
                <c:pt idx="667">
                  <c:v>250.00602000000001</c:v>
                </c:pt>
                <c:pt idx="668">
                  <c:v>250.00503</c:v>
                </c:pt>
                <c:pt idx="669">
                  <c:v>250.005</c:v>
                </c:pt>
                <c:pt idx="670">
                  <c:v>250.001</c:v>
                </c:pt>
                <c:pt idx="671">
                  <c:v>250.00003000000001</c:v>
                </c:pt>
                <c:pt idx="672">
                  <c:v>250.00098</c:v>
                </c:pt>
                <c:pt idx="673">
                  <c:v>249.98996</c:v>
                </c:pt>
                <c:pt idx="674">
                  <c:v>249.99799999999999</c:v>
                </c:pt>
                <c:pt idx="675">
                  <c:v>250.00402</c:v>
                </c:pt>
                <c:pt idx="676">
                  <c:v>250.00901999999999</c:v>
                </c:pt>
                <c:pt idx="677">
                  <c:v>250.00597999999999</c:v>
                </c:pt>
                <c:pt idx="678">
                  <c:v>250.00693000000001</c:v>
                </c:pt>
                <c:pt idx="679">
                  <c:v>250.00698</c:v>
                </c:pt>
                <c:pt idx="680">
                  <c:v>250.00699</c:v>
                </c:pt>
                <c:pt idx="681">
                  <c:v>250.00702000000001</c:v>
                </c:pt>
                <c:pt idx="682">
                  <c:v>250.00897000000001</c:v>
                </c:pt>
                <c:pt idx="683">
                  <c:v>250.00805</c:v>
                </c:pt>
                <c:pt idx="684">
                  <c:v>250.00497999999999</c:v>
                </c:pt>
                <c:pt idx="685">
                  <c:v>250.00405000000001</c:v>
                </c:pt>
                <c:pt idx="686">
                  <c:v>250.00200000000001</c:v>
                </c:pt>
                <c:pt idx="687">
                  <c:v>250.00298000000001</c:v>
                </c:pt>
                <c:pt idx="688">
                  <c:v>250.00295</c:v>
                </c:pt>
                <c:pt idx="689">
                  <c:v>249.99995000000001</c:v>
                </c:pt>
                <c:pt idx="690">
                  <c:v>249.99999</c:v>
                </c:pt>
                <c:pt idx="691">
                  <c:v>250.001</c:v>
                </c:pt>
                <c:pt idx="692">
                  <c:v>250.00398000000001</c:v>
                </c:pt>
                <c:pt idx="693">
                  <c:v>250.00199000000001</c:v>
                </c:pt>
                <c:pt idx="694">
                  <c:v>250.005</c:v>
                </c:pt>
                <c:pt idx="695">
                  <c:v>250.00799000000001</c:v>
                </c:pt>
                <c:pt idx="696">
                  <c:v>250.01002</c:v>
                </c:pt>
                <c:pt idx="697">
                  <c:v>250.01195999999999</c:v>
                </c:pt>
                <c:pt idx="698">
                  <c:v>250.00503</c:v>
                </c:pt>
                <c:pt idx="699">
                  <c:v>250.00798</c:v>
                </c:pt>
                <c:pt idx="700">
                  <c:v>250.006</c:v>
                </c:pt>
                <c:pt idx="701">
                  <c:v>250.00601</c:v>
                </c:pt>
                <c:pt idx="702">
                  <c:v>250.00299999999999</c:v>
                </c:pt>
                <c:pt idx="703">
                  <c:v>250.00102999999999</c:v>
                </c:pt>
                <c:pt idx="704">
                  <c:v>250.00097</c:v>
                </c:pt>
                <c:pt idx="705">
                  <c:v>250.00603000000001</c:v>
                </c:pt>
                <c:pt idx="706">
                  <c:v>250.00797</c:v>
                </c:pt>
                <c:pt idx="707">
                  <c:v>250.00703999999999</c:v>
                </c:pt>
                <c:pt idx="708">
                  <c:v>250.00601</c:v>
                </c:pt>
                <c:pt idx="709">
                  <c:v>250.00394</c:v>
                </c:pt>
                <c:pt idx="710">
                  <c:v>250.00803999999999</c:v>
                </c:pt>
                <c:pt idx="711">
                  <c:v>250.00602000000001</c:v>
                </c:pt>
                <c:pt idx="712">
                  <c:v>250.00504000000001</c:v>
                </c:pt>
                <c:pt idx="713">
                  <c:v>250.00397000000001</c:v>
                </c:pt>
                <c:pt idx="714">
                  <c:v>250.00800000000001</c:v>
                </c:pt>
                <c:pt idx="715">
                  <c:v>250.00602000000001</c:v>
                </c:pt>
                <c:pt idx="716">
                  <c:v>250.00398000000001</c:v>
                </c:pt>
                <c:pt idx="717">
                  <c:v>250.01007000000001</c:v>
                </c:pt>
                <c:pt idx="718">
                  <c:v>250.00503</c:v>
                </c:pt>
                <c:pt idx="719">
                  <c:v>250.00602000000001</c:v>
                </c:pt>
                <c:pt idx="720">
                  <c:v>250.00703999999999</c:v>
                </c:pt>
                <c:pt idx="721">
                  <c:v>250.00301999999999</c:v>
                </c:pt>
                <c:pt idx="722">
                  <c:v>250.006</c:v>
                </c:pt>
                <c:pt idx="723">
                  <c:v>250.00805</c:v>
                </c:pt>
                <c:pt idx="724">
                  <c:v>250.00201000000001</c:v>
                </c:pt>
                <c:pt idx="725">
                  <c:v>250.00299999999999</c:v>
                </c:pt>
                <c:pt idx="726">
                  <c:v>250.00299999999999</c:v>
                </c:pt>
                <c:pt idx="727">
                  <c:v>250.00700000000001</c:v>
                </c:pt>
                <c:pt idx="728">
                  <c:v>250.00298000000001</c:v>
                </c:pt>
                <c:pt idx="729">
                  <c:v>250.00102000000001</c:v>
                </c:pt>
                <c:pt idx="730">
                  <c:v>250.00094999999999</c:v>
                </c:pt>
                <c:pt idx="731">
                  <c:v>250.00301999999999</c:v>
                </c:pt>
                <c:pt idx="732">
                  <c:v>250.005</c:v>
                </c:pt>
                <c:pt idx="733">
                  <c:v>250.00996000000001</c:v>
                </c:pt>
                <c:pt idx="734">
                  <c:v>250.00398000000001</c:v>
                </c:pt>
                <c:pt idx="735">
                  <c:v>250.00797</c:v>
                </c:pt>
                <c:pt idx="736">
                  <c:v>250.00502</c:v>
                </c:pt>
                <c:pt idx="737">
                  <c:v>250.00493</c:v>
                </c:pt>
                <c:pt idx="738">
                  <c:v>250.00099</c:v>
                </c:pt>
                <c:pt idx="739">
                  <c:v>250.00298000000001</c:v>
                </c:pt>
                <c:pt idx="740">
                  <c:v>250.00398999999999</c:v>
                </c:pt>
                <c:pt idx="741">
                  <c:v>250.00398999999999</c:v>
                </c:pt>
                <c:pt idx="742">
                  <c:v>250.00798</c:v>
                </c:pt>
                <c:pt idx="743">
                  <c:v>250.00698</c:v>
                </c:pt>
                <c:pt idx="744">
                  <c:v>250.00299999999999</c:v>
                </c:pt>
                <c:pt idx="745">
                  <c:v>250.00398999999999</c:v>
                </c:pt>
                <c:pt idx="746">
                  <c:v>250.00998999999999</c:v>
                </c:pt>
                <c:pt idx="747">
                  <c:v>250.01003</c:v>
                </c:pt>
                <c:pt idx="748">
                  <c:v>250.005</c:v>
                </c:pt>
                <c:pt idx="749">
                  <c:v>250.00801999999999</c:v>
                </c:pt>
                <c:pt idx="750">
                  <c:v>250.00897000000001</c:v>
                </c:pt>
                <c:pt idx="751">
                  <c:v>250.00408999999999</c:v>
                </c:pt>
                <c:pt idx="752">
                  <c:v>250.00398999999999</c:v>
                </c:pt>
                <c:pt idx="753">
                  <c:v>250.00399999999999</c:v>
                </c:pt>
                <c:pt idx="754">
                  <c:v>250.00400999999999</c:v>
                </c:pt>
                <c:pt idx="755">
                  <c:v>250.00298000000001</c:v>
                </c:pt>
                <c:pt idx="756">
                  <c:v>250.00398000000001</c:v>
                </c:pt>
                <c:pt idx="757">
                  <c:v>250.00497999999999</c:v>
                </c:pt>
                <c:pt idx="758">
                  <c:v>250.00899999999999</c:v>
                </c:pt>
                <c:pt idx="759">
                  <c:v>250.00601</c:v>
                </c:pt>
                <c:pt idx="760">
                  <c:v>250.00899000000001</c:v>
                </c:pt>
                <c:pt idx="761">
                  <c:v>250.00702000000001</c:v>
                </c:pt>
                <c:pt idx="762">
                  <c:v>250.00301999999999</c:v>
                </c:pt>
                <c:pt idx="763">
                  <c:v>250.00595999999999</c:v>
                </c:pt>
                <c:pt idx="764">
                  <c:v>250.00895</c:v>
                </c:pt>
                <c:pt idx="765">
                  <c:v>250.01096000000001</c:v>
                </c:pt>
                <c:pt idx="766">
                  <c:v>250.00995</c:v>
                </c:pt>
                <c:pt idx="767">
                  <c:v>250.00899000000001</c:v>
                </c:pt>
                <c:pt idx="768">
                  <c:v>249.999</c:v>
                </c:pt>
                <c:pt idx="769">
                  <c:v>250.00303</c:v>
                </c:pt>
                <c:pt idx="770">
                  <c:v>250.00402</c:v>
                </c:pt>
                <c:pt idx="771">
                  <c:v>250.00398000000001</c:v>
                </c:pt>
                <c:pt idx="772">
                  <c:v>250.01</c:v>
                </c:pt>
                <c:pt idx="773">
                  <c:v>250.001</c:v>
                </c:pt>
                <c:pt idx="774">
                  <c:v>250.00201000000001</c:v>
                </c:pt>
                <c:pt idx="775">
                  <c:v>250.00398999999999</c:v>
                </c:pt>
                <c:pt idx="776">
                  <c:v>250.00801999999999</c:v>
                </c:pt>
                <c:pt idx="777">
                  <c:v>250.00595999999999</c:v>
                </c:pt>
                <c:pt idx="778">
                  <c:v>250.00400999999999</c:v>
                </c:pt>
                <c:pt idx="779">
                  <c:v>250.00599</c:v>
                </c:pt>
                <c:pt idx="780">
                  <c:v>250.00399999999999</c:v>
                </c:pt>
                <c:pt idx="781">
                  <c:v>250.00695999999999</c:v>
                </c:pt>
                <c:pt idx="782">
                  <c:v>250.006</c:v>
                </c:pt>
                <c:pt idx="783">
                  <c:v>250.00301999999999</c:v>
                </c:pt>
                <c:pt idx="784">
                  <c:v>250.00299000000001</c:v>
                </c:pt>
                <c:pt idx="785">
                  <c:v>250.00603000000001</c:v>
                </c:pt>
                <c:pt idx="786">
                  <c:v>250.00698</c:v>
                </c:pt>
                <c:pt idx="787">
                  <c:v>250.00303</c:v>
                </c:pt>
                <c:pt idx="788">
                  <c:v>250.00601</c:v>
                </c:pt>
                <c:pt idx="789">
                  <c:v>250.00699</c:v>
                </c:pt>
                <c:pt idx="790">
                  <c:v>250.00596999999999</c:v>
                </c:pt>
                <c:pt idx="791">
                  <c:v>250.00596999999999</c:v>
                </c:pt>
                <c:pt idx="792">
                  <c:v>250.00904</c:v>
                </c:pt>
                <c:pt idx="793">
                  <c:v>250.00801000000001</c:v>
                </c:pt>
                <c:pt idx="794">
                  <c:v>250.00702000000001</c:v>
                </c:pt>
                <c:pt idx="795">
                  <c:v>250.00199000000001</c:v>
                </c:pt>
                <c:pt idx="796">
                  <c:v>250.00198</c:v>
                </c:pt>
                <c:pt idx="797">
                  <c:v>250.00098</c:v>
                </c:pt>
                <c:pt idx="798">
                  <c:v>250.00402</c:v>
                </c:pt>
                <c:pt idx="799">
                  <c:v>250.00201999999999</c:v>
                </c:pt>
                <c:pt idx="800">
                  <c:v>250.00201999999999</c:v>
                </c:pt>
                <c:pt idx="801">
                  <c:v>250.00295</c:v>
                </c:pt>
                <c:pt idx="802">
                  <c:v>250.00503</c:v>
                </c:pt>
                <c:pt idx="803">
                  <c:v>250.00899999999999</c:v>
                </c:pt>
                <c:pt idx="804">
                  <c:v>250.00801999999999</c:v>
                </c:pt>
                <c:pt idx="805">
                  <c:v>250.00702000000001</c:v>
                </c:pt>
                <c:pt idx="806">
                  <c:v>250.00801000000001</c:v>
                </c:pt>
                <c:pt idx="807">
                  <c:v>250.00797</c:v>
                </c:pt>
                <c:pt idx="808">
                  <c:v>250.00505999999999</c:v>
                </c:pt>
                <c:pt idx="809">
                  <c:v>250.00303</c:v>
                </c:pt>
                <c:pt idx="810">
                  <c:v>250.00400999999999</c:v>
                </c:pt>
                <c:pt idx="811">
                  <c:v>250.00399999999999</c:v>
                </c:pt>
                <c:pt idx="812">
                  <c:v>250.00398000000001</c:v>
                </c:pt>
                <c:pt idx="813">
                  <c:v>250.00700000000001</c:v>
                </c:pt>
                <c:pt idx="814">
                  <c:v>250.00400999999999</c:v>
                </c:pt>
                <c:pt idx="815">
                  <c:v>250.00794999999999</c:v>
                </c:pt>
                <c:pt idx="816">
                  <c:v>250.00503</c:v>
                </c:pt>
                <c:pt idx="817">
                  <c:v>250.01000999999999</c:v>
                </c:pt>
                <c:pt idx="818">
                  <c:v>250.00496000000001</c:v>
                </c:pt>
                <c:pt idx="819">
                  <c:v>250.00596999999999</c:v>
                </c:pt>
                <c:pt idx="820">
                  <c:v>250.00198</c:v>
                </c:pt>
                <c:pt idx="821">
                  <c:v>250.00703999999999</c:v>
                </c:pt>
                <c:pt idx="822">
                  <c:v>250.00502</c:v>
                </c:pt>
                <c:pt idx="823">
                  <c:v>250.00702000000001</c:v>
                </c:pt>
                <c:pt idx="824">
                  <c:v>250.006</c:v>
                </c:pt>
                <c:pt idx="825">
                  <c:v>250.00494</c:v>
                </c:pt>
                <c:pt idx="826">
                  <c:v>250.00299000000001</c:v>
                </c:pt>
                <c:pt idx="827">
                  <c:v>250.00301999999999</c:v>
                </c:pt>
                <c:pt idx="828">
                  <c:v>250.00803999999999</c:v>
                </c:pt>
                <c:pt idx="829">
                  <c:v>250.00503</c:v>
                </c:pt>
                <c:pt idx="830">
                  <c:v>250.005</c:v>
                </c:pt>
                <c:pt idx="831">
                  <c:v>250.00599</c:v>
                </c:pt>
                <c:pt idx="832">
                  <c:v>250.00398999999999</c:v>
                </c:pt>
                <c:pt idx="833">
                  <c:v>250.00299000000001</c:v>
                </c:pt>
                <c:pt idx="834">
                  <c:v>250.00299000000001</c:v>
                </c:pt>
                <c:pt idx="835">
                  <c:v>250.00997000000001</c:v>
                </c:pt>
                <c:pt idx="836">
                  <c:v>250.00899000000001</c:v>
                </c:pt>
                <c:pt idx="837">
                  <c:v>250.00602000000001</c:v>
                </c:pt>
                <c:pt idx="838">
                  <c:v>250.00497999999999</c:v>
                </c:pt>
                <c:pt idx="839">
                  <c:v>250.00801000000001</c:v>
                </c:pt>
                <c:pt idx="840">
                  <c:v>250.00403</c:v>
                </c:pt>
                <c:pt idx="841">
                  <c:v>250.00899000000001</c:v>
                </c:pt>
                <c:pt idx="842">
                  <c:v>250.00395</c:v>
                </c:pt>
                <c:pt idx="843">
                  <c:v>250.00502</c:v>
                </c:pt>
                <c:pt idx="844">
                  <c:v>250.00601</c:v>
                </c:pt>
                <c:pt idx="845">
                  <c:v>250.00404</c:v>
                </c:pt>
                <c:pt idx="846">
                  <c:v>250.00596999999999</c:v>
                </c:pt>
                <c:pt idx="847">
                  <c:v>250.00400999999999</c:v>
                </c:pt>
                <c:pt idx="848">
                  <c:v>250.00397000000001</c:v>
                </c:pt>
                <c:pt idx="849">
                  <c:v>250.00201000000001</c:v>
                </c:pt>
                <c:pt idx="850">
                  <c:v>250.00099</c:v>
                </c:pt>
                <c:pt idx="851">
                  <c:v>250.00702000000001</c:v>
                </c:pt>
                <c:pt idx="852">
                  <c:v>250.00698</c:v>
                </c:pt>
                <c:pt idx="853">
                  <c:v>250.00602000000001</c:v>
                </c:pt>
                <c:pt idx="854">
                  <c:v>250.00300999999999</c:v>
                </c:pt>
                <c:pt idx="855">
                  <c:v>250.00298000000001</c:v>
                </c:pt>
                <c:pt idx="856">
                  <c:v>250.00602000000001</c:v>
                </c:pt>
                <c:pt idx="857">
                  <c:v>250.00791000000001</c:v>
                </c:pt>
                <c:pt idx="858">
                  <c:v>250.00904</c:v>
                </c:pt>
                <c:pt idx="859">
                  <c:v>250.00299000000001</c:v>
                </c:pt>
                <c:pt idx="860">
                  <c:v>250.00497999999999</c:v>
                </c:pt>
                <c:pt idx="861">
                  <c:v>250.005</c:v>
                </c:pt>
                <c:pt idx="862">
                  <c:v>250.00603000000001</c:v>
                </c:pt>
                <c:pt idx="863">
                  <c:v>250.00400999999999</c:v>
                </c:pt>
                <c:pt idx="864">
                  <c:v>250.006</c:v>
                </c:pt>
                <c:pt idx="865">
                  <c:v>249.99800999999999</c:v>
                </c:pt>
                <c:pt idx="866">
                  <c:v>249.99993000000001</c:v>
                </c:pt>
                <c:pt idx="867">
                  <c:v>250.00602000000001</c:v>
                </c:pt>
                <c:pt idx="868">
                  <c:v>250.00899999999999</c:v>
                </c:pt>
                <c:pt idx="869">
                  <c:v>250.00404</c:v>
                </c:pt>
                <c:pt idx="870">
                  <c:v>250.00701000000001</c:v>
                </c:pt>
                <c:pt idx="871">
                  <c:v>250.00397000000001</c:v>
                </c:pt>
                <c:pt idx="872">
                  <c:v>250.00198</c:v>
                </c:pt>
                <c:pt idx="873">
                  <c:v>250.00498999999999</c:v>
                </c:pt>
                <c:pt idx="874">
                  <c:v>250.006</c:v>
                </c:pt>
                <c:pt idx="875">
                  <c:v>250.00303</c:v>
                </c:pt>
                <c:pt idx="876">
                  <c:v>250.01102</c:v>
                </c:pt>
                <c:pt idx="877">
                  <c:v>250.00801000000001</c:v>
                </c:pt>
                <c:pt idx="878">
                  <c:v>250.00599</c:v>
                </c:pt>
                <c:pt idx="879">
                  <c:v>250.005</c:v>
                </c:pt>
                <c:pt idx="880">
                  <c:v>250.00706</c:v>
                </c:pt>
                <c:pt idx="881">
                  <c:v>250.00595000000001</c:v>
                </c:pt>
                <c:pt idx="882">
                  <c:v>250.00103999999999</c:v>
                </c:pt>
                <c:pt idx="883">
                  <c:v>250.00201999999999</c:v>
                </c:pt>
                <c:pt idx="884">
                  <c:v>250.00498999999999</c:v>
                </c:pt>
                <c:pt idx="885">
                  <c:v>250.00298000000001</c:v>
                </c:pt>
                <c:pt idx="886">
                  <c:v>250.00796</c:v>
                </c:pt>
                <c:pt idx="887">
                  <c:v>250.00497999999999</c:v>
                </c:pt>
                <c:pt idx="888">
                  <c:v>250.00305</c:v>
                </c:pt>
                <c:pt idx="889">
                  <c:v>250.00694999999999</c:v>
                </c:pt>
                <c:pt idx="890">
                  <c:v>250.00294</c:v>
                </c:pt>
                <c:pt idx="891">
                  <c:v>250.00498999999999</c:v>
                </c:pt>
                <c:pt idx="892">
                  <c:v>250.00701000000001</c:v>
                </c:pt>
                <c:pt idx="893">
                  <c:v>250.01</c:v>
                </c:pt>
                <c:pt idx="894">
                  <c:v>250.00701000000001</c:v>
                </c:pt>
                <c:pt idx="895">
                  <c:v>250.00801000000001</c:v>
                </c:pt>
                <c:pt idx="896">
                  <c:v>250.01094000000001</c:v>
                </c:pt>
                <c:pt idx="897">
                  <c:v>250.00597999999999</c:v>
                </c:pt>
                <c:pt idx="898">
                  <c:v>249.99895000000001</c:v>
                </c:pt>
                <c:pt idx="899">
                  <c:v>250.00503</c:v>
                </c:pt>
                <c:pt idx="900">
                  <c:v>250.00801000000001</c:v>
                </c:pt>
                <c:pt idx="901">
                  <c:v>250.00102999999999</c:v>
                </c:pt>
                <c:pt idx="902">
                  <c:v>250.00102000000001</c:v>
                </c:pt>
                <c:pt idx="903">
                  <c:v>249.99901</c:v>
                </c:pt>
                <c:pt idx="904">
                  <c:v>250.00708</c:v>
                </c:pt>
                <c:pt idx="905">
                  <c:v>250.00502</c:v>
                </c:pt>
                <c:pt idx="906">
                  <c:v>250.00596999999999</c:v>
                </c:pt>
                <c:pt idx="907">
                  <c:v>250.00796</c:v>
                </c:pt>
                <c:pt idx="908">
                  <c:v>250.00398999999999</c:v>
                </c:pt>
                <c:pt idx="909">
                  <c:v>250.00597999999999</c:v>
                </c:pt>
                <c:pt idx="910">
                  <c:v>250.00604999999999</c:v>
                </c:pt>
                <c:pt idx="911">
                  <c:v>250.00398000000001</c:v>
                </c:pt>
                <c:pt idx="912">
                  <c:v>250.00700000000001</c:v>
                </c:pt>
                <c:pt idx="913">
                  <c:v>250.00301999999999</c:v>
                </c:pt>
                <c:pt idx="914">
                  <c:v>250.00700000000001</c:v>
                </c:pt>
                <c:pt idx="915">
                  <c:v>250.00495000000001</c:v>
                </c:pt>
                <c:pt idx="916">
                  <c:v>250.00397000000001</c:v>
                </c:pt>
                <c:pt idx="917">
                  <c:v>250.00899000000001</c:v>
                </c:pt>
                <c:pt idx="918">
                  <c:v>250.01002</c:v>
                </c:pt>
                <c:pt idx="919">
                  <c:v>250.00599</c:v>
                </c:pt>
                <c:pt idx="920">
                  <c:v>250.00197</c:v>
                </c:pt>
                <c:pt idx="921">
                  <c:v>250.00002000000001</c:v>
                </c:pt>
                <c:pt idx="922">
                  <c:v>250.001</c:v>
                </c:pt>
                <c:pt idx="923">
                  <c:v>250.00402</c:v>
                </c:pt>
                <c:pt idx="924">
                  <c:v>250.00997000000001</c:v>
                </c:pt>
                <c:pt idx="925">
                  <c:v>250.00398000000001</c:v>
                </c:pt>
                <c:pt idx="926">
                  <c:v>250.00704999999999</c:v>
                </c:pt>
                <c:pt idx="927">
                  <c:v>250.01602</c:v>
                </c:pt>
                <c:pt idx="928">
                  <c:v>250.01301000000001</c:v>
                </c:pt>
                <c:pt idx="929">
                  <c:v>250.00496999999999</c:v>
                </c:pt>
                <c:pt idx="930">
                  <c:v>249.99897000000001</c:v>
                </c:pt>
                <c:pt idx="931">
                  <c:v>250.00102000000001</c:v>
                </c:pt>
                <c:pt idx="932">
                  <c:v>250.00603000000001</c:v>
                </c:pt>
                <c:pt idx="933">
                  <c:v>250.00801999999999</c:v>
                </c:pt>
                <c:pt idx="934">
                  <c:v>250.00400999999999</c:v>
                </c:pt>
                <c:pt idx="935">
                  <c:v>250.00503</c:v>
                </c:pt>
                <c:pt idx="936">
                  <c:v>250.00497999999999</c:v>
                </c:pt>
                <c:pt idx="937">
                  <c:v>250.00103999999999</c:v>
                </c:pt>
                <c:pt idx="938">
                  <c:v>250.00595000000001</c:v>
                </c:pt>
                <c:pt idx="939">
                  <c:v>250.00601</c:v>
                </c:pt>
                <c:pt idx="940">
                  <c:v>250.00700000000001</c:v>
                </c:pt>
                <c:pt idx="941">
                  <c:v>250.00697</c:v>
                </c:pt>
                <c:pt idx="942">
                  <c:v>250.00494</c:v>
                </c:pt>
                <c:pt idx="943">
                  <c:v>250.00496000000001</c:v>
                </c:pt>
                <c:pt idx="944">
                  <c:v>250.00698</c:v>
                </c:pt>
                <c:pt idx="945">
                  <c:v>250.00694999999999</c:v>
                </c:pt>
                <c:pt idx="946">
                  <c:v>250.00294</c:v>
                </c:pt>
                <c:pt idx="947">
                  <c:v>250.00801999999999</c:v>
                </c:pt>
                <c:pt idx="948">
                  <c:v>250.00201000000001</c:v>
                </c:pt>
                <c:pt idx="949">
                  <c:v>250.00101000000001</c:v>
                </c:pt>
                <c:pt idx="950">
                  <c:v>250.00300999999999</c:v>
                </c:pt>
                <c:pt idx="951">
                  <c:v>250.00299999999999</c:v>
                </c:pt>
                <c:pt idx="952">
                  <c:v>250.00303</c:v>
                </c:pt>
                <c:pt idx="953">
                  <c:v>250.00502</c:v>
                </c:pt>
                <c:pt idx="954">
                  <c:v>250.00700000000001</c:v>
                </c:pt>
                <c:pt idx="955">
                  <c:v>250.00399999999999</c:v>
                </c:pt>
                <c:pt idx="956">
                  <c:v>250.00398000000001</c:v>
                </c:pt>
                <c:pt idx="957">
                  <c:v>250.011</c:v>
                </c:pt>
                <c:pt idx="958">
                  <c:v>250.00801000000001</c:v>
                </c:pt>
                <c:pt idx="959">
                  <c:v>250.00801999999999</c:v>
                </c:pt>
                <c:pt idx="960">
                  <c:v>250.00698</c:v>
                </c:pt>
                <c:pt idx="961">
                  <c:v>250.00403</c:v>
                </c:pt>
                <c:pt idx="962">
                  <c:v>250.00407000000001</c:v>
                </c:pt>
                <c:pt idx="963">
                  <c:v>250.00800000000001</c:v>
                </c:pt>
                <c:pt idx="964">
                  <c:v>250.00503</c:v>
                </c:pt>
                <c:pt idx="965">
                  <c:v>250.01096999999999</c:v>
                </c:pt>
                <c:pt idx="966">
                  <c:v>250.00899999999999</c:v>
                </c:pt>
                <c:pt idx="967">
                  <c:v>250.00496999999999</c:v>
                </c:pt>
                <c:pt idx="968">
                  <c:v>250.00300999999999</c:v>
                </c:pt>
                <c:pt idx="969">
                  <c:v>250.00704999999999</c:v>
                </c:pt>
                <c:pt idx="970">
                  <c:v>250.00201000000001</c:v>
                </c:pt>
                <c:pt idx="971">
                  <c:v>249.99793</c:v>
                </c:pt>
                <c:pt idx="972">
                  <c:v>250.00200000000001</c:v>
                </c:pt>
                <c:pt idx="973">
                  <c:v>250.00299999999999</c:v>
                </c:pt>
                <c:pt idx="974">
                  <c:v>250.00398999999999</c:v>
                </c:pt>
                <c:pt idx="975">
                  <c:v>250.00497999999999</c:v>
                </c:pt>
                <c:pt idx="976">
                  <c:v>250.01202000000001</c:v>
                </c:pt>
                <c:pt idx="977">
                  <c:v>250.00998999999999</c:v>
                </c:pt>
                <c:pt idx="978">
                  <c:v>250.00699</c:v>
                </c:pt>
                <c:pt idx="979">
                  <c:v>250.00397000000001</c:v>
                </c:pt>
                <c:pt idx="980">
                  <c:v>250.00799000000001</c:v>
                </c:pt>
                <c:pt idx="981">
                  <c:v>250.00095999999999</c:v>
                </c:pt>
                <c:pt idx="982">
                  <c:v>250.00900999999999</c:v>
                </c:pt>
                <c:pt idx="983">
                  <c:v>250.00396000000001</c:v>
                </c:pt>
                <c:pt idx="984">
                  <c:v>249.99798000000001</c:v>
                </c:pt>
                <c:pt idx="985">
                  <c:v>250.00700000000001</c:v>
                </c:pt>
                <c:pt idx="986">
                  <c:v>250.00403</c:v>
                </c:pt>
                <c:pt idx="987">
                  <c:v>250.00603000000001</c:v>
                </c:pt>
                <c:pt idx="988">
                  <c:v>250.00601</c:v>
                </c:pt>
                <c:pt idx="989">
                  <c:v>250.00399999999999</c:v>
                </c:pt>
                <c:pt idx="990">
                  <c:v>250.00398999999999</c:v>
                </c:pt>
                <c:pt idx="991">
                  <c:v>250.00299999999999</c:v>
                </c:pt>
                <c:pt idx="992">
                  <c:v>250.00702000000001</c:v>
                </c:pt>
                <c:pt idx="993">
                  <c:v>250.00701000000001</c:v>
                </c:pt>
                <c:pt idx="994">
                  <c:v>250.00396000000001</c:v>
                </c:pt>
                <c:pt idx="995">
                  <c:v>250.00299999999999</c:v>
                </c:pt>
                <c:pt idx="996">
                  <c:v>250.00303</c:v>
                </c:pt>
                <c:pt idx="997">
                  <c:v>250.00304</c:v>
                </c:pt>
                <c:pt idx="998">
                  <c:v>250.00599</c:v>
                </c:pt>
                <c:pt idx="999">
                  <c:v>250.01104000000001</c:v>
                </c:pt>
                <c:pt idx="1000">
                  <c:v>250.01298</c:v>
                </c:pt>
                <c:pt idx="1001">
                  <c:v>250.00903</c:v>
                </c:pt>
                <c:pt idx="1002">
                  <c:v>250.00700000000001</c:v>
                </c:pt>
                <c:pt idx="1003">
                  <c:v>250.00397000000001</c:v>
                </c:pt>
                <c:pt idx="1004">
                  <c:v>250.00402</c:v>
                </c:pt>
                <c:pt idx="1005">
                  <c:v>250.006</c:v>
                </c:pt>
                <c:pt idx="1006">
                  <c:v>250.00498999999999</c:v>
                </c:pt>
                <c:pt idx="1007">
                  <c:v>250.011</c:v>
                </c:pt>
                <c:pt idx="1008">
                  <c:v>250.00601</c:v>
                </c:pt>
                <c:pt idx="1009">
                  <c:v>250.00797</c:v>
                </c:pt>
                <c:pt idx="1010">
                  <c:v>250.00697</c:v>
                </c:pt>
                <c:pt idx="1011">
                  <c:v>250.00198</c:v>
                </c:pt>
                <c:pt idx="1012">
                  <c:v>249.99995999999999</c:v>
                </c:pt>
                <c:pt idx="1013">
                  <c:v>250.00002000000001</c:v>
                </c:pt>
                <c:pt idx="1014">
                  <c:v>250.00698</c:v>
                </c:pt>
                <c:pt idx="1015">
                  <c:v>250.00300999999999</c:v>
                </c:pt>
                <c:pt idx="1016">
                  <c:v>250.001</c:v>
                </c:pt>
                <c:pt idx="1017">
                  <c:v>250.00395</c:v>
                </c:pt>
                <c:pt idx="1018">
                  <c:v>250.00702999999999</c:v>
                </c:pt>
                <c:pt idx="1019">
                  <c:v>250.00701000000001</c:v>
                </c:pt>
                <c:pt idx="1020">
                  <c:v>250.006</c:v>
                </c:pt>
                <c:pt idx="1021">
                  <c:v>250.00398000000001</c:v>
                </c:pt>
                <c:pt idx="1022">
                  <c:v>250.00799000000001</c:v>
                </c:pt>
                <c:pt idx="1023">
                  <c:v>250.00796</c:v>
                </c:pt>
                <c:pt idx="1024">
                  <c:v>250.00595000000001</c:v>
                </c:pt>
                <c:pt idx="1025">
                  <c:v>249.99997999999999</c:v>
                </c:pt>
                <c:pt idx="1026">
                  <c:v>250.00400999999999</c:v>
                </c:pt>
                <c:pt idx="1027">
                  <c:v>250.00599</c:v>
                </c:pt>
                <c:pt idx="1028">
                  <c:v>250.01102</c:v>
                </c:pt>
                <c:pt idx="1029">
                  <c:v>250.01400000000001</c:v>
                </c:pt>
                <c:pt idx="1030">
                  <c:v>250.00698</c:v>
                </c:pt>
                <c:pt idx="1031">
                  <c:v>250.00601</c:v>
                </c:pt>
                <c:pt idx="1032">
                  <c:v>250.00901999999999</c:v>
                </c:pt>
                <c:pt idx="1033">
                  <c:v>250.00200000000001</c:v>
                </c:pt>
                <c:pt idx="1034">
                  <c:v>250.00201000000001</c:v>
                </c:pt>
                <c:pt idx="1035">
                  <c:v>250.00301999999999</c:v>
                </c:pt>
                <c:pt idx="1036">
                  <c:v>250.001</c:v>
                </c:pt>
                <c:pt idx="1037">
                  <c:v>250.00400999999999</c:v>
                </c:pt>
                <c:pt idx="1038">
                  <c:v>250.00398999999999</c:v>
                </c:pt>
                <c:pt idx="1039">
                  <c:v>250.00703999999999</c:v>
                </c:pt>
                <c:pt idx="1040">
                  <c:v>250.00301999999999</c:v>
                </c:pt>
                <c:pt idx="1041">
                  <c:v>250.00505999999999</c:v>
                </c:pt>
                <c:pt idx="1042">
                  <c:v>250.00703999999999</c:v>
                </c:pt>
                <c:pt idx="1043">
                  <c:v>250.00695999999999</c:v>
                </c:pt>
                <c:pt idx="1044">
                  <c:v>250.00603000000001</c:v>
                </c:pt>
                <c:pt idx="1045">
                  <c:v>250.01399000000001</c:v>
                </c:pt>
                <c:pt idx="1046">
                  <c:v>250.00700000000001</c:v>
                </c:pt>
                <c:pt idx="1047">
                  <c:v>250.00298000000001</c:v>
                </c:pt>
                <c:pt idx="1048">
                  <c:v>249.99995999999999</c:v>
                </c:pt>
                <c:pt idx="1049">
                  <c:v>249.99700999999999</c:v>
                </c:pt>
                <c:pt idx="1050">
                  <c:v>249.99902</c:v>
                </c:pt>
                <c:pt idx="1051">
                  <c:v>250.00404</c:v>
                </c:pt>
                <c:pt idx="1052">
                  <c:v>250.00396000000001</c:v>
                </c:pt>
                <c:pt idx="1053">
                  <c:v>250.00603000000001</c:v>
                </c:pt>
                <c:pt idx="1054">
                  <c:v>250.00599</c:v>
                </c:pt>
                <c:pt idx="1055">
                  <c:v>250.00798</c:v>
                </c:pt>
                <c:pt idx="1056">
                  <c:v>250.00803999999999</c:v>
                </c:pt>
                <c:pt idx="1057">
                  <c:v>250.00595999999999</c:v>
                </c:pt>
                <c:pt idx="1058">
                  <c:v>250.00398999999999</c:v>
                </c:pt>
                <c:pt idx="1059">
                  <c:v>250.00596999999999</c:v>
                </c:pt>
                <c:pt idx="1060">
                  <c:v>250.00497999999999</c:v>
                </c:pt>
                <c:pt idx="1061">
                  <c:v>249.99602999999999</c:v>
                </c:pt>
                <c:pt idx="1062">
                  <c:v>249.99901</c:v>
                </c:pt>
                <c:pt idx="1063">
                  <c:v>250.00501</c:v>
                </c:pt>
                <c:pt idx="1064">
                  <c:v>250.00699</c:v>
                </c:pt>
                <c:pt idx="1065">
                  <c:v>250.00995</c:v>
                </c:pt>
                <c:pt idx="1066">
                  <c:v>250.00700000000001</c:v>
                </c:pt>
                <c:pt idx="1067">
                  <c:v>250.01302000000001</c:v>
                </c:pt>
                <c:pt idx="1068">
                  <c:v>250.00595999999999</c:v>
                </c:pt>
                <c:pt idx="1069">
                  <c:v>250.00502</c:v>
                </c:pt>
                <c:pt idx="1070">
                  <c:v>250.00201999999999</c:v>
                </c:pt>
                <c:pt idx="1071">
                  <c:v>250.00097</c:v>
                </c:pt>
                <c:pt idx="1072">
                  <c:v>250.00104999999999</c:v>
                </c:pt>
                <c:pt idx="1073">
                  <c:v>250.00399999999999</c:v>
                </c:pt>
                <c:pt idx="1074">
                  <c:v>250.00801000000001</c:v>
                </c:pt>
                <c:pt idx="1075">
                  <c:v>250.00796</c:v>
                </c:pt>
                <c:pt idx="1076">
                  <c:v>250.00599</c:v>
                </c:pt>
                <c:pt idx="1077">
                  <c:v>250.00495000000001</c:v>
                </c:pt>
                <c:pt idx="1078">
                  <c:v>250.00198</c:v>
                </c:pt>
                <c:pt idx="1079">
                  <c:v>250.00497999999999</c:v>
                </c:pt>
                <c:pt idx="1080">
                  <c:v>250.00703999999999</c:v>
                </c:pt>
                <c:pt idx="1081">
                  <c:v>250.00398999999999</c:v>
                </c:pt>
                <c:pt idx="1082">
                  <c:v>250.00707</c:v>
                </c:pt>
                <c:pt idx="1083">
                  <c:v>250.00995</c:v>
                </c:pt>
                <c:pt idx="1084">
                  <c:v>250.01097999999999</c:v>
                </c:pt>
                <c:pt idx="1085">
                  <c:v>250.00700000000001</c:v>
                </c:pt>
                <c:pt idx="1086">
                  <c:v>250.006</c:v>
                </c:pt>
                <c:pt idx="1087">
                  <c:v>250.00801999999999</c:v>
                </c:pt>
                <c:pt idx="1088">
                  <c:v>250.00796</c:v>
                </c:pt>
                <c:pt idx="1089">
                  <c:v>250.00397000000001</c:v>
                </c:pt>
                <c:pt idx="1090">
                  <c:v>250.00702999999999</c:v>
                </c:pt>
                <c:pt idx="1091">
                  <c:v>250.00603000000001</c:v>
                </c:pt>
                <c:pt idx="1092">
                  <c:v>250.00595999999999</c:v>
                </c:pt>
                <c:pt idx="1093">
                  <c:v>250.00792999999999</c:v>
                </c:pt>
                <c:pt idx="1094">
                  <c:v>250.00503</c:v>
                </c:pt>
                <c:pt idx="1095">
                  <c:v>250.00794999999999</c:v>
                </c:pt>
                <c:pt idx="1096">
                  <c:v>250.00799000000001</c:v>
                </c:pt>
                <c:pt idx="1097">
                  <c:v>250.00306</c:v>
                </c:pt>
                <c:pt idx="1098">
                  <c:v>250.00700000000001</c:v>
                </c:pt>
                <c:pt idx="1099">
                  <c:v>250.00602000000001</c:v>
                </c:pt>
                <c:pt idx="1100">
                  <c:v>250.00595000000001</c:v>
                </c:pt>
                <c:pt idx="1101">
                  <c:v>250.00400999999999</c:v>
                </c:pt>
                <c:pt idx="1102">
                  <c:v>250.00200000000001</c:v>
                </c:pt>
                <c:pt idx="1103">
                  <c:v>250.00396000000001</c:v>
                </c:pt>
                <c:pt idx="1104">
                  <c:v>250.00399999999999</c:v>
                </c:pt>
                <c:pt idx="1105">
                  <c:v>250.00701000000001</c:v>
                </c:pt>
                <c:pt idx="1106">
                  <c:v>250.00701000000001</c:v>
                </c:pt>
                <c:pt idx="1107">
                  <c:v>250.00404</c:v>
                </c:pt>
                <c:pt idx="1108">
                  <c:v>250.00297</c:v>
                </c:pt>
                <c:pt idx="1109">
                  <c:v>250.00594000000001</c:v>
                </c:pt>
                <c:pt idx="1110">
                  <c:v>250.00699</c:v>
                </c:pt>
                <c:pt idx="1111">
                  <c:v>250.00397000000001</c:v>
                </c:pt>
                <c:pt idx="1112">
                  <c:v>250.00199000000001</c:v>
                </c:pt>
                <c:pt idx="1113">
                  <c:v>250.00703999999999</c:v>
                </c:pt>
                <c:pt idx="1114">
                  <c:v>250.00505000000001</c:v>
                </c:pt>
                <c:pt idx="1115">
                  <c:v>250.00601</c:v>
                </c:pt>
                <c:pt idx="1116">
                  <c:v>250.00595999999999</c:v>
                </c:pt>
                <c:pt idx="1117">
                  <c:v>250.00998000000001</c:v>
                </c:pt>
                <c:pt idx="1118">
                  <c:v>250.00702999999999</c:v>
                </c:pt>
                <c:pt idx="1119">
                  <c:v>250.00799000000001</c:v>
                </c:pt>
                <c:pt idx="1120">
                  <c:v>250.00299000000001</c:v>
                </c:pt>
                <c:pt idx="1121">
                  <c:v>250.00199000000001</c:v>
                </c:pt>
                <c:pt idx="1122">
                  <c:v>250.001</c:v>
                </c:pt>
                <c:pt idx="1123">
                  <c:v>250.00394</c:v>
                </c:pt>
                <c:pt idx="1124">
                  <c:v>250.00399999999999</c:v>
                </c:pt>
                <c:pt idx="1125">
                  <c:v>250.00599</c:v>
                </c:pt>
                <c:pt idx="1126">
                  <c:v>250.00597999999999</c:v>
                </c:pt>
                <c:pt idx="1127">
                  <c:v>250.00697</c:v>
                </c:pt>
                <c:pt idx="1128">
                  <c:v>250.00596999999999</c:v>
                </c:pt>
                <c:pt idx="1129">
                  <c:v>250.012</c:v>
                </c:pt>
                <c:pt idx="1130">
                  <c:v>250.00798</c:v>
                </c:pt>
                <c:pt idx="1131">
                  <c:v>250.00496999999999</c:v>
                </c:pt>
                <c:pt idx="1132">
                  <c:v>250.00695999999999</c:v>
                </c:pt>
                <c:pt idx="1133">
                  <c:v>250.00706</c:v>
                </c:pt>
                <c:pt idx="1134">
                  <c:v>250.00299000000001</c:v>
                </c:pt>
                <c:pt idx="1135">
                  <c:v>250.00404</c:v>
                </c:pt>
                <c:pt idx="1136">
                  <c:v>250.001</c:v>
                </c:pt>
                <c:pt idx="1137">
                  <c:v>250.00398999999999</c:v>
                </c:pt>
                <c:pt idx="1138">
                  <c:v>250.00799000000001</c:v>
                </c:pt>
                <c:pt idx="1139">
                  <c:v>250.00602000000001</c:v>
                </c:pt>
                <c:pt idx="1140">
                  <c:v>250.00398999999999</c:v>
                </c:pt>
                <c:pt idx="1141">
                  <c:v>250.00397000000001</c:v>
                </c:pt>
                <c:pt idx="1142">
                  <c:v>250.00504000000001</c:v>
                </c:pt>
                <c:pt idx="1143">
                  <c:v>250.00693999999999</c:v>
                </c:pt>
                <c:pt idx="1144">
                  <c:v>250.00597999999999</c:v>
                </c:pt>
                <c:pt idx="1145">
                  <c:v>250.012</c:v>
                </c:pt>
                <c:pt idx="1146">
                  <c:v>250.01002</c:v>
                </c:pt>
                <c:pt idx="1147">
                  <c:v>250.01102</c:v>
                </c:pt>
                <c:pt idx="1148">
                  <c:v>250.00797</c:v>
                </c:pt>
                <c:pt idx="1149">
                  <c:v>250.00103999999999</c:v>
                </c:pt>
                <c:pt idx="1150">
                  <c:v>250</c:v>
                </c:pt>
                <c:pt idx="1151">
                  <c:v>250.00201000000001</c:v>
                </c:pt>
                <c:pt idx="1152">
                  <c:v>250.00398999999999</c:v>
                </c:pt>
                <c:pt idx="1153">
                  <c:v>250.00595000000001</c:v>
                </c:pt>
                <c:pt idx="1154">
                  <c:v>250.01000999999999</c:v>
                </c:pt>
                <c:pt idx="1155">
                  <c:v>250.00704999999999</c:v>
                </c:pt>
                <c:pt idx="1156">
                  <c:v>250.006</c:v>
                </c:pt>
                <c:pt idx="1157">
                  <c:v>250.00704999999999</c:v>
                </c:pt>
                <c:pt idx="1158">
                  <c:v>250.00299999999999</c:v>
                </c:pt>
                <c:pt idx="1159">
                  <c:v>250.00896</c:v>
                </c:pt>
                <c:pt idx="1160">
                  <c:v>250.01104000000001</c:v>
                </c:pt>
                <c:pt idx="1161">
                  <c:v>250.00996000000001</c:v>
                </c:pt>
                <c:pt idx="1162">
                  <c:v>250.00299999999999</c:v>
                </c:pt>
                <c:pt idx="1163">
                  <c:v>250.00002000000001</c:v>
                </c:pt>
                <c:pt idx="1164">
                  <c:v>249.99994000000001</c:v>
                </c:pt>
                <c:pt idx="1165">
                  <c:v>250.00402</c:v>
                </c:pt>
                <c:pt idx="1166">
                  <c:v>250.00897000000001</c:v>
                </c:pt>
                <c:pt idx="1167">
                  <c:v>250.00701000000001</c:v>
                </c:pt>
                <c:pt idx="1168">
                  <c:v>250.00599</c:v>
                </c:pt>
                <c:pt idx="1169">
                  <c:v>250.00896</c:v>
                </c:pt>
                <c:pt idx="1170">
                  <c:v>250.00398000000001</c:v>
                </c:pt>
                <c:pt idx="1171">
                  <c:v>250.00506999999999</c:v>
                </c:pt>
                <c:pt idx="1172">
                  <c:v>250.00702000000001</c:v>
                </c:pt>
                <c:pt idx="1173">
                  <c:v>250.00403</c:v>
                </c:pt>
                <c:pt idx="1174">
                  <c:v>249.99700000000001</c:v>
                </c:pt>
                <c:pt idx="1175">
                  <c:v>250.00101000000001</c:v>
                </c:pt>
                <c:pt idx="1176">
                  <c:v>250.00003000000001</c:v>
                </c:pt>
                <c:pt idx="1177">
                  <c:v>250.00603000000001</c:v>
                </c:pt>
                <c:pt idx="1178">
                  <c:v>250.006</c:v>
                </c:pt>
                <c:pt idx="1179">
                  <c:v>250.00497999999999</c:v>
                </c:pt>
                <c:pt idx="1180">
                  <c:v>250.01101</c:v>
                </c:pt>
                <c:pt idx="1181">
                  <c:v>250.00300999999999</c:v>
                </c:pt>
                <c:pt idx="1182">
                  <c:v>250.00596999999999</c:v>
                </c:pt>
                <c:pt idx="1183">
                  <c:v>250.00895</c:v>
                </c:pt>
                <c:pt idx="1184">
                  <c:v>250.00700000000001</c:v>
                </c:pt>
                <c:pt idx="1185">
                  <c:v>250.00399999999999</c:v>
                </c:pt>
                <c:pt idx="1186">
                  <c:v>250.00801999999999</c:v>
                </c:pt>
                <c:pt idx="1187">
                  <c:v>250.00403</c:v>
                </c:pt>
                <c:pt idx="1188">
                  <c:v>250.005</c:v>
                </c:pt>
                <c:pt idx="1189">
                  <c:v>250.00798</c:v>
                </c:pt>
                <c:pt idx="1190">
                  <c:v>250.00901999999999</c:v>
                </c:pt>
                <c:pt idx="1191">
                  <c:v>250.00805</c:v>
                </c:pt>
                <c:pt idx="1192">
                  <c:v>250.00701000000001</c:v>
                </c:pt>
                <c:pt idx="1193">
                  <c:v>250.005</c:v>
                </c:pt>
                <c:pt idx="1194">
                  <c:v>250.00704999999999</c:v>
                </c:pt>
                <c:pt idx="1195">
                  <c:v>250.00596999999999</c:v>
                </c:pt>
                <c:pt idx="1196">
                  <c:v>250</c:v>
                </c:pt>
                <c:pt idx="1197">
                  <c:v>250.00698</c:v>
                </c:pt>
                <c:pt idx="1198">
                  <c:v>250.00496000000001</c:v>
                </c:pt>
                <c:pt idx="1199">
                  <c:v>250.00498999999999</c:v>
                </c:pt>
                <c:pt idx="1200">
                  <c:v>250.00404</c:v>
                </c:pt>
                <c:pt idx="1201">
                  <c:v>250.00398000000001</c:v>
                </c:pt>
                <c:pt idx="1202">
                  <c:v>250.00603000000001</c:v>
                </c:pt>
                <c:pt idx="1203">
                  <c:v>250.00896</c:v>
                </c:pt>
                <c:pt idx="1204">
                  <c:v>250.00094999999999</c:v>
                </c:pt>
                <c:pt idx="1205">
                  <c:v>250.00103999999999</c:v>
                </c:pt>
                <c:pt idx="1206">
                  <c:v>250.00397000000001</c:v>
                </c:pt>
                <c:pt idx="1207">
                  <c:v>250.00398999999999</c:v>
                </c:pt>
                <c:pt idx="1208">
                  <c:v>250.00201999999999</c:v>
                </c:pt>
                <c:pt idx="1209">
                  <c:v>250.00505000000001</c:v>
                </c:pt>
                <c:pt idx="1210">
                  <c:v>250.00398000000001</c:v>
                </c:pt>
                <c:pt idx="1211">
                  <c:v>250.00799000000001</c:v>
                </c:pt>
                <c:pt idx="1212">
                  <c:v>250.00796</c:v>
                </c:pt>
                <c:pt idx="1213">
                  <c:v>250.00496999999999</c:v>
                </c:pt>
                <c:pt idx="1214">
                  <c:v>250.00299999999999</c:v>
                </c:pt>
                <c:pt idx="1215">
                  <c:v>250.005</c:v>
                </c:pt>
                <c:pt idx="1216">
                  <c:v>250.00397000000001</c:v>
                </c:pt>
                <c:pt idx="1217">
                  <c:v>250.00799000000001</c:v>
                </c:pt>
                <c:pt idx="1218">
                  <c:v>250.00496000000001</c:v>
                </c:pt>
                <c:pt idx="1219">
                  <c:v>250.01201</c:v>
                </c:pt>
                <c:pt idx="1220">
                  <c:v>250.00596999999999</c:v>
                </c:pt>
                <c:pt idx="1221">
                  <c:v>250.00402</c:v>
                </c:pt>
                <c:pt idx="1222">
                  <c:v>250.00503</c:v>
                </c:pt>
                <c:pt idx="1223">
                  <c:v>250.01006000000001</c:v>
                </c:pt>
                <c:pt idx="1224">
                  <c:v>250.00998999999999</c:v>
                </c:pt>
                <c:pt idx="1225">
                  <c:v>250.00998000000001</c:v>
                </c:pt>
                <c:pt idx="1226">
                  <c:v>250.00998000000001</c:v>
                </c:pt>
                <c:pt idx="1227">
                  <c:v>250.01</c:v>
                </c:pt>
                <c:pt idx="1228">
                  <c:v>250.00404</c:v>
                </c:pt>
                <c:pt idx="1229">
                  <c:v>250.00198</c:v>
                </c:pt>
                <c:pt idx="1230">
                  <c:v>250.00602000000001</c:v>
                </c:pt>
                <c:pt idx="1231">
                  <c:v>249.99993000000001</c:v>
                </c:pt>
                <c:pt idx="1232">
                  <c:v>250.00504000000001</c:v>
                </c:pt>
                <c:pt idx="1233">
                  <c:v>250.00798</c:v>
                </c:pt>
                <c:pt idx="1234">
                  <c:v>250.00501</c:v>
                </c:pt>
                <c:pt idx="1235">
                  <c:v>250.00197</c:v>
                </c:pt>
                <c:pt idx="1236">
                  <c:v>250.00497999999999</c:v>
                </c:pt>
                <c:pt idx="1237">
                  <c:v>250.00307000000001</c:v>
                </c:pt>
                <c:pt idx="1238">
                  <c:v>250.00601</c:v>
                </c:pt>
                <c:pt idx="1239">
                  <c:v>250.00399999999999</c:v>
                </c:pt>
                <c:pt idx="1240">
                  <c:v>250.00998999999999</c:v>
                </c:pt>
                <c:pt idx="1241">
                  <c:v>250.00597999999999</c:v>
                </c:pt>
                <c:pt idx="1242">
                  <c:v>249.99798999999999</c:v>
                </c:pt>
                <c:pt idx="1243">
                  <c:v>250.00700000000001</c:v>
                </c:pt>
                <c:pt idx="1244">
                  <c:v>250.00595000000001</c:v>
                </c:pt>
                <c:pt idx="1245">
                  <c:v>250.00398999999999</c:v>
                </c:pt>
                <c:pt idx="1246">
                  <c:v>250.00199000000001</c:v>
                </c:pt>
                <c:pt idx="1247">
                  <c:v>249.99997999999999</c:v>
                </c:pt>
                <c:pt idx="1248">
                  <c:v>250.00905</c:v>
                </c:pt>
                <c:pt idx="1249">
                  <c:v>250.00798</c:v>
                </c:pt>
                <c:pt idx="1250">
                  <c:v>250.00400999999999</c:v>
                </c:pt>
                <c:pt idx="1251">
                  <c:v>250.00796</c:v>
                </c:pt>
                <c:pt idx="1252">
                  <c:v>250.00998999999999</c:v>
                </c:pt>
                <c:pt idx="1253">
                  <c:v>250.001</c:v>
                </c:pt>
                <c:pt idx="1254">
                  <c:v>250.00399999999999</c:v>
                </c:pt>
                <c:pt idx="1255">
                  <c:v>250.00395</c:v>
                </c:pt>
                <c:pt idx="1256">
                  <c:v>250.00601</c:v>
                </c:pt>
                <c:pt idx="1257">
                  <c:v>250.005</c:v>
                </c:pt>
                <c:pt idx="1258">
                  <c:v>249.99797000000001</c:v>
                </c:pt>
                <c:pt idx="1259">
                  <c:v>250.00202999999999</c:v>
                </c:pt>
                <c:pt idx="1260">
                  <c:v>250.00899000000001</c:v>
                </c:pt>
                <c:pt idx="1261">
                  <c:v>250.00399999999999</c:v>
                </c:pt>
                <c:pt idx="1262">
                  <c:v>250.00102999999999</c:v>
                </c:pt>
                <c:pt idx="1263">
                  <c:v>250.00004999999999</c:v>
                </c:pt>
                <c:pt idx="1264">
                  <c:v>250.00299999999999</c:v>
                </c:pt>
                <c:pt idx="1265">
                  <c:v>250.00299000000001</c:v>
                </c:pt>
                <c:pt idx="1266">
                  <c:v>250.00601</c:v>
                </c:pt>
                <c:pt idx="1267">
                  <c:v>250.00504000000001</c:v>
                </c:pt>
                <c:pt idx="1268">
                  <c:v>250.00703999999999</c:v>
                </c:pt>
                <c:pt idx="1269">
                  <c:v>250.01</c:v>
                </c:pt>
                <c:pt idx="1270">
                  <c:v>250.01102</c:v>
                </c:pt>
                <c:pt idx="1271">
                  <c:v>250.00501</c:v>
                </c:pt>
                <c:pt idx="1272">
                  <c:v>250.00306</c:v>
                </c:pt>
                <c:pt idx="1273">
                  <c:v>250.00599</c:v>
                </c:pt>
                <c:pt idx="1274">
                  <c:v>250.00303</c:v>
                </c:pt>
                <c:pt idx="1275">
                  <c:v>250.00299000000001</c:v>
                </c:pt>
                <c:pt idx="1276">
                  <c:v>250.00102999999999</c:v>
                </c:pt>
                <c:pt idx="1277">
                  <c:v>249.99897999999999</c:v>
                </c:pt>
                <c:pt idx="1278">
                  <c:v>250.00303</c:v>
                </c:pt>
                <c:pt idx="1279">
                  <c:v>250.00397000000001</c:v>
                </c:pt>
                <c:pt idx="1280">
                  <c:v>250.00397000000001</c:v>
                </c:pt>
                <c:pt idx="1281">
                  <c:v>250.00102999999999</c:v>
                </c:pt>
                <c:pt idx="1282">
                  <c:v>250.00799000000001</c:v>
                </c:pt>
                <c:pt idx="1283">
                  <c:v>250.00402</c:v>
                </c:pt>
                <c:pt idx="1284">
                  <c:v>250.00695999999999</c:v>
                </c:pt>
                <c:pt idx="1285">
                  <c:v>250.00603000000001</c:v>
                </c:pt>
                <c:pt idx="1286">
                  <c:v>250.00702999999999</c:v>
                </c:pt>
                <c:pt idx="1287">
                  <c:v>250.00897000000001</c:v>
                </c:pt>
                <c:pt idx="1288">
                  <c:v>250.00397000000001</c:v>
                </c:pt>
                <c:pt idx="1289">
                  <c:v>250.00300999999999</c:v>
                </c:pt>
                <c:pt idx="1290">
                  <c:v>250.00601</c:v>
                </c:pt>
                <c:pt idx="1291">
                  <c:v>250.00299000000001</c:v>
                </c:pt>
                <c:pt idx="1292">
                  <c:v>250.00701000000001</c:v>
                </c:pt>
                <c:pt idx="1293">
                  <c:v>250.00799000000001</c:v>
                </c:pt>
                <c:pt idx="1294">
                  <c:v>250.00597999999999</c:v>
                </c:pt>
                <c:pt idx="1295">
                  <c:v>250.00597999999999</c:v>
                </c:pt>
                <c:pt idx="1296">
                  <c:v>250.00899999999999</c:v>
                </c:pt>
                <c:pt idx="1297">
                  <c:v>250.00899000000001</c:v>
                </c:pt>
                <c:pt idx="1298">
                  <c:v>250.00398999999999</c:v>
                </c:pt>
                <c:pt idx="1299">
                  <c:v>250.00402</c:v>
                </c:pt>
                <c:pt idx="1300">
                  <c:v>250.00501</c:v>
                </c:pt>
                <c:pt idx="1301">
                  <c:v>250.006</c:v>
                </c:pt>
                <c:pt idx="1302">
                  <c:v>250.00504000000001</c:v>
                </c:pt>
                <c:pt idx="1303">
                  <c:v>250.00206</c:v>
                </c:pt>
                <c:pt idx="1304">
                  <c:v>250.006</c:v>
                </c:pt>
                <c:pt idx="1305">
                  <c:v>250.00299000000001</c:v>
                </c:pt>
                <c:pt idx="1306">
                  <c:v>250.00398000000001</c:v>
                </c:pt>
                <c:pt idx="1307">
                  <c:v>250.00104999999999</c:v>
                </c:pt>
                <c:pt idx="1308">
                  <c:v>250.00301999999999</c:v>
                </c:pt>
                <c:pt idx="1309">
                  <c:v>250.00703999999999</c:v>
                </c:pt>
                <c:pt idx="1310">
                  <c:v>250.00898000000001</c:v>
                </c:pt>
                <c:pt idx="1311">
                  <c:v>250.00399999999999</c:v>
                </c:pt>
                <c:pt idx="1312">
                  <c:v>250.006</c:v>
                </c:pt>
                <c:pt idx="1313">
                  <c:v>250.00899999999999</c:v>
                </c:pt>
                <c:pt idx="1314">
                  <c:v>250.00103999999999</c:v>
                </c:pt>
                <c:pt idx="1315">
                  <c:v>250.00594000000001</c:v>
                </c:pt>
                <c:pt idx="1316">
                  <c:v>250.00398999999999</c:v>
                </c:pt>
                <c:pt idx="1317">
                  <c:v>250.00702000000001</c:v>
                </c:pt>
                <c:pt idx="1318">
                  <c:v>250.00901999999999</c:v>
                </c:pt>
                <c:pt idx="1319">
                  <c:v>250.00597999999999</c:v>
                </c:pt>
                <c:pt idx="1320">
                  <c:v>250.00396000000001</c:v>
                </c:pt>
                <c:pt idx="1321">
                  <c:v>250.00397000000001</c:v>
                </c:pt>
                <c:pt idx="1322">
                  <c:v>249.999</c:v>
                </c:pt>
                <c:pt idx="1323">
                  <c:v>250.00702000000001</c:v>
                </c:pt>
                <c:pt idx="1324">
                  <c:v>250.00701000000001</c:v>
                </c:pt>
                <c:pt idx="1325">
                  <c:v>250.01202000000001</c:v>
                </c:pt>
                <c:pt idx="1326">
                  <c:v>250.01295999999999</c:v>
                </c:pt>
                <c:pt idx="1327">
                  <c:v>250.00698</c:v>
                </c:pt>
                <c:pt idx="1328">
                  <c:v>250.00098</c:v>
                </c:pt>
                <c:pt idx="1329">
                  <c:v>250.00206</c:v>
                </c:pt>
                <c:pt idx="1330">
                  <c:v>250.00697</c:v>
                </c:pt>
                <c:pt idx="1331">
                  <c:v>250.00604999999999</c:v>
                </c:pt>
                <c:pt idx="1332">
                  <c:v>250.00700000000001</c:v>
                </c:pt>
                <c:pt idx="1333">
                  <c:v>250.00597999999999</c:v>
                </c:pt>
                <c:pt idx="1334">
                  <c:v>250.00402</c:v>
                </c:pt>
                <c:pt idx="1335">
                  <c:v>249.99898999999999</c:v>
                </c:pt>
                <c:pt idx="1336">
                  <c:v>250.00406000000001</c:v>
                </c:pt>
                <c:pt idx="1337">
                  <c:v>250.00701000000001</c:v>
                </c:pt>
                <c:pt idx="1338">
                  <c:v>250.00003000000001</c:v>
                </c:pt>
                <c:pt idx="1339">
                  <c:v>250.00202999999999</c:v>
                </c:pt>
                <c:pt idx="1340">
                  <c:v>250.00299999999999</c:v>
                </c:pt>
                <c:pt idx="1341">
                  <c:v>250.00797</c:v>
                </c:pt>
                <c:pt idx="1342">
                  <c:v>249.99997999999999</c:v>
                </c:pt>
                <c:pt idx="1343">
                  <c:v>250.00201999999999</c:v>
                </c:pt>
                <c:pt idx="1344">
                  <c:v>250.01000999999999</c:v>
                </c:pt>
                <c:pt idx="1345">
                  <c:v>250.00599</c:v>
                </c:pt>
                <c:pt idx="1346">
                  <c:v>250.00497999999999</c:v>
                </c:pt>
                <c:pt idx="1347">
                  <c:v>250.00801000000001</c:v>
                </c:pt>
                <c:pt idx="1348">
                  <c:v>250.00792000000001</c:v>
                </c:pt>
                <c:pt idx="1349">
                  <c:v>250.00399999999999</c:v>
                </c:pt>
                <c:pt idx="1350">
                  <c:v>249.99893</c:v>
                </c:pt>
                <c:pt idx="1351">
                  <c:v>250.00095999999999</c:v>
                </c:pt>
                <c:pt idx="1352">
                  <c:v>250.00308999999999</c:v>
                </c:pt>
                <c:pt idx="1353">
                  <c:v>250.00297</c:v>
                </c:pt>
                <c:pt idx="1354">
                  <c:v>250.00702999999999</c:v>
                </c:pt>
                <c:pt idx="1355">
                  <c:v>250.00800000000001</c:v>
                </c:pt>
                <c:pt idx="1356">
                  <c:v>250.01002</c:v>
                </c:pt>
                <c:pt idx="1357">
                  <c:v>250.011</c:v>
                </c:pt>
                <c:pt idx="1358">
                  <c:v>250.00996000000001</c:v>
                </c:pt>
                <c:pt idx="1359">
                  <c:v>250.00502</c:v>
                </c:pt>
                <c:pt idx="1360">
                  <c:v>250.00801000000001</c:v>
                </c:pt>
                <c:pt idx="1361">
                  <c:v>250.00502</c:v>
                </c:pt>
                <c:pt idx="1362">
                  <c:v>250.00698</c:v>
                </c:pt>
                <c:pt idx="1363">
                  <c:v>250.00798</c:v>
                </c:pt>
                <c:pt idx="1364">
                  <c:v>250.00597999999999</c:v>
                </c:pt>
                <c:pt idx="1365">
                  <c:v>250.00299000000001</c:v>
                </c:pt>
                <c:pt idx="1366">
                  <c:v>249.99898999999999</c:v>
                </c:pt>
                <c:pt idx="1367">
                  <c:v>249.99697</c:v>
                </c:pt>
                <c:pt idx="1368">
                  <c:v>249.99997999999999</c:v>
                </c:pt>
                <c:pt idx="1369">
                  <c:v>250.00502</c:v>
                </c:pt>
                <c:pt idx="1370">
                  <c:v>250.00594000000001</c:v>
                </c:pt>
                <c:pt idx="1371">
                  <c:v>250.00199000000001</c:v>
                </c:pt>
                <c:pt idx="1372">
                  <c:v>250.00003000000001</c:v>
                </c:pt>
                <c:pt idx="1373">
                  <c:v>249.99895000000001</c:v>
                </c:pt>
                <c:pt idx="1374">
                  <c:v>249.99897000000001</c:v>
                </c:pt>
                <c:pt idx="1375">
                  <c:v>250.00104999999999</c:v>
                </c:pt>
                <c:pt idx="1376">
                  <c:v>250.00398000000001</c:v>
                </c:pt>
                <c:pt idx="1377">
                  <c:v>250.00496000000001</c:v>
                </c:pt>
                <c:pt idx="1378">
                  <c:v>250.00701000000001</c:v>
                </c:pt>
                <c:pt idx="1379">
                  <c:v>250.00704999999999</c:v>
                </c:pt>
                <c:pt idx="1380">
                  <c:v>250.00702000000001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C6-F441-8B17-C54C6F3F7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1972160"/>
        <c:axId val="1361920384"/>
      </c:lineChart>
      <c:catAx>
        <c:axId val="1361972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361920384"/>
        <c:crosses val="autoZero"/>
        <c:auto val="0"/>
        <c:lblAlgn val="ctr"/>
        <c:lblOffset val="100"/>
        <c:tickLblSkip val="50"/>
        <c:noMultiLvlLbl val="0"/>
      </c:catAx>
      <c:valAx>
        <c:axId val="1361920384"/>
        <c:scaling>
          <c:orientation val="minMax"/>
          <c:max val="2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361972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Oxidation Step, time/mass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'250C (Sif)'!$B$212:$B$1411</c:f>
              <c:numCache>
                <c:formatCode>0.00000</c:formatCode>
                <c:ptCount val="1200"/>
                <c:pt idx="0">
                  <c:v>90.5</c:v>
                </c:pt>
                <c:pt idx="1">
                  <c:v>91</c:v>
                </c:pt>
                <c:pt idx="2">
                  <c:v>91.5</c:v>
                </c:pt>
                <c:pt idx="3">
                  <c:v>92</c:v>
                </c:pt>
                <c:pt idx="4">
                  <c:v>92.5</c:v>
                </c:pt>
                <c:pt idx="5">
                  <c:v>93</c:v>
                </c:pt>
                <c:pt idx="6">
                  <c:v>93.5</c:v>
                </c:pt>
                <c:pt idx="7">
                  <c:v>94</c:v>
                </c:pt>
                <c:pt idx="8">
                  <c:v>94.5</c:v>
                </c:pt>
                <c:pt idx="9">
                  <c:v>95</c:v>
                </c:pt>
                <c:pt idx="10">
                  <c:v>95.5</c:v>
                </c:pt>
                <c:pt idx="11">
                  <c:v>96</c:v>
                </c:pt>
                <c:pt idx="12">
                  <c:v>96.5</c:v>
                </c:pt>
                <c:pt idx="13">
                  <c:v>97</c:v>
                </c:pt>
                <c:pt idx="14">
                  <c:v>97.5</c:v>
                </c:pt>
                <c:pt idx="15">
                  <c:v>98</c:v>
                </c:pt>
                <c:pt idx="16">
                  <c:v>98.5</c:v>
                </c:pt>
                <c:pt idx="17">
                  <c:v>99</c:v>
                </c:pt>
                <c:pt idx="18">
                  <c:v>99.5</c:v>
                </c:pt>
                <c:pt idx="19">
                  <c:v>100</c:v>
                </c:pt>
                <c:pt idx="20">
                  <c:v>100.5</c:v>
                </c:pt>
                <c:pt idx="21">
                  <c:v>101</c:v>
                </c:pt>
                <c:pt idx="22">
                  <c:v>101.5</c:v>
                </c:pt>
                <c:pt idx="23">
                  <c:v>102</c:v>
                </c:pt>
                <c:pt idx="24">
                  <c:v>102.5</c:v>
                </c:pt>
                <c:pt idx="25">
                  <c:v>103</c:v>
                </c:pt>
                <c:pt idx="26">
                  <c:v>103.5</c:v>
                </c:pt>
                <c:pt idx="27">
                  <c:v>104</c:v>
                </c:pt>
                <c:pt idx="28">
                  <c:v>104.5</c:v>
                </c:pt>
                <c:pt idx="29">
                  <c:v>105</c:v>
                </c:pt>
                <c:pt idx="30">
                  <c:v>105.5</c:v>
                </c:pt>
                <c:pt idx="31">
                  <c:v>106</c:v>
                </c:pt>
                <c:pt idx="32">
                  <c:v>106.5</c:v>
                </c:pt>
                <c:pt idx="33">
                  <c:v>107</c:v>
                </c:pt>
                <c:pt idx="34">
                  <c:v>107.5</c:v>
                </c:pt>
                <c:pt idx="35">
                  <c:v>108</c:v>
                </c:pt>
                <c:pt idx="36">
                  <c:v>108.5</c:v>
                </c:pt>
                <c:pt idx="37">
                  <c:v>109</c:v>
                </c:pt>
                <c:pt idx="38">
                  <c:v>109.5</c:v>
                </c:pt>
                <c:pt idx="39">
                  <c:v>110</c:v>
                </c:pt>
                <c:pt idx="40">
                  <c:v>110.5</c:v>
                </c:pt>
                <c:pt idx="41">
                  <c:v>111</c:v>
                </c:pt>
                <c:pt idx="42">
                  <c:v>111.5</c:v>
                </c:pt>
                <c:pt idx="43">
                  <c:v>112</c:v>
                </c:pt>
                <c:pt idx="44">
                  <c:v>112.5</c:v>
                </c:pt>
                <c:pt idx="45">
                  <c:v>113</c:v>
                </c:pt>
                <c:pt idx="46">
                  <c:v>113.5</c:v>
                </c:pt>
                <c:pt idx="47">
                  <c:v>114</c:v>
                </c:pt>
                <c:pt idx="48">
                  <c:v>114.5</c:v>
                </c:pt>
                <c:pt idx="49">
                  <c:v>115</c:v>
                </c:pt>
                <c:pt idx="50">
                  <c:v>115.5</c:v>
                </c:pt>
                <c:pt idx="51">
                  <c:v>116</c:v>
                </c:pt>
                <c:pt idx="52">
                  <c:v>116.5</c:v>
                </c:pt>
                <c:pt idx="53">
                  <c:v>117</c:v>
                </c:pt>
                <c:pt idx="54">
                  <c:v>117.5</c:v>
                </c:pt>
                <c:pt idx="55">
                  <c:v>118</c:v>
                </c:pt>
                <c:pt idx="56">
                  <c:v>118.5</c:v>
                </c:pt>
                <c:pt idx="57">
                  <c:v>119</c:v>
                </c:pt>
                <c:pt idx="58">
                  <c:v>119.5</c:v>
                </c:pt>
                <c:pt idx="59">
                  <c:v>120</c:v>
                </c:pt>
                <c:pt idx="60">
                  <c:v>120.5</c:v>
                </c:pt>
                <c:pt idx="61">
                  <c:v>121</c:v>
                </c:pt>
                <c:pt idx="62">
                  <c:v>121.5</c:v>
                </c:pt>
                <c:pt idx="63">
                  <c:v>122</c:v>
                </c:pt>
                <c:pt idx="64">
                  <c:v>122.5</c:v>
                </c:pt>
                <c:pt idx="65">
                  <c:v>123</c:v>
                </c:pt>
                <c:pt idx="66">
                  <c:v>123.5</c:v>
                </c:pt>
                <c:pt idx="67">
                  <c:v>124</c:v>
                </c:pt>
                <c:pt idx="68">
                  <c:v>124.5</c:v>
                </c:pt>
                <c:pt idx="69">
                  <c:v>125</c:v>
                </c:pt>
                <c:pt idx="70">
                  <c:v>125.5</c:v>
                </c:pt>
                <c:pt idx="71">
                  <c:v>126</c:v>
                </c:pt>
                <c:pt idx="72">
                  <c:v>126.5</c:v>
                </c:pt>
                <c:pt idx="73">
                  <c:v>127</c:v>
                </c:pt>
                <c:pt idx="74">
                  <c:v>127.5</c:v>
                </c:pt>
                <c:pt idx="75">
                  <c:v>128</c:v>
                </c:pt>
                <c:pt idx="76">
                  <c:v>128.5</c:v>
                </c:pt>
                <c:pt idx="77">
                  <c:v>129</c:v>
                </c:pt>
                <c:pt idx="78">
                  <c:v>129.5</c:v>
                </c:pt>
                <c:pt idx="79">
                  <c:v>130</c:v>
                </c:pt>
                <c:pt idx="80">
                  <c:v>130.5</c:v>
                </c:pt>
                <c:pt idx="81">
                  <c:v>131</c:v>
                </c:pt>
                <c:pt idx="82">
                  <c:v>131.5</c:v>
                </c:pt>
                <c:pt idx="83">
                  <c:v>132</c:v>
                </c:pt>
                <c:pt idx="84">
                  <c:v>132.5</c:v>
                </c:pt>
                <c:pt idx="85">
                  <c:v>133</c:v>
                </c:pt>
                <c:pt idx="86">
                  <c:v>133.5</c:v>
                </c:pt>
                <c:pt idx="87">
                  <c:v>134</c:v>
                </c:pt>
                <c:pt idx="88">
                  <c:v>134.5</c:v>
                </c:pt>
                <c:pt idx="89">
                  <c:v>135</c:v>
                </c:pt>
                <c:pt idx="90">
                  <c:v>135.5</c:v>
                </c:pt>
                <c:pt idx="91">
                  <c:v>136</c:v>
                </c:pt>
                <c:pt idx="92">
                  <c:v>136.5</c:v>
                </c:pt>
                <c:pt idx="93">
                  <c:v>137</c:v>
                </c:pt>
                <c:pt idx="94">
                  <c:v>137.5</c:v>
                </c:pt>
                <c:pt idx="95">
                  <c:v>138</c:v>
                </c:pt>
                <c:pt idx="96">
                  <c:v>138.5</c:v>
                </c:pt>
                <c:pt idx="97">
                  <c:v>139</c:v>
                </c:pt>
                <c:pt idx="98">
                  <c:v>139.5</c:v>
                </c:pt>
                <c:pt idx="99">
                  <c:v>140</c:v>
                </c:pt>
                <c:pt idx="100">
                  <c:v>140.5</c:v>
                </c:pt>
                <c:pt idx="101">
                  <c:v>141</c:v>
                </c:pt>
                <c:pt idx="102">
                  <c:v>141.5</c:v>
                </c:pt>
                <c:pt idx="103">
                  <c:v>142</c:v>
                </c:pt>
                <c:pt idx="104">
                  <c:v>142.5</c:v>
                </c:pt>
                <c:pt idx="105">
                  <c:v>143</c:v>
                </c:pt>
                <c:pt idx="106">
                  <c:v>143.5</c:v>
                </c:pt>
                <c:pt idx="107">
                  <c:v>144</c:v>
                </c:pt>
                <c:pt idx="108">
                  <c:v>144.5</c:v>
                </c:pt>
                <c:pt idx="109">
                  <c:v>145</c:v>
                </c:pt>
                <c:pt idx="110">
                  <c:v>145.5</c:v>
                </c:pt>
                <c:pt idx="111">
                  <c:v>146</c:v>
                </c:pt>
                <c:pt idx="112">
                  <c:v>146.5</c:v>
                </c:pt>
                <c:pt idx="113">
                  <c:v>147</c:v>
                </c:pt>
                <c:pt idx="114">
                  <c:v>147.5</c:v>
                </c:pt>
                <c:pt idx="115">
                  <c:v>148</c:v>
                </c:pt>
                <c:pt idx="116">
                  <c:v>148.5</c:v>
                </c:pt>
                <c:pt idx="117">
                  <c:v>149</c:v>
                </c:pt>
                <c:pt idx="118">
                  <c:v>149.5</c:v>
                </c:pt>
                <c:pt idx="119">
                  <c:v>150</c:v>
                </c:pt>
                <c:pt idx="120">
                  <c:v>150.5</c:v>
                </c:pt>
                <c:pt idx="121">
                  <c:v>151</c:v>
                </c:pt>
                <c:pt idx="122">
                  <c:v>151.5</c:v>
                </c:pt>
                <c:pt idx="123">
                  <c:v>152</c:v>
                </c:pt>
                <c:pt idx="124">
                  <c:v>152.5</c:v>
                </c:pt>
                <c:pt idx="125">
                  <c:v>153</c:v>
                </c:pt>
                <c:pt idx="126">
                  <c:v>153.5</c:v>
                </c:pt>
                <c:pt idx="127">
                  <c:v>154</c:v>
                </c:pt>
                <c:pt idx="128">
                  <c:v>154.5</c:v>
                </c:pt>
                <c:pt idx="129">
                  <c:v>155</c:v>
                </c:pt>
                <c:pt idx="130">
                  <c:v>155.5</c:v>
                </c:pt>
                <c:pt idx="131">
                  <c:v>156</c:v>
                </c:pt>
                <c:pt idx="132">
                  <c:v>156.5</c:v>
                </c:pt>
                <c:pt idx="133">
                  <c:v>157</c:v>
                </c:pt>
                <c:pt idx="134">
                  <c:v>157.5</c:v>
                </c:pt>
                <c:pt idx="135">
                  <c:v>158</c:v>
                </c:pt>
                <c:pt idx="136">
                  <c:v>158.5</c:v>
                </c:pt>
                <c:pt idx="137">
                  <c:v>159</c:v>
                </c:pt>
                <c:pt idx="138">
                  <c:v>159.5</c:v>
                </c:pt>
                <c:pt idx="139">
                  <c:v>160</c:v>
                </c:pt>
                <c:pt idx="140">
                  <c:v>160.5</c:v>
                </c:pt>
                <c:pt idx="141">
                  <c:v>161</c:v>
                </c:pt>
                <c:pt idx="142">
                  <c:v>161.5</c:v>
                </c:pt>
                <c:pt idx="143">
                  <c:v>162</c:v>
                </c:pt>
                <c:pt idx="144">
                  <c:v>162.5</c:v>
                </c:pt>
                <c:pt idx="145">
                  <c:v>163</c:v>
                </c:pt>
                <c:pt idx="146">
                  <c:v>163.5</c:v>
                </c:pt>
                <c:pt idx="147">
                  <c:v>164</c:v>
                </c:pt>
                <c:pt idx="148">
                  <c:v>164.5</c:v>
                </c:pt>
                <c:pt idx="149">
                  <c:v>165</c:v>
                </c:pt>
                <c:pt idx="150">
                  <c:v>165.5</c:v>
                </c:pt>
                <c:pt idx="151">
                  <c:v>166</c:v>
                </c:pt>
                <c:pt idx="152">
                  <c:v>166.5</c:v>
                </c:pt>
                <c:pt idx="153">
                  <c:v>167</c:v>
                </c:pt>
                <c:pt idx="154">
                  <c:v>167.5</c:v>
                </c:pt>
                <c:pt idx="155">
                  <c:v>168</c:v>
                </c:pt>
                <c:pt idx="156">
                  <c:v>168.5</c:v>
                </c:pt>
                <c:pt idx="157">
                  <c:v>169</c:v>
                </c:pt>
                <c:pt idx="158">
                  <c:v>169.5</c:v>
                </c:pt>
                <c:pt idx="159">
                  <c:v>170</c:v>
                </c:pt>
                <c:pt idx="160">
                  <c:v>170.5</c:v>
                </c:pt>
                <c:pt idx="161">
                  <c:v>171</c:v>
                </c:pt>
                <c:pt idx="162">
                  <c:v>171.5</c:v>
                </c:pt>
                <c:pt idx="163">
                  <c:v>172</c:v>
                </c:pt>
                <c:pt idx="164">
                  <c:v>172.5</c:v>
                </c:pt>
                <c:pt idx="165">
                  <c:v>173</c:v>
                </c:pt>
                <c:pt idx="166">
                  <c:v>173.5</c:v>
                </c:pt>
                <c:pt idx="167">
                  <c:v>174</c:v>
                </c:pt>
                <c:pt idx="168">
                  <c:v>174.5</c:v>
                </c:pt>
                <c:pt idx="169">
                  <c:v>175</c:v>
                </c:pt>
                <c:pt idx="170">
                  <c:v>175.5</c:v>
                </c:pt>
                <c:pt idx="171">
                  <c:v>176</c:v>
                </c:pt>
                <c:pt idx="172">
                  <c:v>176.5</c:v>
                </c:pt>
                <c:pt idx="173">
                  <c:v>177</c:v>
                </c:pt>
                <c:pt idx="174">
                  <c:v>177.5</c:v>
                </c:pt>
                <c:pt idx="175">
                  <c:v>178</c:v>
                </c:pt>
                <c:pt idx="176">
                  <c:v>178.5</c:v>
                </c:pt>
                <c:pt idx="177">
                  <c:v>179</c:v>
                </c:pt>
                <c:pt idx="178">
                  <c:v>179.5</c:v>
                </c:pt>
                <c:pt idx="179">
                  <c:v>180</c:v>
                </c:pt>
                <c:pt idx="180">
                  <c:v>180.5</c:v>
                </c:pt>
                <c:pt idx="181">
                  <c:v>181</c:v>
                </c:pt>
                <c:pt idx="182">
                  <c:v>181.5</c:v>
                </c:pt>
                <c:pt idx="183">
                  <c:v>182</c:v>
                </c:pt>
                <c:pt idx="184">
                  <c:v>182.5</c:v>
                </c:pt>
                <c:pt idx="185">
                  <c:v>183</c:v>
                </c:pt>
                <c:pt idx="186">
                  <c:v>183.5</c:v>
                </c:pt>
                <c:pt idx="187">
                  <c:v>184</c:v>
                </c:pt>
                <c:pt idx="188">
                  <c:v>184.5</c:v>
                </c:pt>
                <c:pt idx="189">
                  <c:v>185</c:v>
                </c:pt>
                <c:pt idx="190">
                  <c:v>185.5</c:v>
                </c:pt>
                <c:pt idx="191">
                  <c:v>186</c:v>
                </c:pt>
                <c:pt idx="192">
                  <c:v>186.5</c:v>
                </c:pt>
                <c:pt idx="193">
                  <c:v>187</c:v>
                </c:pt>
                <c:pt idx="194">
                  <c:v>187.5</c:v>
                </c:pt>
                <c:pt idx="195">
                  <c:v>188</c:v>
                </c:pt>
                <c:pt idx="196">
                  <c:v>188.5</c:v>
                </c:pt>
                <c:pt idx="197">
                  <c:v>189</c:v>
                </c:pt>
                <c:pt idx="198">
                  <c:v>189.5</c:v>
                </c:pt>
                <c:pt idx="199">
                  <c:v>190</c:v>
                </c:pt>
                <c:pt idx="200">
                  <c:v>190.5</c:v>
                </c:pt>
                <c:pt idx="201">
                  <c:v>191</c:v>
                </c:pt>
                <c:pt idx="202">
                  <c:v>191.5</c:v>
                </c:pt>
                <c:pt idx="203">
                  <c:v>192</c:v>
                </c:pt>
                <c:pt idx="204">
                  <c:v>192.5</c:v>
                </c:pt>
                <c:pt idx="205">
                  <c:v>193</c:v>
                </c:pt>
                <c:pt idx="206">
                  <c:v>193.5</c:v>
                </c:pt>
                <c:pt idx="207">
                  <c:v>194</c:v>
                </c:pt>
                <c:pt idx="208">
                  <c:v>194.5</c:v>
                </c:pt>
                <c:pt idx="209">
                  <c:v>195</c:v>
                </c:pt>
                <c:pt idx="210">
                  <c:v>195.5</c:v>
                </c:pt>
                <c:pt idx="211">
                  <c:v>196</c:v>
                </c:pt>
                <c:pt idx="212">
                  <c:v>196.5</c:v>
                </c:pt>
                <c:pt idx="213">
                  <c:v>197</c:v>
                </c:pt>
                <c:pt idx="214">
                  <c:v>197.5</c:v>
                </c:pt>
                <c:pt idx="215">
                  <c:v>198</c:v>
                </c:pt>
                <c:pt idx="216">
                  <c:v>198.5</c:v>
                </c:pt>
                <c:pt idx="217">
                  <c:v>199</c:v>
                </c:pt>
                <c:pt idx="218">
                  <c:v>199.5</c:v>
                </c:pt>
                <c:pt idx="219">
                  <c:v>200</c:v>
                </c:pt>
                <c:pt idx="220">
                  <c:v>200.5</c:v>
                </c:pt>
                <c:pt idx="221">
                  <c:v>201</c:v>
                </c:pt>
                <c:pt idx="222">
                  <c:v>201.5</c:v>
                </c:pt>
                <c:pt idx="223">
                  <c:v>202</c:v>
                </c:pt>
                <c:pt idx="224">
                  <c:v>202.5</c:v>
                </c:pt>
                <c:pt idx="225">
                  <c:v>203</c:v>
                </c:pt>
                <c:pt idx="226">
                  <c:v>203.5</c:v>
                </c:pt>
                <c:pt idx="227">
                  <c:v>204</c:v>
                </c:pt>
                <c:pt idx="228">
                  <c:v>204.5</c:v>
                </c:pt>
                <c:pt idx="229">
                  <c:v>205</c:v>
                </c:pt>
                <c:pt idx="230">
                  <c:v>205.5</c:v>
                </c:pt>
                <c:pt idx="231">
                  <c:v>206</c:v>
                </c:pt>
                <c:pt idx="232">
                  <c:v>206.5</c:v>
                </c:pt>
                <c:pt idx="233">
                  <c:v>207</c:v>
                </c:pt>
                <c:pt idx="234">
                  <c:v>207.5</c:v>
                </c:pt>
                <c:pt idx="235">
                  <c:v>208</c:v>
                </c:pt>
                <c:pt idx="236">
                  <c:v>208.5</c:v>
                </c:pt>
                <c:pt idx="237">
                  <c:v>209</c:v>
                </c:pt>
                <c:pt idx="238">
                  <c:v>209.5</c:v>
                </c:pt>
                <c:pt idx="239">
                  <c:v>210</c:v>
                </c:pt>
                <c:pt idx="240">
                  <c:v>210.5</c:v>
                </c:pt>
                <c:pt idx="241">
                  <c:v>211</c:v>
                </c:pt>
                <c:pt idx="242">
                  <c:v>211.5</c:v>
                </c:pt>
                <c:pt idx="243">
                  <c:v>212</c:v>
                </c:pt>
                <c:pt idx="244">
                  <c:v>212.5</c:v>
                </c:pt>
                <c:pt idx="245">
                  <c:v>213</c:v>
                </c:pt>
                <c:pt idx="246">
                  <c:v>213.5</c:v>
                </c:pt>
                <c:pt idx="247">
                  <c:v>214</c:v>
                </c:pt>
                <c:pt idx="248">
                  <c:v>214.5</c:v>
                </c:pt>
                <c:pt idx="249">
                  <c:v>215</c:v>
                </c:pt>
                <c:pt idx="250">
                  <c:v>215.5</c:v>
                </c:pt>
                <c:pt idx="251">
                  <c:v>216</c:v>
                </c:pt>
                <c:pt idx="252">
                  <c:v>216.5</c:v>
                </c:pt>
                <c:pt idx="253">
                  <c:v>217</c:v>
                </c:pt>
                <c:pt idx="254">
                  <c:v>217.5</c:v>
                </c:pt>
                <c:pt idx="255">
                  <c:v>218</c:v>
                </c:pt>
                <c:pt idx="256">
                  <c:v>218.5</c:v>
                </c:pt>
                <c:pt idx="257">
                  <c:v>219</c:v>
                </c:pt>
                <c:pt idx="258">
                  <c:v>219.5</c:v>
                </c:pt>
                <c:pt idx="259">
                  <c:v>220</c:v>
                </c:pt>
                <c:pt idx="260">
                  <c:v>220.5</c:v>
                </c:pt>
                <c:pt idx="261">
                  <c:v>221</c:v>
                </c:pt>
                <c:pt idx="262">
                  <c:v>221.5</c:v>
                </c:pt>
                <c:pt idx="263">
                  <c:v>222</c:v>
                </c:pt>
                <c:pt idx="264">
                  <c:v>222.5</c:v>
                </c:pt>
                <c:pt idx="265">
                  <c:v>223</c:v>
                </c:pt>
                <c:pt idx="266">
                  <c:v>223.5</c:v>
                </c:pt>
                <c:pt idx="267">
                  <c:v>224</c:v>
                </c:pt>
                <c:pt idx="268">
                  <c:v>224.5</c:v>
                </c:pt>
                <c:pt idx="269">
                  <c:v>225</c:v>
                </c:pt>
                <c:pt idx="270">
                  <c:v>225.5</c:v>
                </c:pt>
                <c:pt idx="271">
                  <c:v>226</c:v>
                </c:pt>
                <c:pt idx="272">
                  <c:v>226.5</c:v>
                </c:pt>
                <c:pt idx="273">
                  <c:v>227</c:v>
                </c:pt>
                <c:pt idx="274">
                  <c:v>227.5</c:v>
                </c:pt>
                <c:pt idx="275">
                  <c:v>228</c:v>
                </c:pt>
                <c:pt idx="276">
                  <c:v>228.5</c:v>
                </c:pt>
                <c:pt idx="277">
                  <c:v>229</c:v>
                </c:pt>
                <c:pt idx="278">
                  <c:v>229.5</c:v>
                </c:pt>
                <c:pt idx="279">
                  <c:v>230</c:v>
                </c:pt>
                <c:pt idx="280">
                  <c:v>230.5</c:v>
                </c:pt>
                <c:pt idx="281">
                  <c:v>231</c:v>
                </c:pt>
                <c:pt idx="282">
                  <c:v>231.5</c:v>
                </c:pt>
                <c:pt idx="283">
                  <c:v>232</c:v>
                </c:pt>
                <c:pt idx="284">
                  <c:v>232.5</c:v>
                </c:pt>
                <c:pt idx="285">
                  <c:v>233</c:v>
                </c:pt>
                <c:pt idx="286">
                  <c:v>233.5</c:v>
                </c:pt>
                <c:pt idx="287">
                  <c:v>234</c:v>
                </c:pt>
                <c:pt idx="288">
                  <c:v>234.5</c:v>
                </c:pt>
                <c:pt idx="289">
                  <c:v>235</c:v>
                </c:pt>
                <c:pt idx="290">
                  <c:v>235.5</c:v>
                </c:pt>
                <c:pt idx="291">
                  <c:v>236</c:v>
                </c:pt>
                <c:pt idx="292">
                  <c:v>236.5</c:v>
                </c:pt>
                <c:pt idx="293">
                  <c:v>237</c:v>
                </c:pt>
                <c:pt idx="294">
                  <c:v>237.5</c:v>
                </c:pt>
                <c:pt idx="295">
                  <c:v>238</c:v>
                </c:pt>
                <c:pt idx="296">
                  <c:v>238.5</c:v>
                </c:pt>
                <c:pt idx="297">
                  <c:v>239</c:v>
                </c:pt>
                <c:pt idx="298">
                  <c:v>239.5</c:v>
                </c:pt>
                <c:pt idx="299">
                  <c:v>240</c:v>
                </c:pt>
                <c:pt idx="300">
                  <c:v>240.5</c:v>
                </c:pt>
                <c:pt idx="301">
                  <c:v>241</c:v>
                </c:pt>
                <c:pt idx="302">
                  <c:v>241.5</c:v>
                </c:pt>
                <c:pt idx="303">
                  <c:v>242</c:v>
                </c:pt>
                <c:pt idx="304">
                  <c:v>242.5</c:v>
                </c:pt>
                <c:pt idx="305">
                  <c:v>243</c:v>
                </c:pt>
                <c:pt idx="306">
                  <c:v>243.5</c:v>
                </c:pt>
                <c:pt idx="307">
                  <c:v>244</c:v>
                </c:pt>
                <c:pt idx="308">
                  <c:v>244.5</c:v>
                </c:pt>
                <c:pt idx="309">
                  <c:v>245</c:v>
                </c:pt>
                <c:pt idx="310">
                  <c:v>245.5</c:v>
                </c:pt>
                <c:pt idx="311">
                  <c:v>246</c:v>
                </c:pt>
                <c:pt idx="312">
                  <c:v>246.5</c:v>
                </c:pt>
                <c:pt idx="313">
                  <c:v>247</c:v>
                </c:pt>
                <c:pt idx="314">
                  <c:v>247.5</c:v>
                </c:pt>
                <c:pt idx="315">
                  <c:v>248</c:v>
                </c:pt>
                <c:pt idx="316">
                  <c:v>248.5</c:v>
                </c:pt>
                <c:pt idx="317">
                  <c:v>249</c:v>
                </c:pt>
                <c:pt idx="318">
                  <c:v>249.5</c:v>
                </c:pt>
                <c:pt idx="319">
                  <c:v>250</c:v>
                </c:pt>
                <c:pt idx="320">
                  <c:v>250.5</c:v>
                </c:pt>
                <c:pt idx="321">
                  <c:v>251</c:v>
                </c:pt>
                <c:pt idx="322">
                  <c:v>251.5</c:v>
                </c:pt>
                <c:pt idx="323">
                  <c:v>252</c:v>
                </c:pt>
                <c:pt idx="324">
                  <c:v>252.5</c:v>
                </c:pt>
                <c:pt idx="325">
                  <c:v>253</c:v>
                </c:pt>
                <c:pt idx="326">
                  <c:v>253.5</c:v>
                </c:pt>
                <c:pt idx="327">
                  <c:v>254</c:v>
                </c:pt>
                <c:pt idx="328">
                  <c:v>254.5</c:v>
                </c:pt>
                <c:pt idx="329">
                  <c:v>255</c:v>
                </c:pt>
                <c:pt idx="330">
                  <c:v>255.5</c:v>
                </c:pt>
                <c:pt idx="331">
                  <c:v>256</c:v>
                </c:pt>
                <c:pt idx="332">
                  <c:v>256.5</c:v>
                </c:pt>
                <c:pt idx="333">
                  <c:v>257</c:v>
                </c:pt>
                <c:pt idx="334">
                  <c:v>257.5</c:v>
                </c:pt>
                <c:pt idx="335">
                  <c:v>258</c:v>
                </c:pt>
                <c:pt idx="336">
                  <c:v>258.5</c:v>
                </c:pt>
                <c:pt idx="337">
                  <c:v>259</c:v>
                </c:pt>
                <c:pt idx="338">
                  <c:v>259.5</c:v>
                </c:pt>
                <c:pt idx="339">
                  <c:v>260</c:v>
                </c:pt>
                <c:pt idx="340">
                  <c:v>260.5</c:v>
                </c:pt>
                <c:pt idx="341">
                  <c:v>261</c:v>
                </c:pt>
                <c:pt idx="342">
                  <c:v>261.5</c:v>
                </c:pt>
                <c:pt idx="343">
                  <c:v>262</c:v>
                </c:pt>
                <c:pt idx="344">
                  <c:v>262.5</c:v>
                </c:pt>
                <c:pt idx="345">
                  <c:v>263</c:v>
                </c:pt>
                <c:pt idx="346">
                  <c:v>263.5</c:v>
                </c:pt>
                <c:pt idx="347">
                  <c:v>264</c:v>
                </c:pt>
                <c:pt idx="348">
                  <c:v>264.5</c:v>
                </c:pt>
                <c:pt idx="349">
                  <c:v>265</c:v>
                </c:pt>
                <c:pt idx="350">
                  <c:v>265.5</c:v>
                </c:pt>
                <c:pt idx="351">
                  <c:v>266</c:v>
                </c:pt>
                <c:pt idx="352">
                  <c:v>266.5</c:v>
                </c:pt>
                <c:pt idx="353">
                  <c:v>267</c:v>
                </c:pt>
                <c:pt idx="354">
                  <c:v>267.5</c:v>
                </c:pt>
                <c:pt idx="355">
                  <c:v>268</c:v>
                </c:pt>
                <c:pt idx="356">
                  <c:v>268.5</c:v>
                </c:pt>
                <c:pt idx="357">
                  <c:v>269</c:v>
                </c:pt>
                <c:pt idx="358">
                  <c:v>269.5</c:v>
                </c:pt>
                <c:pt idx="359">
                  <c:v>270</c:v>
                </c:pt>
                <c:pt idx="360">
                  <c:v>270.5</c:v>
                </c:pt>
                <c:pt idx="361">
                  <c:v>271</c:v>
                </c:pt>
                <c:pt idx="362">
                  <c:v>271.5</c:v>
                </c:pt>
                <c:pt idx="363">
                  <c:v>272</c:v>
                </c:pt>
                <c:pt idx="364">
                  <c:v>272.5</c:v>
                </c:pt>
                <c:pt idx="365">
                  <c:v>273</c:v>
                </c:pt>
                <c:pt idx="366">
                  <c:v>273.5</c:v>
                </c:pt>
                <c:pt idx="367">
                  <c:v>274</c:v>
                </c:pt>
                <c:pt idx="368">
                  <c:v>274.5</c:v>
                </c:pt>
                <c:pt idx="369">
                  <c:v>275</c:v>
                </c:pt>
                <c:pt idx="370">
                  <c:v>275.5</c:v>
                </c:pt>
                <c:pt idx="371">
                  <c:v>276</c:v>
                </c:pt>
                <c:pt idx="372">
                  <c:v>276.5</c:v>
                </c:pt>
                <c:pt idx="373">
                  <c:v>277</c:v>
                </c:pt>
                <c:pt idx="374">
                  <c:v>277.5</c:v>
                </c:pt>
                <c:pt idx="375">
                  <c:v>278</c:v>
                </c:pt>
                <c:pt idx="376">
                  <c:v>278.5</c:v>
                </c:pt>
                <c:pt idx="377">
                  <c:v>279</c:v>
                </c:pt>
                <c:pt idx="378">
                  <c:v>279.5</c:v>
                </c:pt>
                <c:pt idx="379">
                  <c:v>280</c:v>
                </c:pt>
                <c:pt idx="380">
                  <c:v>280.5</c:v>
                </c:pt>
                <c:pt idx="381">
                  <c:v>281</c:v>
                </c:pt>
                <c:pt idx="382">
                  <c:v>281.5</c:v>
                </c:pt>
                <c:pt idx="383">
                  <c:v>282</c:v>
                </c:pt>
                <c:pt idx="384">
                  <c:v>282.5</c:v>
                </c:pt>
                <c:pt idx="385">
                  <c:v>283</c:v>
                </c:pt>
                <c:pt idx="386">
                  <c:v>283.5</c:v>
                </c:pt>
                <c:pt idx="387">
                  <c:v>284</c:v>
                </c:pt>
                <c:pt idx="388">
                  <c:v>284.5</c:v>
                </c:pt>
                <c:pt idx="389">
                  <c:v>285</c:v>
                </c:pt>
                <c:pt idx="390">
                  <c:v>285.5</c:v>
                </c:pt>
                <c:pt idx="391">
                  <c:v>286</c:v>
                </c:pt>
                <c:pt idx="392">
                  <c:v>286.5</c:v>
                </c:pt>
                <c:pt idx="393">
                  <c:v>287</c:v>
                </c:pt>
                <c:pt idx="394">
                  <c:v>287.5</c:v>
                </c:pt>
                <c:pt idx="395">
                  <c:v>288</c:v>
                </c:pt>
                <c:pt idx="396">
                  <c:v>288.5</c:v>
                </c:pt>
                <c:pt idx="397">
                  <c:v>289</c:v>
                </c:pt>
                <c:pt idx="398">
                  <c:v>289.5</c:v>
                </c:pt>
                <c:pt idx="399">
                  <c:v>290</c:v>
                </c:pt>
                <c:pt idx="400">
                  <c:v>290.5</c:v>
                </c:pt>
                <c:pt idx="401">
                  <c:v>291</c:v>
                </c:pt>
                <c:pt idx="402">
                  <c:v>291.5</c:v>
                </c:pt>
                <c:pt idx="403">
                  <c:v>292</c:v>
                </c:pt>
                <c:pt idx="404">
                  <c:v>292.5</c:v>
                </c:pt>
                <c:pt idx="405">
                  <c:v>293</c:v>
                </c:pt>
                <c:pt idx="406">
                  <c:v>293.5</c:v>
                </c:pt>
                <c:pt idx="407">
                  <c:v>294</c:v>
                </c:pt>
                <c:pt idx="408">
                  <c:v>294.5</c:v>
                </c:pt>
                <c:pt idx="409">
                  <c:v>295</c:v>
                </c:pt>
                <c:pt idx="410">
                  <c:v>295.5</c:v>
                </c:pt>
                <c:pt idx="411">
                  <c:v>296</c:v>
                </c:pt>
                <c:pt idx="412">
                  <c:v>296.5</c:v>
                </c:pt>
                <c:pt idx="413">
                  <c:v>297</c:v>
                </c:pt>
                <c:pt idx="414">
                  <c:v>297.5</c:v>
                </c:pt>
                <c:pt idx="415">
                  <c:v>298</c:v>
                </c:pt>
                <c:pt idx="416">
                  <c:v>298.5</c:v>
                </c:pt>
                <c:pt idx="417">
                  <c:v>299</c:v>
                </c:pt>
                <c:pt idx="418">
                  <c:v>299.5</c:v>
                </c:pt>
                <c:pt idx="419">
                  <c:v>300</c:v>
                </c:pt>
                <c:pt idx="420">
                  <c:v>300.5</c:v>
                </c:pt>
                <c:pt idx="421">
                  <c:v>301</c:v>
                </c:pt>
                <c:pt idx="422">
                  <c:v>301.5</c:v>
                </c:pt>
                <c:pt idx="423">
                  <c:v>302</c:v>
                </c:pt>
                <c:pt idx="424">
                  <c:v>302.5</c:v>
                </c:pt>
                <c:pt idx="425">
                  <c:v>303</c:v>
                </c:pt>
                <c:pt idx="426">
                  <c:v>303.5</c:v>
                </c:pt>
                <c:pt idx="427">
                  <c:v>304</c:v>
                </c:pt>
                <c:pt idx="428">
                  <c:v>304.5</c:v>
                </c:pt>
                <c:pt idx="429">
                  <c:v>305</c:v>
                </c:pt>
                <c:pt idx="430">
                  <c:v>305.5</c:v>
                </c:pt>
                <c:pt idx="431">
                  <c:v>306</c:v>
                </c:pt>
                <c:pt idx="432">
                  <c:v>306.5</c:v>
                </c:pt>
                <c:pt idx="433">
                  <c:v>307</c:v>
                </c:pt>
                <c:pt idx="434">
                  <c:v>307.5</c:v>
                </c:pt>
                <c:pt idx="435">
                  <c:v>308</c:v>
                </c:pt>
                <c:pt idx="436">
                  <c:v>308.5</c:v>
                </c:pt>
                <c:pt idx="437">
                  <c:v>309</c:v>
                </c:pt>
                <c:pt idx="438">
                  <c:v>309.5</c:v>
                </c:pt>
                <c:pt idx="439">
                  <c:v>310</c:v>
                </c:pt>
                <c:pt idx="440">
                  <c:v>310.5</c:v>
                </c:pt>
                <c:pt idx="441">
                  <c:v>311</c:v>
                </c:pt>
                <c:pt idx="442">
                  <c:v>311.5</c:v>
                </c:pt>
                <c:pt idx="443">
                  <c:v>312</c:v>
                </c:pt>
                <c:pt idx="444">
                  <c:v>312.5</c:v>
                </c:pt>
                <c:pt idx="445">
                  <c:v>313</c:v>
                </c:pt>
                <c:pt idx="446">
                  <c:v>313.5</c:v>
                </c:pt>
                <c:pt idx="447">
                  <c:v>314</c:v>
                </c:pt>
                <c:pt idx="448">
                  <c:v>314.5</c:v>
                </c:pt>
                <c:pt idx="449">
                  <c:v>315</c:v>
                </c:pt>
                <c:pt idx="450">
                  <c:v>315.5</c:v>
                </c:pt>
                <c:pt idx="451">
                  <c:v>316</c:v>
                </c:pt>
                <c:pt idx="452">
                  <c:v>316.5</c:v>
                </c:pt>
                <c:pt idx="453">
                  <c:v>317</c:v>
                </c:pt>
                <c:pt idx="454">
                  <c:v>317.5</c:v>
                </c:pt>
                <c:pt idx="455">
                  <c:v>318</c:v>
                </c:pt>
                <c:pt idx="456">
                  <c:v>318.5</c:v>
                </c:pt>
                <c:pt idx="457">
                  <c:v>319</c:v>
                </c:pt>
                <c:pt idx="458">
                  <c:v>319.5</c:v>
                </c:pt>
                <c:pt idx="459">
                  <c:v>320</c:v>
                </c:pt>
                <c:pt idx="460">
                  <c:v>320.5</c:v>
                </c:pt>
                <c:pt idx="461">
                  <c:v>321</c:v>
                </c:pt>
                <c:pt idx="462">
                  <c:v>321.5</c:v>
                </c:pt>
                <c:pt idx="463">
                  <c:v>322</c:v>
                </c:pt>
                <c:pt idx="464">
                  <c:v>322.5</c:v>
                </c:pt>
                <c:pt idx="465">
                  <c:v>323</c:v>
                </c:pt>
                <c:pt idx="466">
                  <c:v>323.5</c:v>
                </c:pt>
                <c:pt idx="467">
                  <c:v>324</c:v>
                </c:pt>
                <c:pt idx="468">
                  <c:v>324.5</c:v>
                </c:pt>
                <c:pt idx="469">
                  <c:v>325</c:v>
                </c:pt>
                <c:pt idx="470">
                  <c:v>325.5</c:v>
                </c:pt>
                <c:pt idx="471">
                  <c:v>326</c:v>
                </c:pt>
                <c:pt idx="472">
                  <c:v>326.5</c:v>
                </c:pt>
                <c:pt idx="473">
                  <c:v>327</c:v>
                </c:pt>
                <c:pt idx="474">
                  <c:v>327.5</c:v>
                </c:pt>
                <c:pt idx="475">
                  <c:v>328</c:v>
                </c:pt>
                <c:pt idx="476">
                  <c:v>328.5</c:v>
                </c:pt>
                <c:pt idx="477">
                  <c:v>329</c:v>
                </c:pt>
                <c:pt idx="478">
                  <c:v>329.5</c:v>
                </c:pt>
                <c:pt idx="479">
                  <c:v>330</c:v>
                </c:pt>
                <c:pt idx="480">
                  <c:v>330.5</c:v>
                </c:pt>
                <c:pt idx="481">
                  <c:v>331</c:v>
                </c:pt>
                <c:pt idx="482">
                  <c:v>331.5</c:v>
                </c:pt>
                <c:pt idx="483">
                  <c:v>332</c:v>
                </c:pt>
                <c:pt idx="484">
                  <c:v>332.5</c:v>
                </c:pt>
                <c:pt idx="485">
                  <c:v>333</c:v>
                </c:pt>
                <c:pt idx="486">
                  <c:v>333.5</c:v>
                </c:pt>
                <c:pt idx="487">
                  <c:v>334</c:v>
                </c:pt>
                <c:pt idx="488">
                  <c:v>334.5</c:v>
                </c:pt>
                <c:pt idx="489">
                  <c:v>335</c:v>
                </c:pt>
                <c:pt idx="490">
                  <c:v>335.5</c:v>
                </c:pt>
                <c:pt idx="491">
                  <c:v>336</c:v>
                </c:pt>
                <c:pt idx="492">
                  <c:v>336.5</c:v>
                </c:pt>
                <c:pt idx="493">
                  <c:v>337</c:v>
                </c:pt>
                <c:pt idx="494">
                  <c:v>337.5</c:v>
                </c:pt>
                <c:pt idx="495">
                  <c:v>338</c:v>
                </c:pt>
                <c:pt idx="496">
                  <c:v>338.5</c:v>
                </c:pt>
                <c:pt idx="497">
                  <c:v>339</c:v>
                </c:pt>
                <c:pt idx="498">
                  <c:v>339.5</c:v>
                </c:pt>
                <c:pt idx="499">
                  <c:v>340</c:v>
                </c:pt>
                <c:pt idx="500">
                  <c:v>340.5</c:v>
                </c:pt>
                <c:pt idx="501">
                  <c:v>341</c:v>
                </c:pt>
                <c:pt idx="502">
                  <c:v>341.5</c:v>
                </c:pt>
                <c:pt idx="503">
                  <c:v>342</c:v>
                </c:pt>
                <c:pt idx="504">
                  <c:v>342.5</c:v>
                </c:pt>
                <c:pt idx="505">
                  <c:v>343</c:v>
                </c:pt>
                <c:pt idx="506">
                  <c:v>343.5</c:v>
                </c:pt>
                <c:pt idx="507">
                  <c:v>344</c:v>
                </c:pt>
                <c:pt idx="508">
                  <c:v>344.5</c:v>
                </c:pt>
                <c:pt idx="509">
                  <c:v>345</c:v>
                </c:pt>
                <c:pt idx="510">
                  <c:v>345.5</c:v>
                </c:pt>
                <c:pt idx="511">
                  <c:v>346</c:v>
                </c:pt>
                <c:pt idx="512">
                  <c:v>346.5</c:v>
                </c:pt>
                <c:pt idx="513">
                  <c:v>347</c:v>
                </c:pt>
                <c:pt idx="514">
                  <c:v>347.5</c:v>
                </c:pt>
                <c:pt idx="515">
                  <c:v>348</c:v>
                </c:pt>
                <c:pt idx="516">
                  <c:v>348.5</c:v>
                </c:pt>
                <c:pt idx="517">
                  <c:v>349</c:v>
                </c:pt>
                <c:pt idx="518">
                  <c:v>349.5</c:v>
                </c:pt>
                <c:pt idx="519">
                  <c:v>350</c:v>
                </c:pt>
                <c:pt idx="520">
                  <c:v>350.5</c:v>
                </c:pt>
                <c:pt idx="521">
                  <c:v>351</c:v>
                </c:pt>
                <c:pt idx="522">
                  <c:v>351.5</c:v>
                </c:pt>
                <c:pt idx="523">
                  <c:v>352</c:v>
                </c:pt>
                <c:pt idx="524">
                  <c:v>352.5</c:v>
                </c:pt>
                <c:pt idx="525">
                  <c:v>353</c:v>
                </c:pt>
                <c:pt idx="526">
                  <c:v>353.5</c:v>
                </c:pt>
                <c:pt idx="527">
                  <c:v>354</c:v>
                </c:pt>
                <c:pt idx="528">
                  <c:v>354.5</c:v>
                </c:pt>
                <c:pt idx="529">
                  <c:v>355</c:v>
                </c:pt>
                <c:pt idx="530">
                  <c:v>355.5</c:v>
                </c:pt>
                <c:pt idx="531">
                  <c:v>356</c:v>
                </c:pt>
                <c:pt idx="532">
                  <c:v>356.5</c:v>
                </c:pt>
                <c:pt idx="533">
                  <c:v>357</c:v>
                </c:pt>
                <c:pt idx="534">
                  <c:v>357.5</c:v>
                </c:pt>
                <c:pt idx="535">
                  <c:v>358</c:v>
                </c:pt>
                <c:pt idx="536">
                  <c:v>358.5</c:v>
                </c:pt>
                <c:pt idx="537">
                  <c:v>359</c:v>
                </c:pt>
                <c:pt idx="538">
                  <c:v>359.5</c:v>
                </c:pt>
                <c:pt idx="539">
                  <c:v>360</c:v>
                </c:pt>
                <c:pt idx="540">
                  <c:v>360.5</c:v>
                </c:pt>
                <c:pt idx="541">
                  <c:v>361</c:v>
                </c:pt>
                <c:pt idx="542">
                  <c:v>361.5</c:v>
                </c:pt>
                <c:pt idx="543">
                  <c:v>362</c:v>
                </c:pt>
                <c:pt idx="544">
                  <c:v>362.5</c:v>
                </c:pt>
                <c:pt idx="545">
                  <c:v>363</c:v>
                </c:pt>
                <c:pt idx="546">
                  <c:v>363.5</c:v>
                </c:pt>
                <c:pt idx="547">
                  <c:v>364</c:v>
                </c:pt>
                <c:pt idx="548">
                  <c:v>364.5</c:v>
                </c:pt>
                <c:pt idx="549">
                  <c:v>365</c:v>
                </c:pt>
                <c:pt idx="550">
                  <c:v>365.5</c:v>
                </c:pt>
                <c:pt idx="551">
                  <c:v>366</c:v>
                </c:pt>
                <c:pt idx="552">
                  <c:v>366.5</c:v>
                </c:pt>
                <c:pt idx="553">
                  <c:v>367</c:v>
                </c:pt>
                <c:pt idx="554">
                  <c:v>367.5</c:v>
                </c:pt>
                <c:pt idx="555">
                  <c:v>368</c:v>
                </c:pt>
                <c:pt idx="556">
                  <c:v>368.5</c:v>
                </c:pt>
                <c:pt idx="557">
                  <c:v>369</c:v>
                </c:pt>
                <c:pt idx="558">
                  <c:v>369.5</c:v>
                </c:pt>
                <c:pt idx="559">
                  <c:v>370</c:v>
                </c:pt>
                <c:pt idx="560">
                  <c:v>370.5</c:v>
                </c:pt>
                <c:pt idx="561">
                  <c:v>371</c:v>
                </c:pt>
                <c:pt idx="562">
                  <c:v>371.5</c:v>
                </c:pt>
                <c:pt idx="563">
                  <c:v>372</c:v>
                </c:pt>
                <c:pt idx="564">
                  <c:v>372.5</c:v>
                </c:pt>
                <c:pt idx="565">
                  <c:v>373</c:v>
                </c:pt>
                <c:pt idx="566">
                  <c:v>373.5</c:v>
                </c:pt>
                <c:pt idx="567">
                  <c:v>374</c:v>
                </c:pt>
                <c:pt idx="568">
                  <c:v>374.5</c:v>
                </c:pt>
                <c:pt idx="569">
                  <c:v>375</c:v>
                </c:pt>
                <c:pt idx="570">
                  <c:v>375.5</c:v>
                </c:pt>
                <c:pt idx="571">
                  <c:v>376</c:v>
                </c:pt>
                <c:pt idx="572">
                  <c:v>376.5</c:v>
                </c:pt>
                <c:pt idx="573">
                  <c:v>377</c:v>
                </c:pt>
                <c:pt idx="574">
                  <c:v>377.5</c:v>
                </c:pt>
                <c:pt idx="575">
                  <c:v>378</c:v>
                </c:pt>
                <c:pt idx="576">
                  <c:v>378.5</c:v>
                </c:pt>
                <c:pt idx="577">
                  <c:v>379</c:v>
                </c:pt>
                <c:pt idx="578">
                  <c:v>379.5</c:v>
                </c:pt>
                <c:pt idx="579">
                  <c:v>380</c:v>
                </c:pt>
                <c:pt idx="580">
                  <c:v>380.5</c:v>
                </c:pt>
                <c:pt idx="581">
                  <c:v>381</c:v>
                </c:pt>
                <c:pt idx="582">
                  <c:v>381.5</c:v>
                </c:pt>
                <c:pt idx="583">
                  <c:v>382</c:v>
                </c:pt>
                <c:pt idx="584">
                  <c:v>382.5</c:v>
                </c:pt>
                <c:pt idx="585">
                  <c:v>383</c:v>
                </c:pt>
                <c:pt idx="586">
                  <c:v>383.5</c:v>
                </c:pt>
                <c:pt idx="587">
                  <c:v>384</c:v>
                </c:pt>
                <c:pt idx="588">
                  <c:v>384.5</c:v>
                </c:pt>
                <c:pt idx="589">
                  <c:v>385</c:v>
                </c:pt>
                <c:pt idx="590">
                  <c:v>385.5</c:v>
                </c:pt>
                <c:pt idx="591">
                  <c:v>386</c:v>
                </c:pt>
                <c:pt idx="592">
                  <c:v>386.5</c:v>
                </c:pt>
                <c:pt idx="593">
                  <c:v>387</c:v>
                </c:pt>
                <c:pt idx="594">
                  <c:v>387.5</c:v>
                </c:pt>
                <c:pt idx="595">
                  <c:v>388</c:v>
                </c:pt>
                <c:pt idx="596">
                  <c:v>388.5</c:v>
                </c:pt>
                <c:pt idx="597">
                  <c:v>389</c:v>
                </c:pt>
                <c:pt idx="598">
                  <c:v>389.5</c:v>
                </c:pt>
                <c:pt idx="599">
                  <c:v>390</c:v>
                </c:pt>
                <c:pt idx="600">
                  <c:v>390.5</c:v>
                </c:pt>
                <c:pt idx="601">
                  <c:v>391</c:v>
                </c:pt>
                <c:pt idx="602">
                  <c:v>391.5</c:v>
                </c:pt>
                <c:pt idx="603">
                  <c:v>392</c:v>
                </c:pt>
                <c:pt idx="604">
                  <c:v>392.5</c:v>
                </c:pt>
                <c:pt idx="605">
                  <c:v>393</c:v>
                </c:pt>
                <c:pt idx="606">
                  <c:v>393.5</c:v>
                </c:pt>
                <c:pt idx="607">
                  <c:v>394</c:v>
                </c:pt>
                <c:pt idx="608">
                  <c:v>394.5</c:v>
                </c:pt>
                <c:pt idx="609">
                  <c:v>395</c:v>
                </c:pt>
                <c:pt idx="610">
                  <c:v>395.5</c:v>
                </c:pt>
                <c:pt idx="611">
                  <c:v>396</c:v>
                </c:pt>
                <c:pt idx="612">
                  <c:v>396.5</c:v>
                </c:pt>
                <c:pt idx="613">
                  <c:v>397</c:v>
                </c:pt>
                <c:pt idx="614">
                  <c:v>397.5</c:v>
                </c:pt>
                <c:pt idx="615">
                  <c:v>398</c:v>
                </c:pt>
                <c:pt idx="616">
                  <c:v>398.5</c:v>
                </c:pt>
                <c:pt idx="617">
                  <c:v>399</c:v>
                </c:pt>
                <c:pt idx="618">
                  <c:v>399.5</c:v>
                </c:pt>
                <c:pt idx="619">
                  <c:v>400</c:v>
                </c:pt>
                <c:pt idx="620">
                  <c:v>400.5</c:v>
                </c:pt>
                <c:pt idx="621">
                  <c:v>401</c:v>
                </c:pt>
                <c:pt idx="622">
                  <c:v>401.5</c:v>
                </c:pt>
                <c:pt idx="623">
                  <c:v>402</c:v>
                </c:pt>
                <c:pt idx="624">
                  <c:v>402.5</c:v>
                </c:pt>
                <c:pt idx="625">
                  <c:v>403</c:v>
                </c:pt>
                <c:pt idx="626">
                  <c:v>403.5</c:v>
                </c:pt>
                <c:pt idx="627">
                  <c:v>404</c:v>
                </c:pt>
                <c:pt idx="628">
                  <c:v>404.5</c:v>
                </c:pt>
                <c:pt idx="629">
                  <c:v>405</c:v>
                </c:pt>
                <c:pt idx="630">
                  <c:v>405.5</c:v>
                </c:pt>
                <c:pt idx="631">
                  <c:v>406</c:v>
                </c:pt>
                <c:pt idx="632">
                  <c:v>406.5</c:v>
                </c:pt>
                <c:pt idx="633">
                  <c:v>407</c:v>
                </c:pt>
                <c:pt idx="634">
                  <c:v>407.5</c:v>
                </c:pt>
                <c:pt idx="635">
                  <c:v>408</c:v>
                </c:pt>
                <c:pt idx="636">
                  <c:v>408.5</c:v>
                </c:pt>
                <c:pt idx="637">
                  <c:v>409</c:v>
                </c:pt>
                <c:pt idx="638">
                  <c:v>409.5</c:v>
                </c:pt>
                <c:pt idx="639">
                  <c:v>410</c:v>
                </c:pt>
                <c:pt idx="640">
                  <c:v>410.5</c:v>
                </c:pt>
                <c:pt idx="641">
                  <c:v>411</c:v>
                </c:pt>
                <c:pt idx="642">
                  <c:v>411.5</c:v>
                </c:pt>
                <c:pt idx="643">
                  <c:v>412</c:v>
                </c:pt>
                <c:pt idx="644">
                  <c:v>412.5</c:v>
                </c:pt>
                <c:pt idx="645">
                  <c:v>413</c:v>
                </c:pt>
                <c:pt idx="646">
                  <c:v>413.5</c:v>
                </c:pt>
                <c:pt idx="647">
                  <c:v>414</c:v>
                </c:pt>
                <c:pt idx="648">
                  <c:v>414.5</c:v>
                </c:pt>
                <c:pt idx="649">
                  <c:v>415</c:v>
                </c:pt>
                <c:pt idx="650">
                  <c:v>415.5</c:v>
                </c:pt>
                <c:pt idx="651">
                  <c:v>416</c:v>
                </c:pt>
                <c:pt idx="652">
                  <c:v>416.5</c:v>
                </c:pt>
                <c:pt idx="653">
                  <c:v>417</c:v>
                </c:pt>
                <c:pt idx="654">
                  <c:v>417.5</c:v>
                </c:pt>
                <c:pt idx="655">
                  <c:v>418</c:v>
                </c:pt>
                <c:pt idx="656">
                  <c:v>418.5</c:v>
                </c:pt>
                <c:pt idx="657">
                  <c:v>419</c:v>
                </c:pt>
                <c:pt idx="658">
                  <c:v>419.5</c:v>
                </c:pt>
                <c:pt idx="659">
                  <c:v>420</c:v>
                </c:pt>
                <c:pt idx="660">
                  <c:v>420.5</c:v>
                </c:pt>
                <c:pt idx="661">
                  <c:v>421</c:v>
                </c:pt>
                <c:pt idx="662">
                  <c:v>421.5</c:v>
                </c:pt>
                <c:pt idx="663">
                  <c:v>422</c:v>
                </c:pt>
                <c:pt idx="664">
                  <c:v>422.5</c:v>
                </c:pt>
                <c:pt idx="665">
                  <c:v>423</c:v>
                </c:pt>
                <c:pt idx="666">
                  <c:v>423.5</c:v>
                </c:pt>
                <c:pt idx="667">
                  <c:v>424</c:v>
                </c:pt>
                <c:pt idx="668">
                  <c:v>424.5</c:v>
                </c:pt>
                <c:pt idx="669">
                  <c:v>425</c:v>
                </c:pt>
                <c:pt idx="670">
                  <c:v>425.5</c:v>
                </c:pt>
                <c:pt idx="671">
                  <c:v>426</c:v>
                </c:pt>
                <c:pt idx="672">
                  <c:v>426.5</c:v>
                </c:pt>
                <c:pt idx="673">
                  <c:v>427</c:v>
                </c:pt>
                <c:pt idx="674">
                  <c:v>427.5</c:v>
                </c:pt>
                <c:pt idx="675">
                  <c:v>428</c:v>
                </c:pt>
                <c:pt idx="676">
                  <c:v>428.5</c:v>
                </c:pt>
                <c:pt idx="677">
                  <c:v>429</c:v>
                </c:pt>
                <c:pt idx="678">
                  <c:v>429.5</c:v>
                </c:pt>
                <c:pt idx="679">
                  <c:v>430</c:v>
                </c:pt>
                <c:pt idx="680">
                  <c:v>430.5</c:v>
                </c:pt>
                <c:pt idx="681">
                  <c:v>431</c:v>
                </c:pt>
                <c:pt idx="682">
                  <c:v>431.5</c:v>
                </c:pt>
                <c:pt idx="683">
                  <c:v>432</c:v>
                </c:pt>
                <c:pt idx="684">
                  <c:v>432.5</c:v>
                </c:pt>
                <c:pt idx="685">
                  <c:v>433</c:v>
                </c:pt>
                <c:pt idx="686">
                  <c:v>433.5</c:v>
                </c:pt>
                <c:pt idx="687">
                  <c:v>434</c:v>
                </c:pt>
                <c:pt idx="688">
                  <c:v>434.5</c:v>
                </c:pt>
                <c:pt idx="689">
                  <c:v>435</c:v>
                </c:pt>
                <c:pt idx="690">
                  <c:v>435.5</c:v>
                </c:pt>
                <c:pt idx="691">
                  <c:v>436</c:v>
                </c:pt>
                <c:pt idx="692">
                  <c:v>436.5</c:v>
                </c:pt>
                <c:pt idx="693">
                  <c:v>437</c:v>
                </c:pt>
                <c:pt idx="694">
                  <c:v>437.5</c:v>
                </c:pt>
                <c:pt idx="695">
                  <c:v>438</c:v>
                </c:pt>
                <c:pt idx="696">
                  <c:v>438.5</c:v>
                </c:pt>
                <c:pt idx="697">
                  <c:v>439</c:v>
                </c:pt>
                <c:pt idx="698">
                  <c:v>439.5</c:v>
                </c:pt>
                <c:pt idx="699">
                  <c:v>440</c:v>
                </c:pt>
                <c:pt idx="700">
                  <c:v>440.5</c:v>
                </c:pt>
                <c:pt idx="701">
                  <c:v>441</c:v>
                </c:pt>
                <c:pt idx="702">
                  <c:v>441.5</c:v>
                </c:pt>
                <c:pt idx="703">
                  <c:v>442</c:v>
                </c:pt>
                <c:pt idx="704">
                  <c:v>442.5</c:v>
                </c:pt>
                <c:pt idx="705">
                  <c:v>443</c:v>
                </c:pt>
                <c:pt idx="706">
                  <c:v>443.5</c:v>
                </c:pt>
                <c:pt idx="707">
                  <c:v>444</c:v>
                </c:pt>
                <c:pt idx="708">
                  <c:v>444.5</c:v>
                </c:pt>
                <c:pt idx="709">
                  <c:v>445</c:v>
                </c:pt>
                <c:pt idx="710">
                  <c:v>445.5</c:v>
                </c:pt>
                <c:pt idx="711">
                  <c:v>446</c:v>
                </c:pt>
                <c:pt idx="712">
                  <c:v>446.5</c:v>
                </c:pt>
                <c:pt idx="713">
                  <c:v>447</c:v>
                </c:pt>
                <c:pt idx="714">
                  <c:v>447.5</c:v>
                </c:pt>
                <c:pt idx="715">
                  <c:v>448</c:v>
                </c:pt>
                <c:pt idx="716">
                  <c:v>448.5</c:v>
                </c:pt>
                <c:pt idx="717">
                  <c:v>449</c:v>
                </c:pt>
                <c:pt idx="718">
                  <c:v>449.5</c:v>
                </c:pt>
                <c:pt idx="719">
                  <c:v>450</c:v>
                </c:pt>
                <c:pt idx="720">
                  <c:v>450.5</c:v>
                </c:pt>
                <c:pt idx="721">
                  <c:v>451</c:v>
                </c:pt>
                <c:pt idx="722">
                  <c:v>451.5</c:v>
                </c:pt>
                <c:pt idx="723">
                  <c:v>452</c:v>
                </c:pt>
                <c:pt idx="724">
                  <c:v>452.5</c:v>
                </c:pt>
                <c:pt idx="725">
                  <c:v>453</c:v>
                </c:pt>
                <c:pt idx="726">
                  <c:v>453.5</c:v>
                </c:pt>
                <c:pt idx="727">
                  <c:v>454</c:v>
                </c:pt>
                <c:pt idx="728">
                  <c:v>454.5</c:v>
                </c:pt>
                <c:pt idx="729">
                  <c:v>455</c:v>
                </c:pt>
                <c:pt idx="730">
                  <c:v>455.5</c:v>
                </c:pt>
                <c:pt idx="731">
                  <c:v>456</c:v>
                </c:pt>
                <c:pt idx="732">
                  <c:v>456.5</c:v>
                </c:pt>
                <c:pt idx="733">
                  <c:v>457</c:v>
                </c:pt>
                <c:pt idx="734">
                  <c:v>457.5</c:v>
                </c:pt>
                <c:pt idx="735">
                  <c:v>458</c:v>
                </c:pt>
                <c:pt idx="736">
                  <c:v>458.5</c:v>
                </c:pt>
                <c:pt idx="737">
                  <c:v>459</c:v>
                </c:pt>
                <c:pt idx="738">
                  <c:v>459.5</c:v>
                </c:pt>
                <c:pt idx="739">
                  <c:v>460</c:v>
                </c:pt>
                <c:pt idx="740">
                  <c:v>460.5</c:v>
                </c:pt>
                <c:pt idx="741">
                  <c:v>461</c:v>
                </c:pt>
                <c:pt idx="742">
                  <c:v>461.5</c:v>
                </c:pt>
                <c:pt idx="743">
                  <c:v>462</c:v>
                </c:pt>
                <c:pt idx="744">
                  <c:v>462.5</c:v>
                </c:pt>
                <c:pt idx="745">
                  <c:v>463</c:v>
                </c:pt>
                <c:pt idx="746">
                  <c:v>463.5</c:v>
                </c:pt>
                <c:pt idx="747">
                  <c:v>464</c:v>
                </c:pt>
                <c:pt idx="748">
                  <c:v>464.5</c:v>
                </c:pt>
                <c:pt idx="749">
                  <c:v>465</c:v>
                </c:pt>
                <c:pt idx="750">
                  <c:v>465.5</c:v>
                </c:pt>
                <c:pt idx="751">
                  <c:v>466</c:v>
                </c:pt>
                <c:pt idx="752">
                  <c:v>466.5</c:v>
                </c:pt>
                <c:pt idx="753">
                  <c:v>467</c:v>
                </c:pt>
                <c:pt idx="754">
                  <c:v>467.5</c:v>
                </c:pt>
                <c:pt idx="755">
                  <c:v>468</c:v>
                </c:pt>
                <c:pt idx="756">
                  <c:v>468.5</c:v>
                </c:pt>
                <c:pt idx="757">
                  <c:v>469</c:v>
                </c:pt>
                <c:pt idx="758">
                  <c:v>469.5</c:v>
                </c:pt>
                <c:pt idx="759">
                  <c:v>470</c:v>
                </c:pt>
                <c:pt idx="760">
                  <c:v>470.5</c:v>
                </c:pt>
                <c:pt idx="761">
                  <c:v>471</c:v>
                </c:pt>
                <c:pt idx="762">
                  <c:v>471.5</c:v>
                </c:pt>
                <c:pt idx="763">
                  <c:v>472</c:v>
                </c:pt>
                <c:pt idx="764">
                  <c:v>472.5</c:v>
                </c:pt>
                <c:pt idx="765">
                  <c:v>473</c:v>
                </c:pt>
                <c:pt idx="766">
                  <c:v>473.5</c:v>
                </c:pt>
                <c:pt idx="767">
                  <c:v>474</c:v>
                </c:pt>
                <c:pt idx="768">
                  <c:v>474.5</c:v>
                </c:pt>
                <c:pt idx="769">
                  <c:v>475</c:v>
                </c:pt>
                <c:pt idx="770">
                  <c:v>475.5</c:v>
                </c:pt>
                <c:pt idx="771">
                  <c:v>476</c:v>
                </c:pt>
                <c:pt idx="772">
                  <c:v>476.5</c:v>
                </c:pt>
                <c:pt idx="773">
                  <c:v>477</c:v>
                </c:pt>
                <c:pt idx="774">
                  <c:v>477.5</c:v>
                </c:pt>
                <c:pt idx="775">
                  <c:v>478</c:v>
                </c:pt>
                <c:pt idx="776">
                  <c:v>478.5</c:v>
                </c:pt>
                <c:pt idx="777">
                  <c:v>479</c:v>
                </c:pt>
                <c:pt idx="778">
                  <c:v>479.5</c:v>
                </c:pt>
                <c:pt idx="779">
                  <c:v>480</c:v>
                </c:pt>
                <c:pt idx="780">
                  <c:v>480.5</c:v>
                </c:pt>
                <c:pt idx="781">
                  <c:v>481</c:v>
                </c:pt>
                <c:pt idx="782">
                  <c:v>481.5</c:v>
                </c:pt>
                <c:pt idx="783">
                  <c:v>482</c:v>
                </c:pt>
                <c:pt idx="784">
                  <c:v>482.5</c:v>
                </c:pt>
                <c:pt idx="785">
                  <c:v>483</c:v>
                </c:pt>
                <c:pt idx="786">
                  <c:v>483.5</c:v>
                </c:pt>
                <c:pt idx="787">
                  <c:v>484</c:v>
                </c:pt>
                <c:pt idx="788">
                  <c:v>484.5</c:v>
                </c:pt>
                <c:pt idx="789">
                  <c:v>485</c:v>
                </c:pt>
                <c:pt idx="790">
                  <c:v>485.5</c:v>
                </c:pt>
                <c:pt idx="791">
                  <c:v>486</c:v>
                </c:pt>
                <c:pt idx="792">
                  <c:v>486.5</c:v>
                </c:pt>
                <c:pt idx="793">
                  <c:v>487</c:v>
                </c:pt>
                <c:pt idx="794">
                  <c:v>487.5</c:v>
                </c:pt>
                <c:pt idx="795">
                  <c:v>488</c:v>
                </c:pt>
                <c:pt idx="796">
                  <c:v>488.5</c:v>
                </c:pt>
                <c:pt idx="797">
                  <c:v>489</c:v>
                </c:pt>
                <c:pt idx="798">
                  <c:v>489.5</c:v>
                </c:pt>
                <c:pt idx="799">
                  <c:v>490</c:v>
                </c:pt>
                <c:pt idx="800">
                  <c:v>490.5</c:v>
                </c:pt>
                <c:pt idx="801">
                  <c:v>491</c:v>
                </c:pt>
                <c:pt idx="802">
                  <c:v>491.5</c:v>
                </c:pt>
                <c:pt idx="803">
                  <c:v>492</c:v>
                </c:pt>
                <c:pt idx="804">
                  <c:v>492.5</c:v>
                </c:pt>
                <c:pt idx="805">
                  <c:v>493</c:v>
                </c:pt>
                <c:pt idx="806">
                  <c:v>493.5</c:v>
                </c:pt>
                <c:pt idx="807">
                  <c:v>494</c:v>
                </c:pt>
                <c:pt idx="808">
                  <c:v>494.5</c:v>
                </c:pt>
                <c:pt idx="809">
                  <c:v>495</c:v>
                </c:pt>
                <c:pt idx="810">
                  <c:v>495.5</c:v>
                </c:pt>
                <c:pt idx="811">
                  <c:v>496</c:v>
                </c:pt>
                <c:pt idx="812">
                  <c:v>496.5</c:v>
                </c:pt>
                <c:pt idx="813">
                  <c:v>497</c:v>
                </c:pt>
                <c:pt idx="814">
                  <c:v>497.5</c:v>
                </c:pt>
                <c:pt idx="815">
                  <c:v>498</c:v>
                </c:pt>
                <c:pt idx="816">
                  <c:v>498.5</c:v>
                </c:pt>
                <c:pt idx="817">
                  <c:v>499</c:v>
                </c:pt>
                <c:pt idx="818">
                  <c:v>499.5</c:v>
                </c:pt>
                <c:pt idx="819">
                  <c:v>500</c:v>
                </c:pt>
                <c:pt idx="820">
                  <c:v>500.5</c:v>
                </c:pt>
                <c:pt idx="821">
                  <c:v>501</c:v>
                </c:pt>
                <c:pt idx="822">
                  <c:v>501.5</c:v>
                </c:pt>
                <c:pt idx="823">
                  <c:v>502</c:v>
                </c:pt>
                <c:pt idx="824">
                  <c:v>502.5</c:v>
                </c:pt>
                <c:pt idx="825">
                  <c:v>503</c:v>
                </c:pt>
                <c:pt idx="826">
                  <c:v>503.5</c:v>
                </c:pt>
                <c:pt idx="827">
                  <c:v>504</c:v>
                </c:pt>
                <c:pt idx="828">
                  <c:v>504.5</c:v>
                </c:pt>
                <c:pt idx="829">
                  <c:v>505</c:v>
                </c:pt>
                <c:pt idx="830">
                  <c:v>505.5</c:v>
                </c:pt>
                <c:pt idx="831">
                  <c:v>506</c:v>
                </c:pt>
                <c:pt idx="832">
                  <c:v>506.5</c:v>
                </c:pt>
                <c:pt idx="833">
                  <c:v>507</c:v>
                </c:pt>
                <c:pt idx="834">
                  <c:v>507.5</c:v>
                </c:pt>
                <c:pt idx="835">
                  <c:v>508</c:v>
                </c:pt>
                <c:pt idx="836">
                  <c:v>508.5</c:v>
                </c:pt>
                <c:pt idx="837">
                  <c:v>509</c:v>
                </c:pt>
                <c:pt idx="838">
                  <c:v>509.5</c:v>
                </c:pt>
                <c:pt idx="839">
                  <c:v>510</c:v>
                </c:pt>
                <c:pt idx="840">
                  <c:v>510.5</c:v>
                </c:pt>
                <c:pt idx="841">
                  <c:v>511</c:v>
                </c:pt>
                <c:pt idx="842">
                  <c:v>511.5</c:v>
                </c:pt>
                <c:pt idx="843">
                  <c:v>512</c:v>
                </c:pt>
                <c:pt idx="844">
                  <c:v>512.5</c:v>
                </c:pt>
                <c:pt idx="845">
                  <c:v>513</c:v>
                </c:pt>
                <c:pt idx="846">
                  <c:v>513.5</c:v>
                </c:pt>
                <c:pt idx="847">
                  <c:v>514</c:v>
                </c:pt>
                <c:pt idx="848">
                  <c:v>514.5</c:v>
                </c:pt>
                <c:pt idx="849">
                  <c:v>515</c:v>
                </c:pt>
                <c:pt idx="850">
                  <c:v>515.5</c:v>
                </c:pt>
                <c:pt idx="851">
                  <c:v>516</c:v>
                </c:pt>
                <c:pt idx="852">
                  <c:v>516.5</c:v>
                </c:pt>
                <c:pt idx="853">
                  <c:v>517</c:v>
                </c:pt>
                <c:pt idx="854">
                  <c:v>517.5</c:v>
                </c:pt>
                <c:pt idx="855">
                  <c:v>518</c:v>
                </c:pt>
                <c:pt idx="856">
                  <c:v>518.5</c:v>
                </c:pt>
                <c:pt idx="857">
                  <c:v>519</c:v>
                </c:pt>
                <c:pt idx="858">
                  <c:v>519.5</c:v>
                </c:pt>
                <c:pt idx="859">
                  <c:v>520</c:v>
                </c:pt>
                <c:pt idx="860">
                  <c:v>520.5</c:v>
                </c:pt>
                <c:pt idx="861">
                  <c:v>521</c:v>
                </c:pt>
                <c:pt idx="862">
                  <c:v>521.5</c:v>
                </c:pt>
                <c:pt idx="863">
                  <c:v>522</c:v>
                </c:pt>
                <c:pt idx="864">
                  <c:v>522.5</c:v>
                </c:pt>
                <c:pt idx="865">
                  <c:v>523</c:v>
                </c:pt>
                <c:pt idx="866">
                  <c:v>523.5</c:v>
                </c:pt>
                <c:pt idx="867">
                  <c:v>524</c:v>
                </c:pt>
                <c:pt idx="868">
                  <c:v>524.5</c:v>
                </c:pt>
                <c:pt idx="869">
                  <c:v>525</c:v>
                </c:pt>
                <c:pt idx="870">
                  <c:v>525.5</c:v>
                </c:pt>
                <c:pt idx="871">
                  <c:v>526</c:v>
                </c:pt>
                <c:pt idx="872">
                  <c:v>526.5</c:v>
                </c:pt>
                <c:pt idx="873">
                  <c:v>527</c:v>
                </c:pt>
                <c:pt idx="874">
                  <c:v>527.5</c:v>
                </c:pt>
                <c:pt idx="875">
                  <c:v>528</c:v>
                </c:pt>
                <c:pt idx="876">
                  <c:v>528.5</c:v>
                </c:pt>
                <c:pt idx="877">
                  <c:v>529</c:v>
                </c:pt>
                <c:pt idx="878">
                  <c:v>529.5</c:v>
                </c:pt>
                <c:pt idx="879">
                  <c:v>530</c:v>
                </c:pt>
                <c:pt idx="880">
                  <c:v>530.5</c:v>
                </c:pt>
                <c:pt idx="881">
                  <c:v>531</c:v>
                </c:pt>
                <c:pt idx="882">
                  <c:v>531.5</c:v>
                </c:pt>
                <c:pt idx="883">
                  <c:v>532</c:v>
                </c:pt>
                <c:pt idx="884">
                  <c:v>532.5</c:v>
                </c:pt>
                <c:pt idx="885">
                  <c:v>533</c:v>
                </c:pt>
                <c:pt idx="886">
                  <c:v>533.5</c:v>
                </c:pt>
                <c:pt idx="887">
                  <c:v>534</c:v>
                </c:pt>
                <c:pt idx="888">
                  <c:v>534.5</c:v>
                </c:pt>
                <c:pt idx="889">
                  <c:v>535</c:v>
                </c:pt>
                <c:pt idx="890">
                  <c:v>535.5</c:v>
                </c:pt>
                <c:pt idx="891">
                  <c:v>536</c:v>
                </c:pt>
                <c:pt idx="892">
                  <c:v>536.5</c:v>
                </c:pt>
                <c:pt idx="893">
                  <c:v>537</c:v>
                </c:pt>
                <c:pt idx="894">
                  <c:v>537.5</c:v>
                </c:pt>
                <c:pt idx="895">
                  <c:v>538</c:v>
                </c:pt>
                <c:pt idx="896">
                  <c:v>538.5</c:v>
                </c:pt>
                <c:pt idx="897">
                  <c:v>539</c:v>
                </c:pt>
                <c:pt idx="898">
                  <c:v>539.5</c:v>
                </c:pt>
                <c:pt idx="899">
                  <c:v>540</c:v>
                </c:pt>
                <c:pt idx="900">
                  <c:v>540.5</c:v>
                </c:pt>
                <c:pt idx="901">
                  <c:v>541</c:v>
                </c:pt>
                <c:pt idx="902">
                  <c:v>541.5</c:v>
                </c:pt>
                <c:pt idx="903">
                  <c:v>542</c:v>
                </c:pt>
                <c:pt idx="904">
                  <c:v>542.5</c:v>
                </c:pt>
                <c:pt idx="905">
                  <c:v>543</c:v>
                </c:pt>
                <c:pt idx="906">
                  <c:v>543.5</c:v>
                </c:pt>
                <c:pt idx="907">
                  <c:v>544</c:v>
                </c:pt>
                <c:pt idx="908">
                  <c:v>544.5</c:v>
                </c:pt>
                <c:pt idx="909">
                  <c:v>545</c:v>
                </c:pt>
                <c:pt idx="910">
                  <c:v>545.5</c:v>
                </c:pt>
                <c:pt idx="911">
                  <c:v>546</c:v>
                </c:pt>
                <c:pt idx="912">
                  <c:v>546.5</c:v>
                </c:pt>
                <c:pt idx="913">
                  <c:v>547</c:v>
                </c:pt>
                <c:pt idx="914">
                  <c:v>547.5</c:v>
                </c:pt>
                <c:pt idx="915">
                  <c:v>548</c:v>
                </c:pt>
                <c:pt idx="916">
                  <c:v>548.5</c:v>
                </c:pt>
                <c:pt idx="917">
                  <c:v>549</c:v>
                </c:pt>
                <c:pt idx="918">
                  <c:v>549.5</c:v>
                </c:pt>
                <c:pt idx="919">
                  <c:v>550</c:v>
                </c:pt>
                <c:pt idx="920">
                  <c:v>550.5</c:v>
                </c:pt>
                <c:pt idx="921">
                  <c:v>551</c:v>
                </c:pt>
                <c:pt idx="922">
                  <c:v>551.5</c:v>
                </c:pt>
                <c:pt idx="923">
                  <c:v>552</c:v>
                </c:pt>
                <c:pt idx="924">
                  <c:v>552.5</c:v>
                </c:pt>
                <c:pt idx="925">
                  <c:v>553</c:v>
                </c:pt>
                <c:pt idx="926">
                  <c:v>553.5</c:v>
                </c:pt>
                <c:pt idx="927">
                  <c:v>554</c:v>
                </c:pt>
                <c:pt idx="928">
                  <c:v>554.5</c:v>
                </c:pt>
                <c:pt idx="929">
                  <c:v>555</c:v>
                </c:pt>
                <c:pt idx="930">
                  <c:v>555.5</c:v>
                </c:pt>
                <c:pt idx="931">
                  <c:v>556</c:v>
                </c:pt>
                <c:pt idx="932">
                  <c:v>556.5</c:v>
                </c:pt>
                <c:pt idx="933">
                  <c:v>557</c:v>
                </c:pt>
                <c:pt idx="934">
                  <c:v>557.5</c:v>
                </c:pt>
                <c:pt idx="935">
                  <c:v>558</c:v>
                </c:pt>
                <c:pt idx="936">
                  <c:v>558.5</c:v>
                </c:pt>
                <c:pt idx="937">
                  <c:v>559</c:v>
                </c:pt>
                <c:pt idx="938">
                  <c:v>559.5</c:v>
                </c:pt>
                <c:pt idx="939">
                  <c:v>560</c:v>
                </c:pt>
                <c:pt idx="940">
                  <c:v>560.5</c:v>
                </c:pt>
                <c:pt idx="941">
                  <c:v>561</c:v>
                </c:pt>
                <c:pt idx="942">
                  <c:v>561.5</c:v>
                </c:pt>
                <c:pt idx="943">
                  <c:v>562</c:v>
                </c:pt>
                <c:pt idx="944">
                  <c:v>562.5</c:v>
                </c:pt>
                <c:pt idx="945">
                  <c:v>563</c:v>
                </c:pt>
                <c:pt idx="946">
                  <c:v>563.5</c:v>
                </c:pt>
                <c:pt idx="947">
                  <c:v>564</c:v>
                </c:pt>
                <c:pt idx="948">
                  <c:v>564.5</c:v>
                </c:pt>
                <c:pt idx="949">
                  <c:v>565</c:v>
                </c:pt>
                <c:pt idx="950">
                  <c:v>565.5</c:v>
                </c:pt>
                <c:pt idx="951">
                  <c:v>566</c:v>
                </c:pt>
                <c:pt idx="952">
                  <c:v>566.5</c:v>
                </c:pt>
                <c:pt idx="953">
                  <c:v>567</c:v>
                </c:pt>
                <c:pt idx="954">
                  <c:v>567.5</c:v>
                </c:pt>
                <c:pt idx="955">
                  <c:v>568</c:v>
                </c:pt>
                <c:pt idx="956">
                  <c:v>568.5</c:v>
                </c:pt>
                <c:pt idx="957">
                  <c:v>569</c:v>
                </c:pt>
                <c:pt idx="958">
                  <c:v>569.5</c:v>
                </c:pt>
                <c:pt idx="959">
                  <c:v>570</c:v>
                </c:pt>
                <c:pt idx="960">
                  <c:v>570.5</c:v>
                </c:pt>
                <c:pt idx="961">
                  <c:v>571</c:v>
                </c:pt>
                <c:pt idx="962">
                  <c:v>571.5</c:v>
                </c:pt>
                <c:pt idx="963">
                  <c:v>572</c:v>
                </c:pt>
                <c:pt idx="964">
                  <c:v>572.5</c:v>
                </c:pt>
                <c:pt idx="965">
                  <c:v>573</c:v>
                </c:pt>
                <c:pt idx="966">
                  <c:v>573.5</c:v>
                </c:pt>
                <c:pt idx="967">
                  <c:v>574</c:v>
                </c:pt>
                <c:pt idx="968">
                  <c:v>574.5</c:v>
                </c:pt>
                <c:pt idx="969">
                  <c:v>575</c:v>
                </c:pt>
                <c:pt idx="970">
                  <c:v>575.5</c:v>
                </c:pt>
                <c:pt idx="971">
                  <c:v>576</c:v>
                </c:pt>
                <c:pt idx="972">
                  <c:v>576.5</c:v>
                </c:pt>
                <c:pt idx="973">
                  <c:v>577</c:v>
                </c:pt>
                <c:pt idx="974">
                  <c:v>577.5</c:v>
                </c:pt>
                <c:pt idx="975">
                  <c:v>578</c:v>
                </c:pt>
                <c:pt idx="976">
                  <c:v>578.5</c:v>
                </c:pt>
                <c:pt idx="977">
                  <c:v>579</c:v>
                </c:pt>
                <c:pt idx="978">
                  <c:v>579.5</c:v>
                </c:pt>
                <c:pt idx="979">
                  <c:v>580</c:v>
                </c:pt>
                <c:pt idx="980">
                  <c:v>580.5</c:v>
                </c:pt>
                <c:pt idx="981">
                  <c:v>581</c:v>
                </c:pt>
                <c:pt idx="982">
                  <c:v>581.5</c:v>
                </c:pt>
                <c:pt idx="983">
                  <c:v>582</c:v>
                </c:pt>
                <c:pt idx="984">
                  <c:v>582.5</c:v>
                </c:pt>
                <c:pt idx="985">
                  <c:v>583</c:v>
                </c:pt>
                <c:pt idx="986">
                  <c:v>583.5</c:v>
                </c:pt>
                <c:pt idx="987">
                  <c:v>584</c:v>
                </c:pt>
                <c:pt idx="988">
                  <c:v>584.5</c:v>
                </c:pt>
                <c:pt idx="989">
                  <c:v>585</c:v>
                </c:pt>
                <c:pt idx="990">
                  <c:v>585.5</c:v>
                </c:pt>
                <c:pt idx="991">
                  <c:v>586</c:v>
                </c:pt>
                <c:pt idx="992">
                  <c:v>586.5</c:v>
                </c:pt>
                <c:pt idx="993">
                  <c:v>587</c:v>
                </c:pt>
                <c:pt idx="994">
                  <c:v>587.5</c:v>
                </c:pt>
                <c:pt idx="995">
                  <c:v>588</c:v>
                </c:pt>
                <c:pt idx="996">
                  <c:v>588.5</c:v>
                </c:pt>
                <c:pt idx="997">
                  <c:v>589</c:v>
                </c:pt>
                <c:pt idx="998">
                  <c:v>589.5</c:v>
                </c:pt>
                <c:pt idx="999">
                  <c:v>590</c:v>
                </c:pt>
                <c:pt idx="1000">
                  <c:v>590.5</c:v>
                </c:pt>
                <c:pt idx="1001">
                  <c:v>591</c:v>
                </c:pt>
                <c:pt idx="1002">
                  <c:v>591.5</c:v>
                </c:pt>
                <c:pt idx="1003">
                  <c:v>592</c:v>
                </c:pt>
                <c:pt idx="1004">
                  <c:v>592.5</c:v>
                </c:pt>
                <c:pt idx="1005">
                  <c:v>593</c:v>
                </c:pt>
                <c:pt idx="1006">
                  <c:v>593.5</c:v>
                </c:pt>
                <c:pt idx="1007">
                  <c:v>594</c:v>
                </c:pt>
                <c:pt idx="1008">
                  <c:v>594.5</c:v>
                </c:pt>
                <c:pt idx="1009">
                  <c:v>595</c:v>
                </c:pt>
                <c:pt idx="1010">
                  <c:v>595.5</c:v>
                </c:pt>
                <c:pt idx="1011">
                  <c:v>596</c:v>
                </c:pt>
                <c:pt idx="1012">
                  <c:v>596.5</c:v>
                </c:pt>
                <c:pt idx="1013">
                  <c:v>597</c:v>
                </c:pt>
                <c:pt idx="1014">
                  <c:v>597.5</c:v>
                </c:pt>
                <c:pt idx="1015">
                  <c:v>598</c:v>
                </c:pt>
                <c:pt idx="1016">
                  <c:v>598.5</c:v>
                </c:pt>
                <c:pt idx="1017">
                  <c:v>599</c:v>
                </c:pt>
                <c:pt idx="1018">
                  <c:v>599.5</c:v>
                </c:pt>
                <c:pt idx="1019">
                  <c:v>600</c:v>
                </c:pt>
                <c:pt idx="1020">
                  <c:v>600.5</c:v>
                </c:pt>
                <c:pt idx="1021">
                  <c:v>601</c:v>
                </c:pt>
                <c:pt idx="1022">
                  <c:v>601.5</c:v>
                </c:pt>
                <c:pt idx="1023">
                  <c:v>602</c:v>
                </c:pt>
                <c:pt idx="1024">
                  <c:v>602.5</c:v>
                </c:pt>
                <c:pt idx="1025">
                  <c:v>603</c:v>
                </c:pt>
                <c:pt idx="1026">
                  <c:v>603.5</c:v>
                </c:pt>
                <c:pt idx="1027">
                  <c:v>604</c:v>
                </c:pt>
                <c:pt idx="1028">
                  <c:v>604.5</c:v>
                </c:pt>
                <c:pt idx="1029">
                  <c:v>605</c:v>
                </c:pt>
                <c:pt idx="1030">
                  <c:v>605.5</c:v>
                </c:pt>
                <c:pt idx="1031">
                  <c:v>606</c:v>
                </c:pt>
                <c:pt idx="1032">
                  <c:v>606.5</c:v>
                </c:pt>
                <c:pt idx="1033">
                  <c:v>607</c:v>
                </c:pt>
                <c:pt idx="1034">
                  <c:v>607.5</c:v>
                </c:pt>
                <c:pt idx="1035">
                  <c:v>608</c:v>
                </c:pt>
                <c:pt idx="1036">
                  <c:v>608.5</c:v>
                </c:pt>
                <c:pt idx="1037">
                  <c:v>609</c:v>
                </c:pt>
                <c:pt idx="1038">
                  <c:v>609.5</c:v>
                </c:pt>
                <c:pt idx="1039">
                  <c:v>610</c:v>
                </c:pt>
                <c:pt idx="1040">
                  <c:v>610.5</c:v>
                </c:pt>
                <c:pt idx="1041">
                  <c:v>611</c:v>
                </c:pt>
                <c:pt idx="1042">
                  <c:v>611.5</c:v>
                </c:pt>
                <c:pt idx="1043">
                  <c:v>612</c:v>
                </c:pt>
                <c:pt idx="1044">
                  <c:v>612.5</c:v>
                </c:pt>
                <c:pt idx="1045">
                  <c:v>613</c:v>
                </c:pt>
                <c:pt idx="1046">
                  <c:v>613.5</c:v>
                </c:pt>
                <c:pt idx="1047">
                  <c:v>614</c:v>
                </c:pt>
                <c:pt idx="1048">
                  <c:v>614.5</c:v>
                </c:pt>
                <c:pt idx="1049">
                  <c:v>615</c:v>
                </c:pt>
                <c:pt idx="1050">
                  <c:v>615.5</c:v>
                </c:pt>
                <c:pt idx="1051">
                  <c:v>616</c:v>
                </c:pt>
                <c:pt idx="1052">
                  <c:v>616.5</c:v>
                </c:pt>
                <c:pt idx="1053">
                  <c:v>617</c:v>
                </c:pt>
                <c:pt idx="1054">
                  <c:v>617.5</c:v>
                </c:pt>
                <c:pt idx="1055">
                  <c:v>618</c:v>
                </c:pt>
                <c:pt idx="1056">
                  <c:v>618.5</c:v>
                </c:pt>
                <c:pt idx="1057">
                  <c:v>619</c:v>
                </c:pt>
                <c:pt idx="1058">
                  <c:v>619.5</c:v>
                </c:pt>
                <c:pt idx="1059">
                  <c:v>620</c:v>
                </c:pt>
                <c:pt idx="1060">
                  <c:v>620.5</c:v>
                </c:pt>
                <c:pt idx="1061">
                  <c:v>621</c:v>
                </c:pt>
                <c:pt idx="1062">
                  <c:v>621.5</c:v>
                </c:pt>
                <c:pt idx="1063">
                  <c:v>622</c:v>
                </c:pt>
                <c:pt idx="1064">
                  <c:v>622.5</c:v>
                </c:pt>
                <c:pt idx="1065">
                  <c:v>623</c:v>
                </c:pt>
                <c:pt idx="1066">
                  <c:v>623.5</c:v>
                </c:pt>
                <c:pt idx="1067">
                  <c:v>624</c:v>
                </c:pt>
                <c:pt idx="1068">
                  <c:v>624.5</c:v>
                </c:pt>
                <c:pt idx="1069">
                  <c:v>625</c:v>
                </c:pt>
                <c:pt idx="1070">
                  <c:v>625.5</c:v>
                </c:pt>
                <c:pt idx="1071">
                  <c:v>626</c:v>
                </c:pt>
                <c:pt idx="1072">
                  <c:v>626.5</c:v>
                </c:pt>
                <c:pt idx="1073">
                  <c:v>627</c:v>
                </c:pt>
                <c:pt idx="1074">
                  <c:v>627.5</c:v>
                </c:pt>
                <c:pt idx="1075">
                  <c:v>628</c:v>
                </c:pt>
                <c:pt idx="1076">
                  <c:v>628.5</c:v>
                </c:pt>
                <c:pt idx="1077">
                  <c:v>629</c:v>
                </c:pt>
                <c:pt idx="1078">
                  <c:v>629.5</c:v>
                </c:pt>
                <c:pt idx="1079">
                  <c:v>630</c:v>
                </c:pt>
                <c:pt idx="1080">
                  <c:v>630.5</c:v>
                </c:pt>
                <c:pt idx="1081">
                  <c:v>631</c:v>
                </c:pt>
                <c:pt idx="1082">
                  <c:v>631.5</c:v>
                </c:pt>
                <c:pt idx="1083">
                  <c:v>632</c:v>
                </c:pt>
                <c:pt idx="1084">
                  <c:v>632.5</c:v>
                </c:pt>
                <c:pt idx="1085">
                  <c:v>633</c:v>
                </c:pt>
                <c:pt idx="1086">
                  <c:v>633.5</c:v>
                </c:pt>
                <c:pt idx="1087">
                  <c:v>634</c:v>
                </c:pt>
                <c:pt idx="1088">
                  <c:v>634.5</c:v>
                </c:pt>
                <c:pt idx="1089">
                  <c:v>635</c:v>
                </c:pt>
                <c:pt idx="1090">
                  <c:v>635.5</c:v>
                </c:pt>
                <c:pt idx="1091">
                  <c:v>636</c:v>
                </c:pt>
                <c:pt idx="1092">
                  <c:v>636.5</c:v>
                </c:pt>
                <c:pt idx="1093">
                  <c:v>637</c:v>
                </c:pt>
                <c:pt idx="1094">
                  <c:v>637.5</c:v>
                </c:pt>
                <c:pt idx="1095">
                  <c:v>638</c:v>
                </c:pt>
                <c:pt idx="1096">
                  <c:v>638.5</c:v>
                </c:pt>
                <c:pt idx="1097">
                  <c:v>639</c:v>
                </c:pt>
                <c:pt idx="1098">
                  <c:v>639.5</c:v>
                </c:pt>
                <c:pt idx="1099">
                  <c:v>640</c:v>
                </c:pt>
                <c:pt idx="1100">
                  <c:v>640.5</c:v>
                </c:pt>
                <c:pt idx="1101">
                  <c:v>641</c:v>
                </c:pt>
                <c:pt idx="1102">
                  <c:v>641.5</c:v>
                </c:pt>
                <c:pt idx="1103">
                  <c:v>642</c:v>
                </c:pt>
                <c:pt idx="1104">
                  <c:v>642.5</c:v>
                </c:pt>
                <c:pt idx="1105">
                  <c:v>643</c:v>
                </c:pt>
                <c:pt idx="1106">
                  <c:v>643.5</c:v>
                </c:pt>
                <c:pt idx="1107">
                  <c:v>644</c:v>
                </c:pt>
                <c:pt idx="1108">
                  <c:v>644.5</c:v>
                </c:pt>
                <c:pt idx="1109">
                  <c:v>645</c:v>
                </c:pt>
                <c:pt idx="1110">
                  <c:v>645.5</c:v>
                </c:pt>
                <c:pt idx="1111">
                  <c:v>646</c:v>
                </c:pt>
                <c:pt idx="1112">
                  <c:v>646.5</c:v>
                </c:pt>
                <c:pt idx="1113">
                  <c:v>647</c:v>
                </c:pt>
                <c:pt idx="1114">
                  <c:v>647.5</c:v>
                </c:pt>
                <c:pt idx="1115">
                  <c:v>648</c:v>
                </c:pt>
                <c:pt idx="1116">
                  <c:v>648.5</c:v>
                </c:pt>
                <c:pt idx="1117">
                  <c:v>649</c:v>
                </c:pt>
                <c:pt idx="1118">
                  <c:v>649.5</c:v>
                </c:pt>
                <c:pt idx="1119">
                  <c:v>650</c:v>
                </c:pt>
                <c:pt idx="1120">
                  <c:v>650.5</c:v>
                </c:pt>
                <c:pt idx="1121">
                  <c:v>651</c:v>
                </c:pt>
                <c:pt idx="1122">
                  <c:v>651.5</c:v>
                </c:pt>
                <c:pt idx="1123">
                  <c:v>652</c:v>
                </c:pt>
                <c:pt idx="1124">
                  <c:v>652.5</c:v>
                </c:pt>
                <c:pt idx="1125">
                  <c:v>653</c:v>
                </c:pt>
                <c:pt idx="1126">
                  <c:v>653.5</c:v>
                </c:pt>
                <c:pt idx="1127">
                  <c:v>654</c:v>
                </c:pt>
                <c:pt idx="1128">
                  <c:v>654.5</c:v>
                </c:pt>
                <c:pt idx="1129">
                  <c:v>655</c:v>
                </c:pt>
                <c:pt idx="1130">
                  <c:v>655.5</c:v>
                </c:pt>
                <c:pt idx="1131">
                  <c:v>656</c:v>
                </c:pt>
                <c:pt idx="1132">
                  <c:v>656.5</c:v>
                </c:pt>
                <c:pt idx="1133">
                  <c:v>657</c:v>
                </c:pt>
                <c:pt idx="1134">
                  <c:v>657.5</c:v>
                </c:pt>
                <c:pt idx="1135">
                  <c:v>658</c:v>
                </c:pt>
                <c:pt idx="1136">
                  <c:v>658.5</c:v>
                </c:pt>
                <c:pt idx="1137">
                  <c:v>659</c:v>
                </c:pt>
                <c:pt idx="1138">
                  <c:v>659.5</c:v>
                </c:pt>
                <c:pt idx="1139">
                  <c:v>660</c:v>
                </c:pt>
                <c:pt idx="1140">
                  <c:v>660.5</c:v>
                </c:pt>
                <c:pt idx="1141">
                  <c:v>661</c:v>
                </c:pt>
                <c:pt idx="1142">
                  <c:v>661.5</c:v>
                </c:pt>
                <c:pt idx="1143">
                  <c:v>662</c:v>
                </c:pt>
                <c:pt idx="1144">
                  <c:v>662.5</c:v>
                </c:pt>
                <c:pt idx="1145">
                  <c:v>663</c:v>
                </c:pt>
                <c:pt idx="1146">
                  <c:v>663.5</c:v>
                </c:pt>
                <c:pt idx="1147">
                  <c:v>664</c:v>
                </c:pt>
                <c:pt idx="1148">
                  <c:v>664.5</c:v>
                </c:pt>
                <c:pt idx="1149">
                  <c:v>665</c:v>
                </c:pt>
                <c:pt idx="1150">
                  <c:v>665.5</c:v>
                </c:pt>
                <c:pt idx="1151">
                  <c:v>666</c:v>
                </c:pt>
                <c:pt idx="1152">
                  <c:v>666.5</c:v>
                </c:pt>
                <c:pt idx="1153">
                  <c:v>667</c:v>
                </c:pt>
                <c:pt idx="1154">
                  <c:v>667.5</c:v>
                </c:pt>
                <c:pt idx="1155">
                  <c:v>668</c:v>
                </c:pt>
                <c:pt idx="1156">
                  <c:v>668.5</c:v>
                </c:pt>
                <c:pt idx="1157">
                  <c:v>669</c:v>
                </c:pt>
                <c:pt idx="1158">
                  <c:v>669.5</c:v>
                </c:pt>
                <c:pt idx="1159">
                  <c:v>670</c:v>
                </c:pt>
                <c:pt idx="1160">
                  <c:v>670.5</c:v>
                </c:pt>
                <c:pt idx="1161">
                  <c:v>671</c:v>
                </c:pt>
                <c:pt idx="1162">
                  <c:v>671.5</c:v>
                </c:pt>
                <c:pt idx="1163">
                  <c:v>672</c:v>
                </c:pt>
                <c:pt idx="1164">
                  <c:v>672.5</c:v>
                </c:pt>
                <c:pt idx="1165">
                  <c:v>673</c:v>
                </c:pt>
                <c:pt idx="1166">
                  <c:v>673.5</c:v>
                </c:pt>
                <c:pt idx="1167">
                  <c:v>674</c:v>
                </c:pt>
                <c:pt idx="1168">
                  <c:v>674.5</c:v>
                </c:pt>
                <c:pt idx="1169">
                  <c:v>675</c:v>
                </c:pt>
                <c:pt idx="1170">
                  <c:v>675.5</c:v>
                </c:pt>
                <c:pt idx="1171">
                  <c:v>676</c:v>
                </c:pt>
                <c:pt idx="1172">
                  <c:v>676.5</c:v>
                </c:pt>
                <c:pt idx="1173">
                  <c:v>677</c:v>
                </c:pt>
                <c:pt idx="1174">
                  <c:v>677.5</c:v>
                </c:pt>
                <c:pt idx="1175">
                  <c:v>678</c:v>
                </c:pt>
                <c:pt idx="1176">
                  <c:v>678.5</c:v>
                </c:pt>
                <c:pt idx="1177">
                  <c:v>679</c:v>
                </c:pt>
                <c:pt idx="1178">
                  <c:v>679.5</c:v>
                </c:pt>
                <c:pt idx="1179">
                  <c:v>680</c:v>
                </c:pt>
                <c:pt idx="1180">
                  <c:v>680.5</c:v>
                </c:pt>
                <c:pt idx="1181">
                  <c:v>681</c:v>
                </c:pt>
                <c:pt idx="1182">
                  <c:v>681.5</c:v>
                </c:pt>
                <c:pt idx="1183">
                  <c:v>682</c:v>
                </c:pt>
                <c:pt idx="1184">
                  <c:v>682.5</c:v>
                </c:pt>
                <c:pt idx="1185">
                  <c:v>683</c:v>
                </c:pt>
                <c:pt idx="1186">
                  <c:v>683.5</c:v>
                </c:pt>
                <c:pt idx="1187">
                  <c:v>684</c:v>
                </c:pt>
                <c:pt idx="1188">
                  <c:v>684.5</c:v>
                </c:pt>
                <c:pt idx="1189">
                  <c:v>685</c:v>
                </c:pt>
                <c:pt idx="1190">
                  <c:v>685.5</c:v>
                </c:pt>
                <c:pt idx="1191">
                  <c:v>686</c:v>
                </c:pt>
                <c:pt idx="1192">
                  <c:v>686.5</c:v>
                </c:pt>
                <c:pt idx="1193">
                  <c:v>687</c:v>
                </c:pt>
                <c:pt idx="1194">
                  <c:v>687.5</c:v>
                </c:pt>
                <c:pt idx="1195">
                  <c:v>688</c:v>
                </c:pt>
                <c:pt idx="1196">
                  <c:v>688.5</c:v>
                </c:pt>
                <c:pt idx="1197">
                  <c:v>689</c:v>
                </c:pt>
                <c:pt idx="1198">
                  <c:v>689.5</c:v>
                </c:pt>
                <c:pt idx="1199">
                  <c:v>690</c:v>
                </c:pt>
              </c:numCache>
            </c:numRef>
          </c:cat>
          <c:val>
            <c:numRef>
              <c:f>'250C (Sif)'!$C$212:$C$1411</c:f>
              <c:numCache>
                <c:formatCode>0.00000</c:formatCode>
                <c:ptCount val="1200"/>
                <c:pt idx="0">
                  <c:v>94.559169999999995</c:v>
                </c:pt>
                <c:pt idx="1">
                  <c:v>94.692850000000007</c:v>
                </c:pt>
                <c:pt idx="2">
                  <c:v>94.857519999999994</c:v>
                </c:pt>
                <c:pt idx="3">
                  <c:v>94.961079999999995</c:v>
                </c:pt>
                <c:pt idx="4">
                  <c:v>95.031899999999993</c:v>
                </c:pt>
                <c:pt idx="5">
                  <c:v>95.045370000000005</c:v>
                </c:pt>
                <c:pt idx="6">
                  <c:v>95.060559999999995</c:v>
                </c:pt>
                <c:pt idx="7">
                  <c:v>95.06653</c:v>
                </c:pt>
                <c:pt idx="8">
                  <c:v>95.064329999999998</c:v>
                </c:pt>
                <c:pt idx="9">
                  <c:v>95.052710000000005</c:v>
                </c:pt>
                <c:pt idx="10">
                  <c:v>95.031620000000004</c:v>
                </c:pt>
                <c:pt idx="11">
                  <c:v>95.012730000000005</c:v>
                </c:pt>
                <c:pt idx="12">
                  <c:v>94.991669999999999</c:v>
                </c:pt>
                <c:pt idx="13">
                  <c:v>94.961010000000002</c:v>
                </c:pt>
                <c:pt idx="14">
                  <c:v>94.955100000000002</c:v>
                </c:pt>
                <c:pt idx="15">
                  <c:v>94.935929999999999</c:v>
                </c:pt>
                <c:pt idx="16">
                  <c:v>94.90531</c:v>
                </c:pt>
                <c:pt idx="17">
                  <c:v>94.886099999999999</c:v>
                </c:pt>
                <c:pt idx="18">
                  <c:v>94.841999999999999</c:v>
                </c:pt>
                <c:pt idx="19">
                  <c:v>94.830520000000007</c:v>
                </c:pt>
                <c:pt idx="20">
                  <c:v>94.788309999999996</c:v>
                </c:pt>
                <c:pt idx="21">
                  <c:v>94.770960000000002</c:v>
                </c:pt>
                <c:pt idx="22">
                  <c:v>94.74427</c:v>
                </c:pt>
                <c:pt idx="23">
                  <c:v>94.705439999999996</c:v>
                </c:pt>
                <c:pt idx="24">
                  <c:v>94.694280000000006</c:v>
                </c:pt>
                <c:pt idx="25">
                  <c:v>94.669460000000001</c:v>
                </c:pt>
                <c:pt idx="26">
                  <c:v>94.632930000000002</c:v>
                </c:pt>
                <c:pt idx="27">
                  <c:v>94.611739999999998</c:v>
                </c:pt>
                <c:pt idx="28">
                  <c:v>94.575699999999998</c:v>
                </c:pt>
                <c:pt idx="29">
                  <c:v>94.552629999999994</c:v>
                </c:pt>
                <c:pt idx="30">
                  <c:v>94.525509999999997</c:v>
                </c:pt>
                <c:pt idx="31">
                  <c:v>94.500510000000006</c:v>
                </c:pt>
                <c:pt idx="32">
                  <c:v>94.454539999999994</c:v>
                </c:pt>
                <c:pt idx="33">
                  <c:v>94.427769999999995</c:v>
                </c:pt>
                <c:pt idx="34">
                  <c:v>94.406570000000002</c:v>
                </c:pt>
                <c:pt idx="35">
                  <c:v>94.381870000000006</c:v>
                </c:pt>
                <c:pt idx="36">
                  <c:v>94.343389999999999</c:v>
                </c:pt>
                <c:pt idx="37">
                  <c:v>94.316559999999996</c:v>
                </c:pt>
                <c:pt idx="38">
                  <c:v>94.285899999999998</c:v>
                </c:pt>
                <c:pt idx="39">
                  <c:v>94.251350000000002</c:v>
                </c:pt>
                <c:pt idx="40">
                  <c:v>94.214969999999994</c:v>
                </c:pt>
                <c:pt idx="41">
                  <c:v>94.188029999999998</c:v>
                </c:pt>
                <c:pt idx="42">
                  <c:v>94.166989999999998</c:v>
                </c:pt>
                <c:pt idx="43">
                  <c:v>94.138409999999993</c:v>
                </c:pt>
                <c:pt idx="44">
                  <c:v>94.107680000000002</c:v>
                </c:pt>
                <c:pt idx="45">
                  <c:v>94.078800000000001</c:v>
                </c:pt>
                <c:pt idx="46">
                  <c:v>94.044439999999994</c:v>
                </c:pt>
                <c:pt idx="47">
                  <c:v>94.025040000000004</c:v>
                </c:pt>
                <c:pt idx="48">
                  <c:v>93.990520000000004</c:v>
                </c:pt>
                <c:pt idx="49">
                  <c:v>93.957819999999998</c:v>
                </c:pt>
                <c:pt idx="50">
                  <c:v>93.930909999999997</c:v>
                </c:pt>
                <c:pt idx="51">
                  <c:v>93.900509999999997</c:v>
                </c:pt>
                <c:pt idx="52">
                  <c:v>93.873689999999996</c:v>
                </c:pt>
                <c:pt idx="53">
                  <c:v>93.841130000000007</c:v>
                </c:pt>
                <c:pt idx="54">
                  <c:v>93.819890000000001</c:v>
                </c:pt>
                <c:pt idx="55">
                  <c:v>93.773949999999999</c:v>
                </c:pt>
                <c:pt idx="56">
                  <c:v>93.754750000000001</c:v>
                </c:pt>
                <c:pt idx="57">
                  <c:v>93.704840000000004</c:v>
                </c:pt>
                <c:pt idx="58">
                  <c:v>93.69153</c:v>
                </c:pt>
                <c:pt idx="59">
                  <c:v>93.668459999999996</c:v>
                </c:pt>
                <c:pt idx="60">
                  <c:v>93.647490000000005</c:v>
                </c:pt>
                <c:pt idx="61">
                  <c:v>93.626220000000004</c:v>
                </c:pt>
                <c:pt idx="62">
                  <c:v>93.589759999999998</c:v>
                </c:pt>
                <c:pt idx="63">
                  <c:v>93.559079999999994</c:v>
                </c:pt>
                <c:pt idx="64">
                  <c:v>93.536119999999997</c:v>
                </c:pt>
                <c:pt idx="65">
                  <c:v>93.497860000000003</c:v>
                </c:pt>
                <c:pt idx="66">
                  <c:v>93.468999999999994</c:v>
                </c:pt>
                <c:pt idx="67">
                  <c:v>93.430679999999995</c:v>
                </c:pt>
                <c:pt idx="68">
                  <c:v>93.407629999999997</c:v>
                </c:pt>
                <c:pt idx="69">
                  <c:v>93.382670000000005</c:v>
                </c:pt>
                <c:pt idx="70">
                  <c:v>93.340519999999998</c:v>
                </c:pt>
                <c:pt idx="71">
                  <c:v>93.307820000000007</c:v>
                </c:pt>
                <c:pt idx="72">
                  <c:v>93.286699999999996</c:v>
                </c:pt>
                <c:pt idx="73">
                  <c:v>93.256200000000007</c:v>
                </c:pt>
                <c:pt idx="74">
                  <c:v>93.221720000000005</c:v>
                </c:pt>
                <c:pt idx="75">
                  <c:v>93.204470000000001</c:v>
                </c:pt>
                <c:pt idx="76">
                  <c:v>93.173869999999994</c:v>
                </c:pt>
                <c:pt idx="77">
                  <c:v>93.141270000000006</c:v>
                </c:pt>
                <c:pt idx="78">
                  <c:v>93.102800000000002</c:v>
                </c:pt>
                <c:pt idx="79">
                  <c:v>93.072069999999997</c:v>
                </c:pt>
                <c:pt idx="80">
                  <c:v>93.029949999999999</c:v>
                </c:pt>
                <c:pt idx="81">
                  <c:v>93.012749999999997</c:v>
                </c:pt>
                <c:pt idx="82">
                  <c:v>92.981859999999998</c:v>
                </c:pt>
                <c:pt idx="83">
                  <c:v>92.97627</c:v>
                </c:pt>
                <c:pt idx="84">
                  <c:v>92.947519999999997</c:v>
                </c:pt>
                <c:pt idx="85">
                  <c:v>92.90155</c:v>
                </c:pt>
                <c:pt idx="86">
                  <c:v>92.872749999999996</c:v>
                </c:pt>
                <c:pt idx="87">
                  <c:v>92.853489999999994</c:v>
                </c:pt>
                <c:pt idx="88">
                  <c:v>92.834320000000005</c:v>
                </c:pt>
                <c:pt idx="89">
                  <c:v>92.815179999999998</c:v>
                </c:pt>
                <c:pt idx="90">
                  <c:v>92.788250000000005</c:v>
                </c:pt>
                <c:pt idx="91">
                  <c:v>92.759640000000005</c:v>
                </c:pt>
                <c:pt idx="92">
                  <c:v>92.728899999999996</c:v>
                </c:pt>
                <c:pt idx="93">
                  <c:v>92.702079999999995</c:v>
                </c:pt>
                <c:pt idx="94">
                  <c:v>92.656090000000006</c:v>
                </c:pt>
                <c:pt idx="95">
                  <c:v>92.634870000000006</c:v>
                </c:pt>
                <c:pt idx="96">
                  <c:v>92.600440000000006</c:v>
                </c:pt>
                <c:pt idx="97">
                  <c:v>92.577439999999996</c:v>
                </c:pt>
                <c:pt idx="98">
                  <c:v>92.538910000000001</c:v>
                </c:pt>
                <c:pt idx="99">
                  <c:v>92.533259999999999</c:v>
                </c:pt>
                <c:pt idx="100">
                  <c:v>92.500709999999998</c:v>
                </c:pt>
                <c:pt idx="101">
                  <c:v>92.473910000000004</c:v>
                </c:pt>
                <c:pt idx="102">
                  <c:v>92.471869999999996</c:v>
                </c:pt>
                <c:pt idx="103">
                  <c:v>92.422190000000001</c:v>
                </c:pt>
                <c:pt idx="104">
                  <c:v>92.404839999999993</c:v>
                </c:pt>
                <c:pt idx="105">
                  <c:v>92.375969999999995</c:v>
                </c:pt>
                <c:pt idx="106">
                  <c:v>92.374319999999997</c:v>
                </c:pt>
                <c:pt idx="107">
                  <c:v>92.318550000000002</c:v>
                </c:pt>
                <c:pt idx="108">
                  <c:v>92.291719999999998</c:v>
                </c:pt>
                <c:pt idx="109">
                  <c:v>92.289990000000003</c:v>
                </c:pt>
                <c:pt idx="110">
                  <c:v>92.251499999999993</c:v>
                </c:pt>
                <c:pt idx="111">
                  <c:v>92.211280000000002</c:v>
                </c:pt>
                <c:pt idx="112">
                  <c:v>92.195890000000006</c:v>
                </c:pt>
                <c:pt idx="113">
                  <c:v>92.144000000000005</c:v>
                </c:pt>
                <c:pt idx="114">
                  <c:v>92.121039999999994</c:v>
                </c:pt>
                <c:pt idx="115">
                  <c:v>92.092380000000006</c:v>
                </c:pt>
                <c:pt idx="116">
                  <c:v>92.06362</c:v>
                </c:pt>
                <c:pt idx="117">
                  <c:v>92.031149999999997</c:v>
                </c:pt>
                <c:pt idx="118">
                  <c:v>92.007829999999998</c:v>
                </c:pt>
                <c:pt idx="119">
                  <c:v>91.986750000000001</c:v>
                </c:pt>
                <c:pt idx="120">
                  <c:v>91.935069999999996</c:v>
                </c:pt>
                <c:pt idx="121">
                  <c:v>91.925529999999995</c:v>
                </c:pt>
                <c:pt idx="122">
                  <c:v>91.902479999999997</c:v>
                </c:pt>
                <c:pt idx="123">
                  <c:v>91.883279999999999</c:v>
                </c:pt>
                <c:pt idx="124">
                  <c:v>91.854609999999994</c:v>
                </c:pt>
                <c:pt idx="125">
                  <c:v>91.831460000000007</c:v>
                </c:pt>
                <c:pt idx="126">
                  <c:v>91.818129999999996</c:v>
                </c:pt>
                <c:pt idx="127">
                  <c:v>91.783699999999996</c:v>
                </c:pt>
                <c:pt idx="128">
                  <c:v>91.758709999999994</c:v>
                </c:pt>
                <c:pt idx="129">
                  <c:v>91.743409999999997</c:v>
                </c:pt>
                <c:pt idx="130">
                  <c:v>91.700980000000001</c:v>
                </c:pt>
                <c:pt idx="131">
                  <c:v>91.697289999999995</c:v>
                </c:pt>
                <c:pt idx="132">
                  <c:v>91.653289999999998</c:v>
                </c:pt>
                <c:pt idx="133">
                  <c:v>91.630120000000005</c:v>
                </c:pt>
                <c:pt idx="134">
                  <c:v>91.603309999999993</c:v>
                </c:pt>
                <c:pt idx="135">
                  <c:v>91.568700000000007</c:v>
                </c:pt>
                <c:pt idx="136">
                  <c:v>91.555490000000006</c:v>
                </c:pt>
                <c:pt idx="137">
                  <c:v>91.5304</c:v>
                </c:pt>
                <c:pt idx="138">
                  <c:v>91.512900000000002</c:v>
                </c:pt>
                <c:pt idx="139">
                  <c:v>91.474879999999999</c:v>
                </c:pt>
                <c:pt idx="140">
                  <c:v>91.426919999999996</c:v>
                </c:pt>
                <c:pt idx="141">
                  <c:v>91.413669999999996</c:v>
                </c:pt>
                <c:pt idx="142">
                  <c:v>91.390420000000006</c:v>
                </c:pt>
                <c:pt idx="143">
                  <c:v>91.378900000000002</c:v>
                </c:pt>
                <c:pt idx="144">
                  <c:v>91.348389999999995</c:v>
                </c:pt>
                <c:pt idx="145">
                  <c:v>91.317689999999999</c:v>
                </c:pt>
                <c:pt idx="146">
                  <c:v>91.294520000000006</c:v>
                </c:pt>
                <c:pt idx="147">
                  <c:v>91.271969999999996</c:v>
                </c:pt>
                <c:pt idx="148">
                  <c:v>91.247010000000003</c:v>
                </c:pt>
                <c:pt idx="149">
                  <c:v>91.216239999999999</c:v>
                </c:pt>
                <c:pt idx="150">
                  <c:v>91.196759999999998</c:v>
                </c:pt>
                <c:pt idx="151">
                  <c:v>91.148939999999996</c:v>
                </c:pt>
                <c:pt idx="152">
                  <c:v>91.152820000000006</c:v>
                </c:pt>
                <c:pt idx="153">
                  <c:v>91.110309999999998</c:v>
                </c:pt>
                <c:pt idx="154">
                  <c:v>91.085480000000004</c:v>
                </c:pt>
                <c:pt idx="155">
                  <c:v>91.080010000000001</c:v>
                </c:pt>
                <c:pt idx="156">
                  <c:v>91.047259999999994</c:v>
                </c:pt>
                <c:pt idx="157">
                  <c:v>91.030209999999997</c:v>
                </c:pt>
                <c:pt idx="158">
                  <c:v>91.012730000000005</c:v>
                </c:pt>
                <c:pt idx="159">
                  <c:v>90.97063</c:v>
                </c:pt>
                <c:pt idx="160">
                  <c:v>90.953609999999998</c:v>
                </c:pt>
                <c:pt idx="161">
                  <c:v>90.918809999999993</c:v>
                </c:pt>
                <c:pt idx="162">
                  <c:v>90.903279999999995</c:v>
                </c:pt>
                <c:pt idx="163">
                  <c:v>90.888319999999993</c:v>
                </c:pt>
                <c:pt idx="164">
                  <c:v>90.863169999999997</c:v>
                </c:pt>
                <c:pt idx="165">
                  <c:v>90.832459999999998</c:v>
                </c:pt>
                <c:pt idx="166">
                  <c:v>90.805499999999995</c:v>
                </c:pt>
                <c:pt idx="167">
                  <c:v>90.79983</c:v>
                </c:pt>
                <c:pt idx="168">
                  <c:v>90.786680000000004</c:v>
                </c:pt>
                <c:pt idx="169">
                  <c:v>90.753799999999998</c:v>
                </c:pt>
                <c:pt idx="170">
                  <c:v>90.713560000000001</c:v>
                </c:pt>
                <c:pt idx="171">
                  <c:v>90.713639999999998</c:v>
                </c:pt>
                <c:pt idx="172">
                  <c:v>90.651920000000004</c:v>
                </c:pt>
                <c:pt idx="173">
                  <c:v>90.658069999999995</c:v>
                </c:pt>
                <c:pt idx="174">
                  <c:v>90.60436</c:v>
                </c:pt>
                <c:pt idx="175">
                  <c:v>90.602459999999994</c:v>
                </c:pt>
                <c:pt idx="176">
                  <c:v>90.583299999999994</c:v>
                </c:pt>
                <c:pt idx="177">
                  <c:v>90.5565</c:v>
                </c:pt>
                <c:pt idx="178">
                  <c:v>90.531580000000005</c:v>
                </c:pt>
                <c:pt idx="179">
                  <c:v>90.543040000000005</c:v>
                </c:pt>
                <c:pt idx="180">
                  <c:v>90.498829999999998</c:v>
                </c:pt>
                <c:pt idx="181">
                  <c:v>90.473939999999999</c:v>
                </c:pt>
                <c:pt idx="182">
                  <c:v>90.454800000000006</c:v>
                </c:pt>
                <c:pt idx="183">
                  <c:v>90.429879999999997</c:v>
                </c:pt>
                <c:pt idx="184">
                  <c:v>90.41825</c:v>
                </c:pt>
                <c:pt idx="185">
                  <c:v>90.395420000000001</c:v>
                </c:pt>
                <c:pt idx="186">
                  <c:v>90.378119999999996</c:v>
                </c:pt>
                <c:pt idx="187">
                  <c:v>90.337919999999997</c:v>
                </c:pt>
                <c:pt idx="188">
                  <c:v>90.307109999999994</c:v>
                </c:pt>
                <c:pt idx="189">
                  <c:v>90.282259999999994</c:v>
                </c:pt>
                <c:pt idx="190">
                  <c:v>90.265039999999999</c:v>
                </c:pt>
                <c:pt idx="191">
                  <c:v>90.247709999999998</c:v>
                </c:pt>
                <c:pt idx="192">
                  <c:v>90.213380000000001</c:v>
                </c:pt>
                <c:pt idx="193">
                  <c:v>90.216949999999997</c:v>
                </c:pt>
                <c:pt idx="194">
                  <c:v>90.195909999999998</c:v>
                </c:pt>
                <c:pt idx="195">
                  <c:v>90.163160000000005</c:v>
                </c:pt>
                <c:pt idx="196">
                  <c:v>90.134739999999994</c:v>
                </c:pt>
                <c:pt idx="197">
                  <c:v>90.117440000000002</c:v>
                </c:pt>
                <c:pt idx="198">
                  <c:v>90.086690000000004</c:v>
                </c:pt>
                <c:pt idx="199">
                  <c:v>90.069370000000006</c:v>
                </c:pt>
                <c:pt idx="200">
                  <c:v>90.042500000000004</c:v>
                </c:pt>
                <c:pt idx="201">
                  <c:v>90.021690000000007</c:v>
                </c:pt>
                <c:pt idx="202">
                  <c:v>89.996510000000001</c:v>
                </c:pt>
                <c:pt idx="203">
                  <c:v>89.960130000000007</c:v>
                </c:pt>
                <c:pt idx="204">
                  <c:v>89.962130000000002</c:v>
                </c:pt>
                <c:pt idx="205">
                  <c:v>89.935119999999998</c:v>
                </c:pt>
                <c:pt idx="206">
                  <c:v>89.900639999999996</c:v>
                </c:pt>
                <c:pt idx="207">
                  <c:v>89.891099999999994</c:v>
                </c:pt>
                <c:pt idx="208">
                  <c:v>89.862229999999997</c:v>
                </c:pt>
                <c:pt idx="209">
                  <c:v>89.856459999999998</c:v>
                </c:pt>
                <c:pt idx="210">
                  <c:v>89.814310000000006</c:v>
                </c:pt>
                <c:pt idx="211">
                  <c:v>89.799009999999996</c:v>
                </c:pt>
                <c:pt idx="212">
                  <c:v>89.787629999999993</c:v>
                </c:pt>
                <c:pt idx="213">
                  <c:v>89.776049999999998</c:v>
                </c:pt>
                <c:pt idx="214">
                  <c:v>89.749099999999999</c:v>
                </c:pt>
                <c:pt idx="215">
                  <c:v>89.735680000000002</c:v>
                </c:pt>
                <c:pt idx="216">
                  <c:v>89.708839999999995</c:v>
                </c:pt>
                <c:pt idx="217">
                  <c:v>89.676240000000007</c:v>
                </c:pt>
                <c:pt idx="218">
                  <c:v>89.651489999999995</c:v>
                </c:pt>
                <c:pt idx="219">
                  <c:v>89.626390000000001</c:v>
                </c:pt>
                <c:pt idx="220">
                  <c:v>89.605429999999998</c:v>
                </c:pt>
                <c:pt idx="221">
                  <c:v>89.599590000000006</c:v>
                </c:pt>
                <c:pt idx="222">
                  <c:v>89.578500000000005</c:v>
                </c:pt>
                <c:pt idx="223">
                  <c:v>89.549629999999993</c:v>
                </c:pt>
                <c:pt idx="224">
                  <c:v>89.523009999999999</c:v>
                </c:pt>
                <c:pt idx="225">
                  <c:v>89.490020000000001</c:v>
                </c:pt>
                <c:pt idx="226">
                  <c:v>89.480890000000002</c:v>
                </c:pt>
                <c:pt idx="227">
                  <c:v>89.453819999999993</c:v>
                </c:pt>
                <c:pt idx="228">
                  <c:v>89.423180000000002</c:v>
                </c:pt>
                <c:pt idx="229">
                  <c:v>89.405860000000004</c:v>
                </c:pt>
                <c:pt idx="230">
                  <c:v>89.386750000000006</c:v>
                </c:pt>
                <c:pt idx="231">
                  <c:v>89.359960000000001</c:v>
                </c:pt>
                <c:pt idx="232">
                  <c:v>89.344679999999997</c:v>
                </c:pt>
                <c:pt idx="233">
                  <c:v>89.310119999999998</c:v>
                </c:pt>
                <c:pt idx="234">
                  <c:v>89.28922</c:v>
                </c:pt>
                <c:pt idx="235">
                  <c:v>89.277360000000002</c:v>
                </c:pt>
                <c:pt idx="236">
                  <c:v>89.254469999999998</c:v>
                </c:pt>
                <c:pt idx="237">
                  <c:v>89.227649999999997</c:v>
                </c:pt>
                <c:pt idx="238">
                  <c:v>89.210380000000001</c:v>
                </c:pt>
                <c:pt idx="239">
                  <c:v>89.202680000000001</c:v>
                </c:pt>
                <c:pt idx="240">
                  <c:v>89.17783</c:v>
                </c:pt>
                <c:pt idx="241">
                  <c:v>89.1584</c:v>
                </c:pt>
                <c:pt idx="242">
                  <c:v>89.123850000000004</c:v>
                </c:pt>
                <c:pt idx="243">
                  <c:v>89.101179999999999</c:v>
                </c:pt>
                <c:pt idx="244">
                  <c:v>89.083749999999995</c:v>
                </c:pt>
                <c:pt idx="245">
                  <c:v>89.068629999999999</c:v>
                </c:pt>
                <c:pt idx="246">
                  <c:v>89.045540000000003</c:v>
                </c:pt>
                <c:pt idx="247">
                  <c:v>89.028329999999997</c:v>
                </c:pt>
                <c:pt idx="248">
                  <c:v>88.995599999999996</c:v>
                </c:pt>
                <c:pt idx="249">
                  <c:v>88.97457</c:v>
                </c:pt>
                <c:pt idx="250">
                  <c:v>88.972530000000006</c:v>
                </c:pt>
                <c:pt idx="251">
                  <c:v>88.938239999999993</c:v>
                </c:pt>
                <c:pt idx="252">
                  <c:v>88.916970000000006</c:v>
                </c:pt>
                <c:pt idx="253">
                  <c:v>88.894080000000002</c:v>
                </c:pt>
                <c:pt idx="254">
                  <c:v>88.886319999999998</c:v>
                </c:pt>
                <c:pt idx="255">
                  <c:v>88.847890000000007</c:v>
                </c:pt>
                <c:pt idx="256">
                  <c:v>88.830539999999999</c:v>
                </c:pt>
                <c:pt idx="257">
                  <c:v>88.815380000000005</c:v>
                </c:pt>
                <c:pt idx="258">
                  <c:v>88.786469999999994</c:v>
                </c:pt>
                <c:pt idx="259">
                  <c:v>88.763540000000006</c:v>
                </c:pt>
                <c:pt idx="260">
                  <c:v>88.734809999999996</c:v>
                </c:pt>
                <c:pt idx="261">
                  <c:v>88.717680000000001</c:v>
                </c:pt>
                <c:pt idx="262">
                  <c:v>88.702190000000002</c:v>
                </c:pt>
                <c:pt idx="263">
                  <c:v>88.669529999999995</c:v>
                </c:pt>
                <c:pt idx="264">
                  <c:v>88.660070000000005</c:v>
                </c:pt>
                <c:pt idx="265">
                  <c:v>88.637</c:v>
                </c:pt>
                <c:pt idx="266">
                  <c:v>88.610249999999994</c:v>
                </c:pt>
                <c:pt idx="267">
                  <c:v>88.592920000000007</c:v>
                </c:pt>
                <c:pt idx="268">
                  <c:v>88.565969999999993</c:v>
                </c:pt>
                <c:pt idx="269">
                  <c:v>88.554559999999995</c:v>
                </c:pt>
                <c:pt idx="270">
                  <c:v>88.541160000000005</c:v>
                </c:pt>
                <c:pt idx="271">
                  <c:v>88.517979999999994</c:v>
                </c:pt>
                <c:pt idx="272">
                  <c:v>88.4953</c:v>
                </c:pt>
                <c:pt idx="273">
                  <c:v>88.479709999999997</c:v>
                </c:pt>
                <c:pt idx="274">
                  <c:v>88.422060000000002</c:v>
                </c:pt>
                <c:pt idx="275">
                  <c:v>88.418390000000002</c:v>
                </c:pt>
                <c:pt idx="276">
                  <c:v>88.391509999999997</c:v>
                </c:pt>
                <c:pt idx="277">
                  <c:v>88.378069999999994</c:v>
                </c:pt>
                <c:pt idx="278">
                  <c:v>88.347660000000005</c:v>
                </c:pt>
                <c:pt idx="279">
                  <c:v>88.334029999999998</c:v>
                </c:pt>
                <c:pt idx="280">
                  <c:v>88.309209999999993</c:v>
                </c:pt>
                <c:pt idx="281">
                  <c:v>88.282129999999995</c:v>
                </c:pt>
                <c:pt idx="282">
                  <c:v>88.269030000000001</c:v>
                </c:pt>
                <c:pt idx="283">
                  <c:v>88.251609999999999</c:v>
                </c:pt>
                <c:pt idx="284">
                  <c:v>88.230410000000006</c:v>
                </c:pt>
                <c:pt idx="285">
                  <c:v>88.217060000000004</c:v>
                </c:pt>
                <c:pt idx="286">
                  <c:v>88.186480000000003</c:v>
                </c:pt>
                <c:pt idx="287">
                  <c:v>88.155770000000004</c:v>
                </c:pt>
                <c:pt idx="288">
                  <c:v>88.140219999999999</c:v>
                </c:pt>
                <c:pt idx="289">
                  <c:v>88.111710000000002</c:v>
                </c:pt>
                <c:pt idx="290">
                  <c:v>88.088520000000003</c:v>
                </c:pt>
                <c:pt idx="291">
                  <c:v>88.065709999999996</c:v>
                </c:pt>
                <c:pt idx="292">
                  <c:v>88.052310000000006</c:v>
                </c:pt>
                <c:pt idx="293">
                  <c:v>88.040610000000001</c:v>
                </c:pt>
                <c:pt idx="294">
                  <c:v>88.021609999999995</c:v>
                </c:pt>
                <c:pt idx="295">
                  <c:v>87.979339999999993</c:v>
                </c:pt>
                <c:pt idx="296">
                  <c:v>87.963970000000003</c:v>
                </c:pt>
                <c:pt idx="297">
                  <c:v>87.946740000000005</c:v>
                </c:pt>
                <c:pt idx="298">
                  <c:v>87.944900000000004</c:v>
                </c:pt>
                <c:pt idx="299">
                  <c:v>87.912239999999997</c:v>
                </c:pt>
                <c:pt idx="300">
                  <c:v>87.889250000000004</c:v>
                </c:pt>
                <c:pt idx="301">
                  <c:v>87.862340000000003</c:v>
                </c:pt>
                <c:pt idx="302">
                  <c:v>87.837620000000001</c:v>
                </c:pt>
                <c:pt idx="303">
                  <c:v>87.810450000000003</c:v>
                </c:pt>
                <c:pt idx="304">
                  <c:v>87.795339999999996</c:v>
                </c:pt>
                <c:pt idx="305">
                  <c:v>87.785579999999996</c:v>
                </c:pt>
                <c:pt idx="306">
                  <c:v>87.762609999999995</c:v>
                </c:pt>
                <c:pt idx="307">
                  <c:v>87.741770000000002</c:v>
                </c:pt>
                <c:pt idx="308">
                  <c:v>87.709019999999995</c:v>
                </c:pt>
                <c:pt idx="309">
                  <c:v>87.701300000000003</c:v>
                </c:pt>
                <c:pt idx="310">
                  <c:v>87.669110000000003</c:v>
                </c:pt>
                <c:pt idx="311">
                  <c:v>87.637230000000002</c:v>
                </c:pt>
                <c:pt idx="312">
                  <c:v>87.64385</c:v>
                </c:pt>
                <c:pt idx="313">
                  <c:v>87.613060000000004</c:v>
                </c:pt>
                <c:pt idx="314">
                  <c:v>87.584379999999996</c:v>
                </c:pt>
                <c:pt idx="315">
                  <c:v>87.563419999999994</c:v>
                </c:pt>
                <c:pt idx="316">
                  <c:v>87.536429999999996</c:v>
                </c:pt>
                <c:pt idx="317">
                  <c:v>87.499920000000003</c:v>
                </c:pt>
                <c:pt idx="318">
                  <c:v>87.503889999999998</c:v>
                </c:pt>
                <c:pt idx="319">
                  <c:v>87.450090000000003</c:v>
                </c:pt>
                <c:pt idx="320">
                  <c:v>87.448059999999998</c:v>
                </c:pt>
                <c:pt idx="321">
                  <c:v>87.438659999999999</c:v>
                </c:pt>
                <c:pt idx="322">
                  <c:v>87.405950000000004</c:v>
                </c:pt>
                <c:pt idx="323">
                  <c:v>87.394530000000003</c:v>
                </c:pt>
                <c:pt idx="324">
                  <c:v>87.379260000000002</c:v>
                </c:pt>
                <c:pt idx="325">
                  <c:v>87.346630000000005</c:v>
                </c:pt>
                <c:pt idx="326">
                  <c:v>87.327529999999996</c:v>
                </c:pt>
                <c:pt idx="327">
                  <c:v>87.30453</c:v>
                </c:pt>
                <c:pt idx="328">
                  <c:v>87.283249999999995</c:v>
                </c:pt>
                <c:pt idx="329">
                  <c:v>87.264080000000007</c:v>
                </c:pt>
                <c:pt idx="330">
                  <c:v>87.241190000000003</c:v>
                </c:pt>
                <c:pt idx="331">
                  <c:v>87.208659999999995</c:v>
                </c:pt>
                <c:pt idx="332">
                  <c:v>87.193200000000004</c:v>
                </c:pt>
                <c:pt idx="333">
                  <c:v>87.174109999999999</c:v>
                </c:pt>
                <c:pt idx="334">
                  <c:v>87.145169999999993</c:v>
                </c:pt>
                <c:pt idx="335">
                  <c:v>87.116439999999997</c:v>
                </c:pt>
                <c:pt idx="336">
                  <c:v>87.110860000000002</c:v>
                </c:pt>
                <c:pt idx="337">
                  <c:v>87.104830000000007</c:v>
                </c:pt>
                <c:pt idx="338">
                  <c:v>87.074349999999995</c:v>
                </c:pt>
                <c:pt idx="339">
                  <c:v>87.083910000000003</c:v>
                </c:pt>
                <c:pt idx="340">
                  <c:v>87.055040000000005</c:v>
                </c:pt>
                <c:pt idx="341">
                  <c:v>87.015029999999996</c:v>
                </c:pt>
                <c:pt idx="342">
                  <c:v>87.010930000000002</c:v>
                </c:pt>
                <c:pt idx="343">
                  <c:v>86.972790000000003</c:v>
                </c:pt>
                <c:pt idx="344">
                  <c:v>86.942070000000001</c:v>
                </c:pt>
                <c:pt idx="345">
                  <c:v>86.949730000000002</c:v>
                </c:pt>
                <c:pt idx="346">
                  <c:v>86.922910000000002</c:v>
                </c:pt>
                <c:pt idx="347">
                  <c:v>86.897810000000007</c:v>
                </c:pt>
                <c:pt idx="348">
                  <c:v>86.876769999999993</c:v>
                </c:pt>
                <c:pt idx="349">
                  <c:v>86.851920000000007</c:v>
                </c:pt>
                <c:pt idx="350">
                  <c:v>86.844080000000005</c:v>
                </c:pt>
                <c:pt idx="351">
                  <c:v>86.834609999999998</c:v>
                </c:pt>
                <c:pt idx="352">
                  <c:v>86.802160000000001</c:v>
                </c:pt>
                <c:pt idx="353">
                  <c:v>86.786689999999993</c:v>
                </c:pt>
                <c:pt idx="354">
                  <c:v>86.769360000000006</c:v>
                </c:pt>
                <c:pt idx="355">
                  <c:v>86.734840000000005</c:v>
                </c:pt>
                <c:pt idx="356">
                  <c:v>86.729079999999996</c:v>
                </c:pt>
                <c:pt idx="357">
                  <c:v>86.692760000000007</c:v>
                </c:pt>
                <c:pt idx="358">
                  <c:v>86.671400000000006</c:v>
                </c:pt>
                <c:pt idx="359">
                  <c:v>86.652360000000002</c:v>
                </c:pt>
                <c:pt idx="360">
                  <c:v>86.633279999999999</c:v>
                </c:pt>
                <c:pt idx="361">
                  <c:v>86.604550000000003</c:v>
                </c:pt>
                <c:pt idx="362">
                  <c:v>86.598650000000006</c:v>
                </c:pt>
                <c:pt idx="363">
                  <c:v>86.581500000000005</c:v>
                </c:pt>
                <c:pt idx="364">
                  <c:v>86.556569999999994</c:v>
                </c:pt>
                <c:pt idx="365">
                  <c:v>86.547049999999999</c:v>
                </c:pt>
                <c:pt idx="366">
                  <c:v>86.499170000000007</c:v>
                </c:pt>
                <c:pt idx="367">
                  <c:v>86.493340000000003</c:v>
                </c:pt>
                <c:pt idx="368">
                  <c:v>86.470060000000004</c:v>
                </c:pt>
                <c:pt idx="369">
                  <c:v>86.45881</c:v>
                </c:pt>
                <c:pt idx="370">
                  <c:v>86.441469999999995</c:v>
                </c:pt>
                <c:pt idx="371">
                  <c:v>86.4148</c:v>
                </c:pt>
                <c:pt idx="372">
                  <c:v>86.414689999999993</c:v>
                </c:pt>
                <c:pt idx="373">
                  <c:v>86.374369999999999</c:v>
                </c:pt>
                <c:pt idx="374">
                  <c:v>86.364639999999994</c:v>
                </c:pt>
                <c:pt idx="375">
                  <c:v>86.332049999999995</c:v>
                </c:pt>
                <c:pt idx="376">
                  <c:v>86.316969999999998</c:v>
                </c:pt>
                <c:pt idx="377">
                  <c:v>86.274630000000002</c:v>
                </c:pt>
                <c:pt idx="378">
                  <c:v>86.276629999999997</c:v>
                </c:pt>
                <c:pt idx="379">
                  <c:v>86.24024</c:v>
                </c:pt>
                <c:pt idx="380">
                  <c:v>86.232299999999995</c:v>
                </c:pt>
                <c:pt idx="381">
                  <c:v>86.215260000000001</c:v>
                </c:pt>
                <c:pt idx="382">
                  <c:v>86.188469999999995</c:v>
                </c:pt>
                <c:pt idx="383">
                  <c:v>86.178629999999998</c:v>
                </c:pt>
                <c:pt idx="384">
                  <c:v>86.171009999999995</c:v>
                </c:pt>
                <c:pt idx="385">
                  <c:v>86.144149999999996</c:v>
                </c:pt>
                <c:pt idx="386">
                  <c:v>86.11354</c:v>
                </c:pt>
                <c:pt idx="387">
                  <c:v>86.092510000000004</c:v>
                </c:pt>
                <c:pt idx="388">
                  <c:v>86.102230000000006</c:v>
                </c:pt>
                <c:pt idx="389">
                  <c:v>86.08887</c:v>
                </c:pt>
                <c:pt idx="390">
                  <c:v>86.052369999999996</c:v>
                </c:pt>
                <c:pt idx="391">
                  <c:v>86.040840000000003</c:v>
                </c:pt>
                <c:pt idx="392">
                  <c:v>86.002420000000001</c:v>
                </c:pt>
                <c:pt idx="393">
                  <c:v>85.996570000000006</c:v>
                </c:pt>
                <c:pt idx="394">
                  <c:v>85.975620000000006</c:v>
                </c:pt>
                <c:pt idx="395">
                  <c:v>85.942920000000001</c:v>
                </c:pt>
                <c:pt idx="396">
                  <c:v>85.941090000000003</c:v>
                </c:pt>
                <c:pt idx="397">
                  <c:v>85.927779999999998</c:v>
                </c:pt>
                <c:pt idx="398">
                  <c:v>85.927719999999994</c:v>
                </c:pt>
                <c:pt idx="399">
                  <c:v>85.904589999999999</c:v>
                </c:pt>
                <c:pt idx="400">
                  <c:v>85.883439999999993</c:v>
                </c:pt>
                <c:pt idx="401">
                  <c:v>85.864400000000003</c:v>
                </c:pt>
                <c:pt idx="402">
                  <c:v>85.845230000000001</c:v>
                </c:pt>
                <c:pt idx="403">
                  <c:v>85.826120000000003</c:v>
                </c:pt>
                <c:pt idx="404">
                  <c:v>85.822249999999997</c:v>
                </c:pt>
                <c:pt idx="405">
                  <c:v>85.793350000000004</c:v>
                </c:pt>
                <c:pt idx="406">
                  <c:v>85.753190000000004</c:v>
                </c:pt>
                <c:pt idx="407">
                  <c:v>85.735870000000006</c:v>
                </c:pt>
                <c:pt idx="408">
                  <c:v>85.751220000000004</c:v>
                </c:pt>
                <c:pt idx="409">
                  <c:v>85.720529999999997</c:v>
                </c:pt>
                <c:pt idx="410">
                  <c:v>85.695729999999998</c:v>
                </c:pt>
                <c:pt idx="411">
                  <c:v>85.682220000000001</c:v>
                </c:pt>
                <c:pt idx="412">
                  <c:v>85.651740000000004</c:v>
                </c:pt>
                <c:pt idx="413">
                  <c:v>85.639920000000004</c:v>
                </c:pt>
                <c:pt idx="414">
                  <c:v>85.619029999999995</c:v>
                </c:pt>
                <c:pt idx="415">
                  <c:v>85.609369999999998</c:v>
                </c:pt>
                <c:pt idx="416">
                  <c:v>85.59393</c:v>
                </c:pt>
                <c:pt idx="417">
                  <c:v>85.571079999999995</c:v>
                </c:pt>
                <c:pt idx="418">
                  <c:v>85.548029999999997</c:v>
                </c:pt>
                <c:pt idx="419">
                  <c:v>85.532870000000003</c:v>
                </c:pt>
                <c:pt idx="420">
                  <c:v>85.507369999999995</c:v>
                </c:pt>
                <c:pt idx="421">
                  <c:v>85.498000000000005</c:v>
                </c:pt>
                <c:pt idx="422">
                  <c:v>85.473230000000001</c:v>
                </c:pt>
                <c:pt idx="423">
                  <c:v>85.463729999999998</c:v>
                </c:pt>
                <c:pt idx="424">
                  <c:v>85.427239999999998</c:v>
                </c:pt>
                <c:pt idx="425">
                  <c:v>85.432980000000001</c:v>
                </c:pt>
                <c:pt idx="426">
                  <c:v>85.412049999999994</c:v>
                </c:pt>
                <c:pt idx="427">
                  <c:v>85.39246</c:v>
                </c:pt>
                <c:pt idx="428">
                  <c:v>85.375470000000007</c:v>
                </c:pt>
                <c:pt idx="429">
                  <c:v>85.352490000000003</c:v>
                </c:pt>
                <c:pt idx="430">
                  <c:v>85.344740000000002</c:v>
                </c:pt>
                <c:pt idx="431">
                  <c:v>85.335070000000002</c:v>
                </c:pt>
                <c:pt idx="432">
                  <c:v>85.304469999999995</c:v>
                </c:pt>
                <c:pt idx="433">
                  <c:v>85.300719999999998</c:v>
                </c:pt>
                <c:pt idx="434">
                  <c:v>85.285319999999999</c:v>
                </c:pt>
                <c:pt idx="435">
                  <c:v>85.271829999999994</c:v>
                </c:pt>
                <c:pt idx="436">
                  <c:v>85.231620000000007</c:v>
                </c:pt>
                <c:pt idx="437">
                  <c:v>85.239140000000006</c:v>
                </c:pt>
                <c:pt idx="438">
                  <c:v>85.220129999999997</c:v>
                </c:pt>
                <c:pt idx="439">
                  <c:v>85.19323</c:v>
                </c:pt>
                <c:pt idx="440">
                  <c:v>85.18356</c:v>
                </c:pt>
                <c:pt idx="441">
                  <c:v>85.181669999999997</c:v>
                </c:pt>
                <c:pt idx="442">
                  <c:v>85.158969999999997</c:v>
                </c:pt>
                <c:pt idx="443">
                  <c:v>85.147180000000006</c:v>
                </c:pt>
                <c:pt idx="444">
                  <c:v>85.112520000000004</c:v>
                </c:pt>
                <c:pt idx="445">
                  <c:v>85.108800000000002</c:v>
                </c:pt>
                <c:pt idx="446">
                  <c:v>85.093450000000004</c:v>
                </c:pt>
                <c:pt idx="447">
                  <c:v>85.072580000000002</c:v>
                </c:pt>
                <c:pt idx="448">
                  <c:v>85.064719999999994</c:v>
                </c:pt>
                <c:pt idx="449">
                  <c:v>85.051479999999998</c:v>
                </c:pt>
                <c:pt idx="450">
                  <c:v>85.020690000000002</c:v>
                </c:pt>
                <c:pt idx="451">
                  <c:v>85.009150000000005</c:v>
                </c:pt>
                <c:pt idx="452">
                  <c:v>84.97466</c:v>
                </c:pt>
                <c:pt idx="453">
                  <c:v>84.968919999999997</c:v>
                </c:pt>
                <c:pt idx="454">
                  <c:v>84.957390000000004</c:v>
                </c:pt>
                <c:pt idx="455">
                  <c:v>84.934389999999993</c:v>
                </c:pt>
                <c:pt idx="456">
                  <c:v>84.907619999999994</c:v>
                </c:pt>
                <c:pt idx="457">
                  <c:v>84.901859999999999</c:v>
                </c:pt>
                <c:pt idx="458">
                  <c:v>84.894360000000006</c:v>
                </c:pt>
                <c:pt idx="459">
                  <c:v>84.884450000000001</c:v>
                </c:pt>
                <c:pt idx="460">
                  <c:v>84.857810000000001</c:v>
                </c:pt>
                <c:pt idx="461">
                  <c:v>84.842449999999999</c:v>
                </c:pt>
                <c:pt idx="462">
                  <c:v>84.823210000000003</c:v>
                </c:pt>
                <c:pt idx="463">
                  <c:v>84.823149999999998</c:v>
                </c:pt>
                <c:pt idx="464">
                  <c:v>84.805840000000003</c:v>
                </c:pt>
                <c:pt idx="465">
                  <c:v>84.792469999999994</c:v>
                </c:pt>
                <c:pt idx="466">
                  <c:v>84.778980000000004</c:v>
                </c:pt>
                <c:pt idx="467">
                  <c:v>84.765699999999995</c:v>
                </c:pt>
                <c:pt idx="468">
                  <c:v>84.744439999999997</c:v>
                </c:pt>
                <c:pt idx="469">
                  <c:v>84.729259999999996</c:v>
                </c:pt>
                <c:pt idx="470">
                  <c:v>84.702389999999994</c:v>
                </c:pt>
                <c:pt idx="471">
                  <c:v>84.668030000000002</c:v>
                </c:pt>
                <c:pt idx="472">
                  <c:v>84.654579999999996</c:v>
                </c:pt>
                <c:pt idx="473">
                  <c:v>84.662189999999995</c:v>
                </c:pt>
                <c:pt idx="474">
                  <c:v>84.635239999999996</c:v>
                </c:pt>
                <c:pt idx="475">
                  <c:v>84.614289999999997</c:v>
                </c:pt>
                <c:pt idx="476">
                  <c:v>84.600740000000002</c:v>
                </c:pt>
                <c:pt idx="477">
                  <c:v>84.585539999999995</c:v>
                </c:pt>
                <c:pt idx="478">
                  <c:v>84.573949999999996</c:v>
                </c:pt>
                <c:pt idx="479">
                  <c:v>84.558539999999994</c:v>
                </c:pt>
                <c:pt idx="480">
                  <c:v>84.545240000000007</c:v>
                </c:pt>
                <c:pt idx="481">
                  <c:v>84.527739999999994</c:v>
                </c:pt>
                <c:pt idx="482">
                  <c:v>84.506829999999994</c:v>
                </c:pt>
                <c:pt idx="483">
                  <c:v>84.493319999999997</c:v>
                </c:pt>
                <c:pt idx="484">
                  <c:v>84.483999999999995</c:v>
                </c:pt>
                <c:pt idx="485">
                  <c:v>84.476140000000001</c:v>
                </c:pt>
                <c:pt idx="486">
                  <c:v>84.456969999999998</c:v>
                </c:pt>
                <c:pt idx="487">
                  <c:v>84.428269999999998</c:v>
                </c:pt>
                <c:pt idx="488">
                  <c:v>84.414900000000003</c:v>
                </c:pt>
                <c:pt idx="489">
                  <c:v>84.403189999999995</c:v>
                </c:pt>
                <c:pt idx="490">
                  <c:v>84.386089999999996</c:v>
                </c:pt>
                <c:pt idx="491">
                  <c:v>84.35727</c:v>
                </c:pt>
                <c:pt idx="492">
                  <c:v>84.349530000000001</c:v>
                </c:pt>
                <c:pt idx="493">
                  <c:v>84.332229999999996</c:v>
                </c:pt>
                <c:pt idx="494">
                  <c:v>84.318929999999995</c:v>
                </c:pt>
                <c:pt idx="495">
                  <c:v>84.296099999999996</c:v>
                </c:pt>
                <c:pt idx="496">
                  <c:v>84.286339999999996</c:v>
                </c:pt>
                <c:pt idx="497">
                  <c:v>84.265079999999998</c:v>
                </c:pt>
                <c:pt idx="498">
                  <c:v>84.259249999999994</c:v>
                </c:pt>
                <c:pt idx="499">
                  <c:v>84.244060000000005</c:v>
                </c:pt>
                <c:pt idx="500">
                  <c:v>84.226820000000004</c:v>
                </c:pt>
                <c:pt idx="501">
                  <c:v>84.201920000000001</c:v>
                </c:pt>
                <c:pt idx="502">
                  <c:v>84.201970000000003</c:v>
                </c:pt>
                <c:pt idx="503">
                  <c:v>84.175039999999996</c:v>
                </c:pt>
                <c:pt idx="504">
                  <c:v>84.17313</c:v>
                </c:pt>
                <c:pt idx="505">
                  <c:v>84.146339999999995</c:v>
                </c:pt>
                <c:pt idx="506">
                  <c:v>84.117570000000001</c:v>
                </c:pt>
                <c:pt idx="507">
                  <c:v>84.102159999999998</c:v>
                </c:pt>
                <c:pt idx="508">
                  <c:v>84.098339999999993</c:v>
                </c:pt>
                <c:pt idx="509">
                  <c:v>84.082939999999994</c:v>
                </c:pt>
                <c:pt idx="510">
                  <c:v>84.050380000000004</c:v>
                </c:pt>
                <c:pt idx="511">
                  <c:v>84.038989999999998</c:v>
                </c:pt>
                <c:pt idx="512">
                  <c:v>84.038970000000006</c:v>
                </c:pt>
                <c:pt idx="513">
                  <c:v>84.010140000000007</c:v>
                </c:pt>
                <c:pt idx="514">
                  <c:v>83.99879</c:v>
                </c:pt>
                <c:pt idx="515">
                  <c:v>83.979489999999998</c:v>
                </c:pt>
                <c:pt idx="516">
                  <c:v>83.979609999999994</c:v>
                </c:pt>
                <c:pt idx="517">
                  <c:v>83.962180000000004</c:v>
                </c:pt>
                <c:pt idx="518">
                  <c:v>83.948769999999996</c:v>
                </c:pt>
                <c:pt idx="519">
                  <c:v>83.93929</c:v>
                </c:pt>
                <c:pt idx="520">
                  <c:v>83.918239999999997</c:v>
                </c:pt>
                <c:pt idx="521">
                  <c:v>83.900930000000002</c:v>
                </c:pt>
                <c:pt idx="522">
                  <c:v>83.875929999999997</c:v>
                </c:pt>
                <c:pt idx="523">
                  <c:v>83.862470000000002</c:v>
                </c:pt>
                <c:pt idx="524">
                  <c:v>83.870009999999994</c:v>
                </c:pt>
                <c:pt idx="525">
                  <c:v>83.853059999999999</c:v>
                </c:pt>
                <c:pt idx="526">
                  <c:v>83.82602</c:v>
                </c:pt>
                <c:pt idx="527">
                  <c:v>83.799289999999999</c:v>
                </c:pt>
                <c:pt idx="528">
                  <c:v>83.803079999999994</c:v>
                </c:pt>
                <c:pt idx="529">
                  <c:v>83.780159999999995</c:v>
                </c:pt>
                <c:pt idx="530">
                  <c:v>83.76661</c:v>
                </c:pt>
                <c:pt idx="531">
                  <c:v>83.757019999999997</c:v>
                </c:pt>
                <c:pt idx="532">
                  <c:v>83.741849999999999</c:v>
                </c:pt>
                <c:pt idx="533">
                  <c:v>83.737790000000004</c:v>
                </c:pt>
                <c:pt idx="534">
                  <c:v>83.718689999999995</c:v>
                </c:pt>
                <c:pt idx="535">
                  <c:v>83.689980000000006</c:v>
                </c:pt>
                <c:pt idx="536">
                  <c:v>83.699529999999996</c:v>
                </c:pt>
                <c:pt idx="537">
                  <c:v>83.672659999999993</c:v>
                </c:pt>
                <c:pt idx="538">
                  <c:v>83.655389999999997</c:v>
                </c:pt>
                <c:pt idx="539">
                  <c:v>83.632490000000004</c:v>
                </c:pt>
                <c:pt idx="540">
                  <c:v>83.622789999999995</c:v>
                </c:pt>
                <c:pt idx="541">
                  <c:v>83.603769999999997</c:v>
                </c:pt>
                <c:pt idx="542">
                  <c:v>83.576819999999998</c:v>
                </c:pt>
                <c:pt idx="543">
                  <c:v>83.572929999999999</c:v>
                </c:pt>
                <c:pt idx="544">
                  <c:v>83.557640000000006</c:v>
                </c:pt>
                <c:pt idx="545">
                  <c:v>83.548050000000003</c:v>
                </c:pt>
                <c:pt idx="546">
                  <c:v>83.528809999999993</c:v>
                </c:pt>
                <c:pt idx="547">
                  <c:v>83.521379999999994</c:v>
                </c:pt>
                <c:pt idx="548">
                  <c:v>83.50215</c:v>
                </c:pt>
                <c:pt idx="549">
                  <c:v>83.490589999999997</c:v>
                </c:pt>
                <c:pt idx="550">
                  <c:v>83.44838</c:v>
                </c:pt>
                <c:pt idx="551">
                  <c:v>83.446449999999999</c:v>
                </c:pt>
                <c:pt idx="552">
                  <c:v>83.435069999999996</c:v>
                </c:pt>
                <c:pt idx="553">
                  <c:v>83.429320000000004</c:v>
                </c:pt>
                <c:pt idx="554">
                  <c:v>83.413619999999995</c:v>
                </c:pt>
                <c:pt idx="555">
                  <c:v>83.386989999999997</c:v>
                </c:pt>
                <c:pt idx="556">
                  <c:v>83.388800000000003</c:v>
                </c:pt>
                <c:pt idx="557">
                  <c:v>83.364069999999998</c:v>
                </c:pt>
                <c:pt idx="558">
                  <c:v>83.343040000000002</c:v>
                </c:pt>
                <c:pt idx="559">
                  <c:v>83.323710000000005</c:v>
                </c:pt>
                <c:pt idx="560">
                  <c:v>83.314120000000003</c:v>
                </c:pt>
                <c:pt idx="561">
                  <c:v>83.300700000000006</c:v>
                </c:pt>
                <c:pt idx="562">
                  <c:v>83.283370000000005</c:v>
                </c:pt>
                <c:pt idx="563">
                  <c:v>83.270060000000001</c:v>
                </c:pt>
                <c:pt idx="564">
                  <c:v>83.247020000000006</c:v>
                </c:pt>
                <c:pt idx="565">
                  <c:v>83.231660000000005</c:v>
                </c:pt>
                <c:pt idx="566">
                  <c:v>83.220169999999996</c:v>
                </c:pt>
                <c:pt idx="567">
                  <c:v>83.189419999999998</c:v>
                </c:pt>
                <c:pt idx="568">
                  <c:v>83.15307</c:v>
                </c:pt>
                <c:pt idx="569">
                  <c:v>83.155050000000003</c:v>
                </c:pt>
                <c:pt idx="570">
                  <c:v>83.151250000000005</c:v>
                </c:pt>
                <c:pt idx="571">
                  <c:v>83.139719999999997</c:v>
                </c:pt>
                <c:pt idx="572">
                  <c:v>83.133870000000002</c:v>
                </c:pt>
                <c:pt idx="573">
                  <c:v>83.112620000000007</c:v>
                </c:pt>
                <c:pt idx="574">
                  <c:v>83.087940000000003</c:v>
                </c:pt>
                <c:pt idx="575">
                  <c:v>83.076279999999997</c:v>
                </c:pt>
                <c:pt idx="576">
                  <c:v>83.062839999999994</c:v>
                </c:pt>
                <c:pt idx="577">
                  <c:v>83.053529999999995</c:v>
                </c:pt>
                <c:pt idx="578">
                  <c:v>83.030370000000005</c:v>
                </c:pt>
                <c:pt idx="579">
                  <c:v>83.020830000000004</c:v>
                </c:pt>
                <c:pt idx="580">
                  <c:v>82.995810000000006</c:v>
                </c:pt>
                <c:pt idx="581">
                  <c:v>82.982519999999994</c:v>
                </c:pt>
                <c:pt idx="582">
                  <c:v>82.968919999999997</c:v>
                </c:pt>
                <c:pt idx="583">
                  <c:v>82.968980000000002</c:v>
                </c:pt>
                <c:pt idx="584">
                  <c:v>82.928690000000003</c:v>
                </c:pt>
                <c:pt idx="585">
                  <c:v>82.922939999999997</c:v>
                </c:pt>
                <c:pt idx="586">
                  <c:v>82.896050000000002</c:v>
                </c:pt>
                <c:pt idx="587">
                  <c:v>82.884559999999993</c:v>
                </c:pt>
                <c:pt idx="588">
                  <c:v>82.857799999999997</c:v>
                </c:pt>
                <c:pt idx="589">
                  <c:v>82.857770000000002</c:v>
                </c:pt>
                <c:pt idx="590">
                  <c:v>82.828959999999995</c:v>
                </c:pt>
                <c:pt idx="591">
                  <c:v>82.807879999999997</c:v>
                </c:pt>
                <c:pt idx="592">
                  <c:v>82.804190000000006</c:v>
                </c:pt>
                <c:pt idx="593">
                  <c:v>82.786829999999995</c:v>
                </c:pt>
                <c:pt idx="594">
                  <c:v>82.769620000000003</c:v>
                </c:pt>
                <c:pt idx="595">
                  <c:v>82.746769999999998</c:v>
                </c:pt>
                <c:pt idx="596">
                  <c:v>82.729309999999998</c:v>
                </c:pt>
                <c:pt idx="597">
                  <c:v>82.716030000000003</c:v>
                </c:pt>
                <c:pt idx="598">
                  <c:v>82.683210000000003</c:v>
                </c:pt>
                <c:pt idx="599">
                  <c:v>82.67944</c:v>
                </c:pt>
                <c:pt idx="600">
                  <c:v>82.675389999999993</c:v>
                </c:pt>
                <c:pt idx="601">
                  <c:v>82.644760000000005</c:v>
                </c:pt>
                <c:pt idx="602">
                  <c:v>82.625730000000004</c:v>
                </c:pt>
                <c:pt idx="603">
                  <c:v>82.622129999999999</c:v>
                </c:pt>
                <c:pt idx="604">
                  <c:v>82.606610000000003</c:v>
                </c:pt>
                <c:pt idx="605">
                  <c:v>82.596879999999999</c:v>
                </c:pt>
                <c:pt idx="606">
                  <c:v>82.587249999999997</c:v>
                </c:pt>
                <c:pt idx="607">
                  <c:v>82.570059999999998</c:v>
                </c:pt>
                <c:pt idx="608">
                  <c:v>82.54513</c:v>
                </c:pt>
                <c:pt idx="609">
                  <c:v>82.535700000000006</c:v>
                </c:pt>
                <c:pt idx="610">
                  <c:v>82.508740000000003</c:v>
                </c:pt>
                <c:pt idx="611">
                  <c:v>82.491510000000005</c:v>
                </c:pt>
                <c:pt idx="612">
                  <c:v>82.493530000000007</c:v>
                </c:pt>
                <c:pt idx="613">
                  <c:v>82.47627</c:v>
                </c:pt>
                <c:pt idx="614">
                  <c:v>82.462909999999994</c:v>
                </c:pt>
                <c:pt idx="615">
                  <c:v>82.447429999999997</c:v>
                </c:pt>
                <c:pt idx="616">
                  <c:v>82.422569999999993</c:v>
                </c:pt>
                <c:pt idx="617">
                  <c:v>82.414900000000003</c:v>
                </c:pt>
                <c:pt idx="618">
                  <c:v>82.405270000000002</c:v>
                </c:pt>
                <c:pt idx="619">
                  <c:v>82.376519999999999</c:v>
                </c:pt>
                <c:pt idx="620">
                  <c:v>82.380160000000004</c:v>
                </c:pt>
                <c:pt idx="621">
                  <c:v>82.341920000000002</c:v>
                </c:pt>
                <c:pt idx="622">
                  <c:v>82.326639999999998</c:v>
                </c:pt>
                <c:pt idx="623">
                  <c:v>82.307509999999994</c:v>
                </c:pt>
                <c:pt idx="624">
                  <c:v>82.3018</c:v>
                </c:pt>
                <c:pt idx="625">
                  <c:v>82.290239999999997</c:v>
                </c:pt>
                <c:pt idx="626">
                  <c:v>82.263440000000003</c:v>
                </c:pt>
                <c:pt idx="627">
                  <c:v>82.255880000000005</c:v>
                </c:pt>
                <c:pt idx="628">
                  <c:v>82.240309999999994</c:v>
                </c:pt>
                <c:pt idx="629">
                  <c:v>82.225049999999996</c:v>
                </c:pt>
                <c:pt idx="630">
                  <c:v>82.207970000000003</c:v>
                </c:pt>
                <c:pt idx="631">
                  <c:v>82.209689999999995</c:v>
                </c:pt>
                <c:pt idx="632">
                  <c:v>82.175129999999996</c:v>
                </c:pt>
                <c:pt idx="633">
                  <c:v>82.171409999999995</c:v>
                </c:pt>
                <c:pt idx="634">
                  <c:v>82.155889999999999</c:v>
                </c:pt>
                <c:pt idx="635">
                  <c:v>82.138739999999999</c:v>
                </c:pt>
                <c:pt idx="636">
                  <c:v>82.132900000000006</c:v>
                </c:pt>
                <c:pt idx="637">
                  <c:v>82.113950000000003</c:v>
                </c:pt>
                <c:pt idx="638">
                  <c:v>82.098519999999994</c:v>
                </c:pt>
                <c:pt idx="639">
                  <c:v>82.075379999999996</c:v>
                </c:pt>
                <c:pt idx="640">
                  <c:v>82.065929999999994</c:v>
                </c:pt>
                <c:pt idx="641">
                  <c:v>82.035210000000006</c:v>
                </c:pt>
                <c:pt idx="642">
                  <c:v>82.031289999999998</c:v>
                </c:pt>
                <c:pt idx="643">
                  <c:v>82.016019999999997</c:v>
                </c:pt>
                <c:pt idx="644">
                  <c:v>82.013959999999997</c:v>
                </c:pt>
                <c:pt idx="645">
                  <c:v>81.979500000000002</c:v>
                </c:pt>
                <c:pt idx="646">
                  <c:v>81.968029999999999</c:v>
                </c:pt>
                <c:pt idx="647">
                  <c:v>81.962320000000005</c:v>
                </c:pt>
                <c:pt idx="648">
                  <c:v>81.935500000000005</c:v>
                </c:pt>
                <c:pt idx="649">
                  <c:v>81.92953</c:v>
                </c:pt>
                <c:pt idx="650">
                  <c:v>81.918329999999997</c:v>
                </c:pt>
                <c:pt idx="651">
                  <c:v>81.918120000000002</c:v>
                </c:pt>
                <c:pt idx="652">
                  <c:v>81.893190000000004</c:v>
                </c:pt>
                <c:pt idx="653">
                  <c:v>81.879760000000005</c:v>
                </c:pt>
                <c:pt idx="654">
                  <c:v>81.862579999999994</c:v>
                </c:pt>
                <c:pt idx="655">
                  <c:v>81.856880000000004</c:v>
                </c:pt>
                <c:pt idx="656">
                  <c:v>81.837580000000003</c:v>
                </c:pt>
                <c:pt idx="657">
                  <c:v>81.818520000000007</c:v>
                </c:pt>
                <c:pt idx="658">
                  <c:v>81.810820000000007</c:v>
                </c:pt>
                <c:pt idx="659">
                  <c:v>81.789749999999998</c:v>
                </c:pt>
                <c:pt idx="660">
                  <c:v>81.774270000000001</c:v>
                </c:pt>
                <c:pt idx="661">
                  <c:v>81.75506</c:v>
                </c:pt>
                <c:pt idx="662">
                  <c:v>81.745829999999998</c:v>
                </c:pt>
                <c:pt idx="663">
                  <c:v>81.722560000000001</c:v>
                </c:pt>
                <c:pt idx="664">
                  <c:v>81.699529999999996</c:v>
                </c:pt>
                <c:pt idx="665">
                  <c:v>81.697710000000001</c:v>
                </c:pt>
                <c:pt idx="666">
                  <c:v>81.686160000000001</c:v>
                </c:pt>
                <c:pt idx="667">
                  <c:v>81.670829999999995</c:v>
                </c:pt>
                <c:pt idx="668">
                  <c:v>81.661259999999999</c:v>
                </c:pt>
                <c:pt idx="669">
                  <c:v>81.640159999999995</c:v>
                </c:pt>
                <c:pt idx="670">
                  <c:v>81.620900000000006</c:v>
                </c:pt>
                <c:pt idx="671">
                  <c:v>81.609440000000006</c:v>
                </c:pt>
                <c:pt idx="672">
                  <c:v>81.582599999999999</c:v>
                </c:pt>
                <c:pt idx="673">
                  <c:v>81.573139999999995</c:v>
                </c:pt>
                <c:pt idx="674">
                  <c:v>81.557839999999999</c:v>
                </c:pt>
                <c:pt idx="675">
                  <c:v>81.532769999999999</c:v>
                </c:pt>
                <c:pt idx="676">
                  <c:v>81.525090000000006</c:v>
                </c:pt>
                <c:pt idx="677">
                  <c:v>81.511719999999997</c:v>
                </c:pt>
                <c:pt idx="678">
                  <c:v>81.492519999999999</c:v>
                </c:pt>
                <c:pt idx="679">
                  <c:v>81.488690000000005</c:v>
                </c:pt>
                <c:pt idx="680">
                  <c:v>81.46575</c:v>
                </c:pt>
                <c:pt idx="681">
                  <c:v>81.448580000000007</c:v>
                </c:pt>
                <c:pt idx="682">
                  <c:v>81.435119999999998</c:v>
                </c:pt>
                <c:pt idx="683">
                  <c:v>81.419510000000002</c:v>
                </c:pt>
                <c:pt idx="684">
                  <c:v>81.400509999999997</c:v>
                </c:pt>
                <c:pt idx="685">
                  <c:v>81.390870000000007</c:v>
                </c:pt>
                <c:pt idx="686">
                  <c:v>81.379409999999993</c:v>
                </c:pt>
                <c:pt idx="687">
                  <c:v>81.37182</c:v>
                </c:pt>
                <c:pt idx="688">
                  <c:v>81.360240000000005</c:v>
                </c:pt>
                <c:pt idx="689">
                  <c:v>81.356430000000003</c:v>
                </c:pt>
                <c:pt idx="690">
                  <c:v>81.337180000000004</c:v>
                </c:pt>
                <c:pt idx="691">
                  <c:v>81.319919999999996</c:v>
                </c:pt>
                <c:pt idx="692">
                  <c:v>81.306610000000006</c:v>
                </c:pt>
                <c:pt idx="693">
                  <c:v>81.302670000000006</c:v>
                </c:pt>
                <c:pt idx="694">
                  <c:v>81.273799999999994</c:v>
                </c:pt>
                <c:pt idx="695">
                  <c:v>81.272090000000006</c:v>
                </c:pt>
                <c:pt idx="696">
                  <c:v>81.245069999999998</c:v>
                </c:pt>
                <c:pt idx="697">
                  <c:v>81.227890000000002</c:v>
                </c:pt>
                <c:pt idx="698">
                  <c:v>81.222110000000001</c:v>
                </c:pt>
                <c:pt idx="699">
                  <c:v>81.19726</c:v>
                </c:pt>
                <c:pt idx="700">
                  <c:v>81.180000000000007</c:v>
                </c:pt>
                <c:pt idx="701">
                  <c:v>81.168379999999999</c:v>
                </c:pt>
                <c:pt idx="702">
                  <c:v>81.157139999999998</c:v>
                </c:pt>
                <c:pt idx="703">
                  <c:v>81.13785</c:v>
                </c:pt>
                <c:pt idx="704">
                  <c:v>81.122479999999996</c:v>
                </c:pt>
                <c:pt idx="705">
                  <c:v>81.128339999999994</c:v>
                </c:pt>
                <c:pt idx="706">
                  <c:v>81.120540000000005</c:v>
                </c:pt>
                <c:pt idx="707">
                  <c:v>81.101349999999996</c:v>
                </c:pt>
                <c:pt idx="708">
                  <c:v>81.070970000000003</c:v>
                </c:pt>
                <c:pt idx="709">
                  <c:v>81.064920000000001</c:v>
                </c:pt>
                <c:pt idx="710">
                  <c:v>81.034199999999998</c:v>
                </c:pt>
                <c:pt idx="711">
                  <c:v>81.020939999999996</c:v>
                </c:pt>
                <c:pt idx="712">
                  <c:v>81.014840000000007</c:v>
                </c:pt>
                <c:pt idx="713">
                  <c:v>80.990139999999997</c:v>
                </c:pt>
                <c:pt idx="714">
                  <c:v>80.984380000000002</c:v>
                </c:pt>
                <c:pt idx="715">
                  <c:v>80.974930000000001</c:v>
                </c:pt>
                <c:pt idx="716">
                  <c:v>80.967190000000002</c:v>
                </c:pt>
                <c:pt idx="717">
                  <c:v>80.934370000000001</c:v>
                </c:pt>
                <c:pt idx="718">
                  <c:v>80.932630000000003</c:v>
                </c:pt>
                <c:pt idx="719">
                  <c:v>80.911519999999996</c:v>
                </c:pt>
                <c:pt idx="720">
                  <c:v>80.896090000000001</c:v>
                </c:pt>
                <c:pt idx="721">
                  <c:v>80.861770000000007</c:v>
                </c:pt>
                <c:pt idx="722">
                  <c:v>80.861710000000002</c:v>
                </c:pt>
                <c:pt idx="723">
                  <c:v>80.842770000000002</c:v>
                </c:pt>
                <c:pt idx="724">
                  <c:v>80.800250000000005</c:v>
                </c:pt>
                <c:pt idx="725">
                  <c:v>80.815529999999995</c:v>
                </c:pt>
                <c:pt idx="726">
                  <c:v>80.804159999999996</c:v>
                </c:pt>
                <c:pt idx="727">
                  <c:v>80.779309999999995</c:v>
                </c:pt>
                <c:pt idx="728">
                  <c:v>80.765789999999996</c:v>
                </c:pt>
                <c:pt idx="729">
                  <c:v>80.758200000000002</c:v>
                </c:pt>
                <c:pt idx="730">
                  <c:v>80.744770000000003</c:v>
                </c:pt>
                <c:pt idx="731">
                  <c:v>80.72748</c:v>
                </c:pt>
                <c:pt idx="732">
                  <c:v>80.708349999999996</c:v>
                </c:pt>
                <c:pt idx="733">
                  <c:v>80.700659999999999</c:v>
                </c:pt>
                <c:pt idx="734">
                  <c:v>80.685299999999998</c:v>
                </c:pt>
                <c:pt idx="735">
                  <c:v>80.66995</c:v>
                </c:pt>
                <c:pt idx="736">
                  <c:v>80.660430000000005</c:v>
                </c:pt>
                <c:pt idx="737">
                  <c:v>80.644990000000007</c:v>
                </c:pt>
                <c:pt idx="738">
                  <c:v>80.646829999999994</c:v>
                </c:pt>
                <c:pt idx="739">
                  <c:v>80.620220000000003</c:v>
                </c:pt>
                <c:pt idx="740">
                  <c:v>80.604749999999996</c:v>
                </c:pt>
                <c:pt idx="741">
                  <c:v>80.597049999999996</c:v>
                </c:pt>
                <c:pt idx="742">
                  <c:v>80.581919999999997</c:v>
                </c:pt>
                <c:pt idx="743">
                  <c:v>80.574060000000003</c:v>
                </c:pt>
                <c:pt idx="744">
                  <c:v>80.560580000000002</c:v>
                </c:pt>
                <c:pt idx="745">
                  <c:v>80.551060000000007</c:v>
                </c:pt>
                <c:pt idx="746">
                  <c:v>80.529920000000004</c:v>
                </c:pt>
                <c:pt idx="747">
                  <c:v>80.512789999999995</c:v>
                </c:pt>
                <c:pt idx="748">
                  <c:v>80.493489999999994</c:v>
                </c:pt>
                <c:pt idx="749">
                  <c:v>80.485919999999993</c:v>
                </c:pt>
                <c:pt idx="750">
                  <c:v>80.466809999999995</c:v>
                </c:pt>
                <c:pt idx="751">
                  <c:v>80.434150000000002</c:v>
                </c:pt>
                <c:pt idx="752">
                  <c:v>80.430260000000004</c:v>
                </c:pt>
                <c:pt idx="753">
                  <c:v>80.430350000000004</c:v>
                </c:pt>
                <c:pt idx="754">
                  <c:v>80.405410000000003</c:v>
                </c:pt>
                <c:pt idx="755">
                  <c:v>80.395859999999999</c:v>
                </c:pt>
                <c:pt idx="756">
                  <c:v>80.399789999999996</c:v>
                </c:pt>
                <c:pt idx="757">
                  <c:v>80.380439999999993</c:v>
                </c:pt>
                <c:pt idx="758">
                  <c:v>80.346029999999999</c:v>
                </c:pt>
                <c:pt idx="759">
                  <c:v>80.332620000000006</c:v>
                </c:pt>
                <c:pt idx="760">
                  <c:v>80.309380000000004</c:v>
                </c:pt>
                <c:pt idx="761">
                  <c:v>80.288380000000004</c:v>
                </c:pt>
                <c:pt idx="762">
                  <c:v>80.282480000000007</c:v>
                </c:pt>
                <c:pt idx="763">
                  <c:v>80.271029999999996</c:v>
                </c:pt>
                <c:pt idx="764">
                  <c:v>80.259450000000001</c:v>
                </c:pt>
                <c:pt idx="765">
                  <c:v>80.244029999999995</c:v>
                </c:pt>
                <c:pt idx="766">
                  <c:v>80.238699999999994</c:v>
                </c:pt>
                <c:pt idx="767">
                  <c:v>80.217349999999996</c:v>
                </c:pt>
                <c:pt idx="768">
                  <c:v>80.203940000000003</c:v>
                </c:pt>
                <c:pt idx="769">
                  <c:v>80.188680000000005</c:v>
                </c:pt>
                <c:pt idx="770">
                  <c:v>80.173320000000004</c:v>
                </c:pt>
                <c:pt idx="771">
                  <c:v>80.161810000000003</c:v>
                </c:pt>
                <c:pt idx="772">
                  <c:v>80.150310000000005</c:v>
                </c:pt>
                <c:pt idx="773">
                  <c:v>80.135009999999994</c:v>
                </c:pt>
                <c:pt idx="774">
                  <c:v>80.131240000000005</c:v>
                </c:pt>
                <c:pt idx="775">
                  <c:v>80.117800000000003</c:v>
                </c:pt>
                <c:pt idx="776">
                  <c:v>80.100570000000005</c:v>
                </c:pt>
                <c:pt idx="777">
                  <c:v>80.09487</c:v>
                </c:pt>
                <c:pt idx="778">
                  <c:v>80.083150000000003</c:v>
                </c:pt>
                <c:pt idx="779">
                  <c:v>80.058210000000003</c:v>
                </c:pt>
                <c:pt idx="780">
                  <c:v>80.043049999999994</c:v>
                </c:pt>
                <c:pt idx="781">
                  <c:v>80.021879999999996</c:v>
                </c:pt>
                <c:pt idx="782">
                  <c:v>80.012420000000006</c:v>
                </c:pt>
                <c:pt idx="783">
                  <c:v>79.993070000000003</c:v>
                </c:pt>
                <c:pt idx="784">
                  <c:v>80.000900000000001</c:v>
                </c:pt>
                <c:pt idx="785">
                  <c:v>79.985429999999994</c:v>
                </c:pt>
                <c:pt idx="786">
                  <c:v>79.979709999999997</c:v>
                </c:pt>
                <c:pt idx="787">
                  <c:v>79.960440000000006</c:v>
                </c:pt>
                <c:pt idx="788">
                  <c:v>79.954930000000004</c:v>
                </c:pt>
                <c:pt idx="789">
                  <c:v>79.931669999999997</c:v>
                </c:pt>
                <c:pt idx="790">
                  <c:v>79.920029999999997</c:v>
                </c:pt>
                <c:pt idx="791">
                  <c:v>79.893299999999996</c:v>
                </c:pt>
                <c:pt idx="792">
                  <c:v>79.87433</c:v>
                </c:pt>
                <c:pt idx="793">
                  <c:v>79.866590000000002</c:v>
                </c:pt>
                <c:pt idx="794">
                  <c:v>79.864660000000001</c:v>
                </c:pt>
                <c:pt idx="795">
                  <c:v>79.845370000000003</c:v>
                </c:pt>
                <c:pt idx="796">
                  <c:v>79.849320000000006</c:v>
                </c:pt>
                <c:pt idx="797">
                  <c:v>79.822460000000007</c:v>
                </c:pt>
                <c:pt idx="798">
                  <c:v>79.818539999999999</c:v>
                </c:pt>
                <c:pt idx="799">
                  <c:v>79.795659999999998</c:v>
                </c:pt>
                <c:pt idx="800">
                  <c:v>79.782219999999995</c:v>
                </c:pt>
                <c:pt idx="801">
                  <c:v>79.776409999999998</c:v>
                </c:pt>
                <c:pt idx="802">
                  <c:v>79.762919999999994</c:v>
                </c:pt>
                <c:pt idx="803">
                  <c:v>79.747829999999993</c:v>
                </c:pt>
                <c:pt idx="804">
                  <c:v>79.726619999999997</c:v>
                </c:pt>
                <c:pt idx="805">
                  <c:v>79.703440000000001</c:v>
                </c:pt>
                <c:pt idx="806">
                  <c:v>79.703469999999996</c:v>
                </c:pt>
                <c:pt idx="807">
                  <c:v>79.686300000000003</c:v>
                </c:pt>
                <c:pt idx="808">
                  <c:v>79.680629999999994</c:v>
                </c:pt>
                <c:pt idx="809">
                  <c:v>79.674790000000002</c:v>
                </c:pt>
                <c:pt idx="810">
                  <c:v>79.665099999999995</c:v>
                </c:pt>
                <c:pt idx="811">
                  <c:v>79.671009999999995</c:v>
                </c:pt>
                <c:pt idx="812">
                  <c:v>79.638369999999995</c:v>
                </c:pt>
                <c:pt idx="813">
                  <c:v>79.632689999999997</c:v>
                </c:pt>
                <c:pt idx="814">
                  <c:v>79.605699999999999</c:v>
                </c:pt>
                <c:pt idx="815">
                  <c:v>79.622950000000003</c:v>
                </c:pt>
                <c:pt idx="816">
                  <c:v>79.596369999999993</c:v>
                </c:pt>
                <c:pt idx="817">
                  <c:v>79.577010000000001</c:v>
                </c:pt>
                <c:pt idx="818">
                  <c:v>79.567480000000003</c:v>
                </c:pt>
                <c:pt idx="819">
                  <c:v>79.5732</c:v>
                </c:pt>
                <c:pt idx="820">
                  <c:v>79.550089999999997</c:v>
                </c:pt>
                <c:pt idx="821">
                  <c:v>79.538650000000004</c:v>
                </c:pt>
                <c:pt idx="822">
                  <c:v>79.52731</c:v>
                </c:pt>
                <c:pt idx="823">
                  <c:v>79.536630000000002</c:v>
                </c:pt>
                <c:pt idx="824">
                  <c:v>79.500389999999996</c:v>
                </c:pt>
                <c:pt idx="825">
                  <c:v>79.483170000000001</c:v>
                </c:pt>
                <c:pt idx="826">
                  <c:v>79.500510000000006</c:v>
                </c:pt>
                <c:pt idx="827">
                  <c:v>79.463920000000002</c:v>
                </c:pt>
                <c:pt idx="828">
                  <c:v>79.456280000000007</c:v>
                </c:pt>
                <c:pt idx="829">
                  <c:v>79.435190000000006</c:v>
                </c:pt>
                <c:pt idx="830">
                  <c:v>79.433189999999996</c:v>
                </c:pt>
                <c:pt idx="831">
                  <c:v>79.417770000000004</c:v>
                </c:pt>
                <c:pt idx="832">
                  <c:v>79.385220000000004</c:v>
                </c:pt>
                <c:pt idx="833">
                  <c:v>79.383369999999999</c:v>
                </c:pt>
                <c:pt idx="834">
                  <c:v>79.375699999999995</c:v>
                </c:pt>
                <c:pt idx="835">
                  <c:v>79.348889999999997</c:v>
                </c:pt>
                <c:pt idx="836">
                  <c:v>79.352500000000006</c:v>
                </c:pt>
                <c:pt idx="837">
                  <c:v>79.339110000000005</c:v>
                </c:pt>
                <c:pt idx="838">
                  <c:v>79.327680000000001</c:v>
                </c:pt>
                <c:pt idx="839">
                  <c:v>79.319900000000004</c:v>
                </c:pt>
                <c:pt idx="840">
                  <c:v>79.316069999999996</c:v>
                </c:pt>
                <c:pt idx="841">
                  <c:v>79.291210000000007</c:v>
                </c:pt>
                <c:pt idx="842">
                  <c:v>79.26643</c:v>
                </c:pt>
                <c:pt idx="843">
                  <c:v>79.266310000000004</c:v>
                </c:pt>
                <c:pt idx="844">
                  <c:v>79.245220000000003</c:v>
                </c:pt>
                <c:pt idx="845">
                  <c:v>79.235780000000005</c:v>
                </c:pt>
                <c:pt idx="846">
                  <c:v>79.222219999999993</c:v>
                </c:pt>
                <c:pt idx="847">
                  <c:v>79.222329999999999</c:v>
                </c:pt>
                <c:pt idx="848">
                  <c:v>79.210849999999994</c:v>
                </c:pt>
                <c:pt idx="849">
                  <c:v>79.210729999999998</c:v>
                </c:pt>
                <c:pt idx="850">
                  <c:v>79.178120000000007</c:v>
                </c:pt>
                <c:pt idx="851">
                  <c:v>79.191779999999994</c:v>
                </c:pt>
                <c:pt idx="852">
                  <c:v>79.176280000000006</c:v>
                </c:pt>
                <c:pt idx="853">
                  <c:v>79.149429999999995</c:v>
                </c:pt>
                <c:pt idx="854">
                  <c:v>79.153300000000002</c:v>
                </c:pt>
                <c:pt idx="855">
                  <c:v>79.132159999999999</c:v>
                </c:pt>
                <c:pt idx="856">
                  <c:v>79.133989999999997</c:v>
                </c:pt>
                <c:pt idx="857">
                  <c:v>79.111019999999996</c:v>
                </c:pt>
                <c:pt idx="858">
                  <c:v>79.10351</c:v>
                </c:pt>
                <c:pt idx="859">
                  <c:v>79.08417</c:v>
                </c:pt>
                <c:pt idx="860">
                  <c:v>79.097560000000001</c:v>
                </c:pt>
                <c:pt idx="861">
                  <c:v>79.069040000000001</c:v>
                </c:pt>
                <c:pt idx="862">
                  <c:v>79.059200000000004</c:v>
                </c:pt>
                <c:pt idx="863">
                  <c:v>79.043819999999997</c:v>
                </c:pt>
                <c:pt idx="864">
                  <c:v>79.047700000000006</c:v>
                </c:pt>
                <c:pt idx="865">
                  <c:v>79.018979999999999</c:v>
                </c:pt>
                <c:pt idx="866">
                  <c:v>79.013379999999998</c:v>
                </c:pt>
                <c:pt idx="867">
                  <c:v>79.011219999999994</c:v>
                </c:pt>
                <c:pt idx="868">
                  <c:v>78.986379999999997</c:v>
                </c:pt>
                <c:pt idx="869">
                  <c:v>78.961560000000006</c:v>
                </c:pt>
                <c:pt idx="870">
                  <c:v>78.963430000000002</c:v>
                </c:pt>
                <c:pt idx="871">
                  <c:v>78.948089999999993</c:v>
                </c:pt>
                <c:pt idx="872">
                  <c:v>78.930710000000005</c:v>
                </c:pt>
                <c:pt idx="873">
                  <c:v>78.928849999999997</c:v>
                </c:pt>
                <c:pt idx="874">
                  <c:v>78.919300000000007</c:v>
                </c:pt>
                <c:pt idx="875">
                  <c:v>78.930859999999996</c:v>
                </c:pt>
                <c:pt idx="876">
                  <c:v>78.909869999999998</c:v>
                </c:pt>
                <c:pt idx="877">
                  <c:v>78.904020000000003</c:v>
                </c:pt>
                <c:pt idx="878">
                  <c:v>78.880889999999994</c:v>
                </c:pt>
                <c:pt idx="879">
                  <c:v>78.877139999999997</c:v>
                </c:pt>
                <c:pt idx="880">
                  <c:v>78.858009999999993</c:v>
                </c:pt>
                <c:pt idx="881">
                  <c:v>78.861990000000006</c:v>
                </c:pt>
                <c:pt idx="882">
                  <c:v>78.84836</c:v>
                </c:pt>
                <c:pt idx="883">
                  <c:v>78.831149999999994</c:v>
                </c:pt>
                <c:pt idx="884">
                  <c:v>78.811989999999994</c:v>
                </c:pt>
                <c:pt idx="885">
                  <c:v>78.802480000000003</c:v>
                </c:pt>
                <c:pt idx="886">
                  <c:v>78.786810000000003</c:v>
                </c:pt>
                <c:pt idx="887">
                  <c:v>78.758420000000001</c:v>
                </c:pt>
                <c:pt idx="888">
                  <c:v>78.74494</c:v>
                </c:pt>
                <c:pt idx="889">
                  <c:v>78.744929999999997</c:v>
                </c:pt>
                <c:pt idx="890">
                  <c:v>78.742850000000004</c:v>
                </c:pt>
                <c:pt idx="891">
                  <c:v>78.740880000000004</c:v>
                </c:pt>
                <c:pt idx="892">
                  <c:v>78.729590000000002</c:v>
                </c:pt>
                <c:pt idx="893">
                  <c:v>78.704639999999998</c:v>
                </c:pt>
                <c:pt idx="894">
                  <c:v>78.698710000000005</c:v>
                </c:pt>
                <c:pt idx="895">
                  <c:v>78.691310000000001</c:v>
                </c:pt>
                <c:pt idx="896">
                  <c:v>78.687269999999998</c:v>
                </c:pt>
                <c:pt idx="897">
                  <c:v>78.669970000000006</c:v>
                </c:pt>
                <c:pt idx="898">
                  <c:v>78.652670000000001</c:v>
                </c:pt>
                <c:pt idx="899">
                  <c:v>78.652919999999995</c:v>
                </c:pt>
                <c:pt idx="900">
                  <c:v>78.623840000000001</c:v>
                </c:pt>
                <c:pt idx="901">
                  <c:v>78.629739999999998</c:v>
                </c:pt>
                <c:pt idx="902">
                  <c:v>78.604749999999996</c:v>
                </c:pt>
                <c:pt idx="903">
                  <c:v>78.589420000000004</c:v>
                </c:pt>
                <c:pt idx="904">
                  <c:v>78.58954</c:v>
                </c:pt>
                <c:pt idx="905">
                  <c:v>78.587429999999998</c:v>
                </c:pt>
                <c:pt idx="906">
                  <c:v>78.575990000000004</c:v>
                </c:pt>
                <c:pt idx="907">
                  <c:v>78.558890000000005</c:v>
                </c:pt>
                <c:pt idx="908">
                  <c:v>78.547349999999994</c:v>
                </c:pt>
                <c:pt idx="909">
                  <c:v>78.547319999999999</c:v>
                </c:pt>
                <c:pt idx="910">
                  <c:v>78.530270000000002</c:v>
                </c:pt>
                <c:pt idx="911">
                  <c:v>78.50694</c:v>
                </c:pt>
                <c:pt idx="912">
                  <c:v>78.51482</c:v>
                </c:pt>
                <c:pt idx="913">
                  <c:v>78.493510000000001</c:v>
                </c:pt>
                <c:pt idx="914">
                  <c:v>78.501239999999996</c:v>
                </c:pt>
                <c:pt idx="915">
                  <c:v>78.489779999999996</c:v>
                </c:pt>
                <c:pt idx="916">
                  <c:v>78.470619999999997</c:v>
                </c:pt>
                <c:pt idx="917">
                  <c:v>78.453590000000005</c:v>
                </c:pt>
                <c:pt idx="918">
                  <c:v>78.460980000000006</c:v>
                </c:pt>
                <c:pt idx="919">
                  <c:v>78.430350000000004</c:v>
                </c:pt>
                <c:pt idx="920">
                  <c:v>78.432100000000005</c:v>
                </c:pt>
                <c:pt idx="921">
                  <c:v>78.405529999999999</c:v>
                </c:pt>
                <c:pt idx="922">
                  <c:v>78.403559999999999</c:v>
                </c:pt>
                <c:pt idx="923">
                  <c:v>78.390119999999996</c:v>
                </c:pt>
                <c:pt idx="924">
                  <c:v>78.395769999999999</c:v>
                </c:pt>
                <c:pt idx="925">
                  <c:v>78.390249999999995</c:v>
                </c:pt>
                <c:pt idx="926">
                  <c:v>78.378489999999999</c:v>
                </c:pt>
                <c:pt idx="927">
                  <c:v>78.365229999999997</c:v>
                </c:pt>
                <c:pt idx="928">
                  <c:v>78.357399999999998</c:v>
                </c:pt>
                <c:pt idx="929">
                  <c:v>78.351699999999994</c:v>
                </c:pt>
                <c:pt idx="930">
                  <c:v>78.338099999999997</c:v>
                </c:pt>
                <c:pt idx="931">
                  <c:v>78.322810000000004</c:v>
                </c:pt>
                <c:pt idx="932">
                  <c:v>78.3095</c:v>
                </c:pt>
                <c:pt idx="933">
                  <c:v>78.298119999999997</c:v>
                </c:pt>
                <c:pt idx="934">
                  <c:v>78.282780000000002</c:v>
                </c:pt>
                <c:pt idx="935">
                  <c:v>78.261499999999998</c:v>
                </c:pt>
                <c:pt idx="936">
                  <c:v>78.269490000000005</c:v>
                </c:pt>
                <c:pt idx="937">
                  <c:v>78.24812</c:v>
                </c:pt>
                <c:pt idx="938">
                  <c:v>78.254159999999999</c:v>
                </c:pt>
                <c:pt idx="939">
                  <c:v>78.228899999999996</c:v>
                </c:pt>
                <c:pt idx="940">
                  <c:v>78.225099999999998</c:v>
                </c:pt>
                <c:pt idx="941">
                  <c:v>78.196309999999997</c:v>
                </c:pt>
                <c:pt idx="942">
                  <c:v>78.175229999999999</c:v>
                </c:pt>
                <c:pt idx="943">
                  <c:v>78.194460000000007</c:v>
                </c:pt>
                <c:pt idx="944">
                  <c:v>78.205789999999993</c:v>
                </c:pt>
                <c:pt idx="945">
                  <c:v>78.169600000000003</c:v>
                </c:pt>
                <c:pt idx="946">
                  <c:v>78.154250000000005</c:v>
                </c:pt>
                <c:pt idx="947">
                  <c:v>78.159970000000001</c:v>
                </c:pt>
                <c:pt idx="948">
                  <c:v>78.159970000000001</c:v>
                </c:pt>
                <c:pt idx="949">
                  <c:v>78.158019999999993</c:v>
                </c:pt>
                <c:pt idx="950">
                  <c:v>78.125360000000001</c:v>
                </c:pt>
                <c:pt idx="951">
                  <c:v>78.138890000000004</c:v>
                </c:pt>
                <c:pt idx="952">
                  <c:v>78.140910000000005</c:v>
                </c:pt>
                <c:pt idx="953">
                  <c:v>78.090980000000002</c:v>
                </c:pt>
                <c:pt idx="954">
                  <c:v>78.077600000000004</c:v>
                </c:pt>
                <c:pt idx="955">
                  <c:v>78.102490000000003</c:v>
                </c:pt>
                <c:pt idx="956">
                  <c:v>78.073710000000005</c:v>
                </c:pt>
                <c:pt idx="957">
                  <c:v>78.066159999999996</c:v>
                </c:pt>
                <c:pt idx="958">
                  <c:v>78.046800000000005</c:v>
                </c:pt>
                <c:pt idx="959">
                  <c:v>78.044889999999995</c:v>
                </c:pt>
                <c:pt idx="960">
                  <c:v>78.039270000000002</c:v>
                </c:pt>
                <c:pt idx="961">
                  <c:v>78.018299999999996</c:v>
                </c:pt>
                <c:pt idx="962">
                  <c:v>78.006590000000003</c:v>
                </c:pt>
                <c:pt idx="963">
                  <c:v>78.014089999999996</c:v>
                </c:pt>
                <c:pt idx="964">
                  <c:v>78.000770000000003</c:v>
                </c:pt>
                <c:pt idx="965">
                  <c:v>77.983620000000002</c:v>
                </c:pt>
                <c:pt idx="966">
                  <c:v>77.976079999999996</c:v>
                </c:pt>
                <c:pt idx="967">
                  <c:v>77.968199999999996</c:v>
                </c:pt>
                <c:pt idx="968">
                  <c:v>77.949169999999995</c:v>
                </c:pt>
                <c:pt idx="969">
                  <c:v>77.920249999999996</c:v>
                </c:pt>
                <c:pt idx="970">
                  <c:v>77.926069999999996</c:v>
                </c:pt>
                <c:pt idx="971">
                  <c:v>77.901060000000001</c:v>
                </c:pt>
                <c:pt idx="972">
                  <c:v>77.902950000000004</c:v>
                </c:pt>
                <c:pt idx="973">
                  <c:v>77.905060000000006</c:v>
                </c:pt>
                <c:pt idx="974">
                  <c:v>77.889690000000002</c:v>
                </c:pt>
                <c:pt idx="975">
                  <c:v>77.876090000000005</c:v>
                </c:pt>
                <c:pt idx="976">
                  <c:v>77.880080000000007</c:v>
                </c:pt>
                <c:pt idx="977">
                  <c:v>77.853070000000002</c:v>
                </c:pt>
                <c:pt idx="978">
                  <c:v>77.841759999999994</c:v>
                </c:pt>
                <c:pt idx="979">
                  <c:v>77.839690000000004</c:v>
                </c:pt>
                <c:pt idx="980">
                  <c:v>77.83587</c:v>
                </c:pt>
                <c:pt idx="981">
                  <c:v>77.811049999999994</c:v>
                </c:pt>
                <c:pt idx="982">
                  <c:v>77.811000000000007</c:v>
                </c:pt>
                <c:pt idx="983">
                  <c:v>77.799570000000003</c:v>
                </c:pt>
                <c:pt idx="984">
                  <c:v>77.788060000000002</c:v>
                </c:pt>
                <c:pt idx="985">
                  <c:v>77.780389999999997</c:v>
                </c:pt>
                <c:pt idx="986">
                  <c:v>77.768730000000005</c:v>
                </c:pt>
                <c:pt idx="987">
                  <c:v>77.741919999999993</c:v>
                </c:pt>
                <c:pt idx="988">
                  <c:v>77.74776</c:v>
                </c:pt>
                <c:pt idx="989">
                  <c:v>77.736159999999998</c:v>
                </c:pt>
                <c:pt idx="990">
                  <c:v>77.730440000000002</c:v>
                </c:pt>
                <c:pt idx="991">
                  <c:v>77.719070000000002</c:v>
                </c:pt>
                <c:pt idx="992">
                  <c:v>77.723020000000005</c:v>
                </c:pt>
                <c:pt idx="993">
                  <c:v>77.707419999999999</c:v>
                </c:pt>
                <c:pt idx="994">
                  <c:v>77.707490000000007</c:v>
                </c:pt>
                <c:pt idx="995">
                  <c:v>77.686359999999993</c:v>
                </c:pt>
                <c:pt idx="996">
                  <c:v>77.695930000000004</c:v>
                </c:pt>
                <c:pt idx="997">
                  <c:v>77.670969999999997</c:v>
                </c:pt>
                <c:pt idx="998">
                  <c:v>77.651719999999997</c:v>
                </c:pt>
                <c:pt idx="999">
                  <c:v>77.653679999999994</c:v>
                </c:pt>
                <c:pt idx="1000">
                  <c:v>77.634450000000001</c:v>
                </c:pt>
                <c:pt idx="1001">
                  <c:v>77.630570000000006</c:v>
                </c:pt>
                <c:pt idx="1002">
                  <c:v>77.627129999999994</c:v>
                </c:pt>
                <c:pt idx="1003">
                  <c:v>77.623050000000006</c:v>
                </c:pt>
                <c:pt idx="1004">
                  <c:v>77.611720000000005</c:v>
                </c:pt>
                <c:pt idx="1005">
                  <c:v>77.596239999999995</c:v>
                </c:pt>
                <c:pt idx="1006">
                  <c:v>77.599869999999996</c:v>
                </c:pt>
                <c:pt idx="1007">
                  <c:v>77.569339999999997</c:v>
                </c:pt>
                <c:pt idx="1008">
                  <c:v>77.567390000000003</c:v>
                </c:pt>
                <c:pt idx="1009">
                  <c:v>77.567509999999999</c:v>
                </c:pt>
                <c:pt idx="1010">
                  <c:v>77.557950000000005</c:v>
                </c:pt>
                <c:pt idx="1011">
                  <c:v>77.533090000000001</c:v>
                </c:pt>
                <c:pt idx="1012">
                  <c:v>77.527100000000004</c:v>
                </c:pt>
                <c:pt idx="1013">
                  <c:v>77.529340000000005</c:v>
                </c:pt>
                <c:pt idx="1014">
                  <c:v>77.519589999999994</c:v>
                </c:pt>
                <c:pt idx="1015">
                  <c:v>77.506140000000002</c:v>
                </c:pt>
                <c:pt idx="1016">
                  <c:v>77.502309999999994</c:v>
                </c:pt>
                <c:pt idx="1017">
                  <c:v>77.489000000000004</c:v>
                </c:pt>
                <c:pt idx="1018">
                  <c:v>77.486980000000003</c:v>
                </c:pt>
                <c:pt idx="1019">
                  <c:v>77.477310000000003</c:v>
                </c:pt>
                <c:pt idx="1020">
                  <c:v>77.465789999999998</c:v>
                </c:pt>
                <c:pt idx="1021">
                  <c:v>77.458299999999994</c:v>
                </c:pt>
                <c:pt idx="1022">
                  <c:v>77.452370000000002</c:v>
                </c:pt>
                <c:pt idx="1023">
                  <c:v>77.431179999999998</c:v>
                </c:pt>
                <c:pt idx="1024">
                  <c:v>77.429479999999998</c:v>
                </c:pt>
                <c:pt idx="1025">
                  <c:v>77.417950000000005</c:v>
                </c:pt>
                <c:pt idx="1026">
                  <c:v>77.419899999999998</c:v>
                </c:pt>
                <c:pt idx="1027">
                  <c:v>77.406379999999999</c:v>
                </c:pt>
                <c:pt idx="1028">
                  <c:v>77.408280000000005</c:v>
                </c:pt>
                <c:pt idx="1029">
                  <c:v>77.395020000000002</c:v>
                </c:pt>
                <c:pt idx="1030">
                  <c:v>77.372159999999994</c:v>
                </c:pt>
                <c:pt idx="1031">
                  <c:v>77.379509999999996</c:v>
                </c:pt>
                <c:pt idx="1032">
                  <c:v>77.370009999999994</c:v>
                </c:pt>
                <c:pt idx="1033">
                  <c:v>77.362219999999994</c:v>
                </c:pt>
                <c:pt idx="1034">
                  <c:v>77.350899999999996</c:v>
                </c:pt>
                <c:pt idx="1035">
                  <c:v>77.337410000000006</c:v>
                </c:pt>
                <c:pt idx="1036">
                  <c:v>77.337400000000002</c:v>
                </c:pt>
                <c:pt idx="1037">
                  <c:v>77.316190000000006</c:v>
                </c:pt>
                <c:pt idx="1038">
                  <c:v>77.30677</c:v>
                </c:pt>
                <c:pt idx="1039">
                  <c:v>77.304879999999997</c:v>
                </c:pt>
                <c:pt idx="1040">
                  <c:v>77.283850000000001</c:v>
                </c:pt>
                <c:pt idx="1041">
                  <c:v>77.281720000000007</c:v>
                </c:pt>
                <c:pt idx="1042">
                  <c:v>77.279960000000003</c:v>
                </c:pt>
                <c:pt idx="1043">
                  <c:v>77.264679999999998</c:v>
                </c:pt>
                <c:pt idx="1044">
                  <c:v>77.276030000000006</c:v>
                </c:pt>
                <c:pt idx="1045">
                  <c:v>77.243610000000004</c:v>
                </c:pt>
                <c:pt idx="1046">
                  <c:v>77.258719999999997</c:v>
                </c:pt>
                <c:pt idx="1047">
                  <c:v>77.235699999999994</c:v>
                </c:pt>
                <c:pt idx="1048">
                  <c:v>77.222440000000006</c:v>
                </c:pt>
                <c:pt idx="1049">
                  <c:v>77.224100000000007</c:v>
                </c:pt>
                <c:pt idx="1050">
                  <c:v>77.201210000000003</c:v>
                </c:pt>
                <c:pt idx="1051">
                  <c:v>77.21105</c:v>
                </c:pt>
                <c:pt idx="1052">
                  <c:v>77.205029999999994</c:v>
                </c:pt>
                <c:pt idx="1053">
                  <c:v>77.187939999999998</c:v>
                </c:pt>
                <c:pt idx="1054">
                  <c:v>77.158959999999993</c:v>
                </c:pt>
                <c:pt idx="1055">
                  <c:v>77.187719999999999</c:v>
                </c:pt>
                <c:pt idx="1056">
                  <c:v>77.149540000000002</c:v>
                </c:pt>
                <c:pt idx="1057">
                  <c:v>77.141760000000005</c:v>
                </c:pt>
                <c:pt idx="1058">
                  <c:v>77.137990000000002</c:v>
                </c:pt>
                <c:pt idx="1059">
                  <c:v>77.126509999999996</c:v>
                </c:pt>
                <c:pt idx="1060">
                  <c:v>77.114980000000003</c:v>
                </c:pt>
                <c:pt idx="1061">
                  <c:v>77.095780000000005</c:v>
                </c:pt>
                <c:pt idx="1062">
                  <c:v>77.092140000000001</c:v>
                </c:pt>
                <c:pt idx="1063">
                  <c:v>77.074579999999997</c:v>
                </c:pt>
                <c:pt idx="1064">
                  <c:v>77.074730000000002</c:v>
                </c:pt>
                <c:pt idx="1065">
                  <c:v>77.065119999999993</c:v>
                </c:pt>
                <c:pt idx="1066">
                  <c:v>77.070679999999996</c:v>
                </c:pt>
                <c:pt idx="1067">
                  <c:v>77.052049999999994</c:v>
                </c:pt>
                <c:pt idx="1068">
                  <c:v>77.063100000000006</c:v>
                </c:pt>
                <c:pt idx="1069">
                  <c:v>77.036479999999997</c:v>
                </c:pt>
                <c:pt idx="1070">
                  <c:v>77.026539999999997</c:v>
                </c:pt>
                <c:pt idx="1071">
                  <c:v>77.021060000000006</c:v>
                </c:pt>
                <c:pt idx="1072">
                  <c:v>77.009469999999993</c:v>
                </c:pt>
                <c:pt idx="1073">
                  <c:v>76.992270000000005</c:v>
                </c:pt>
                <c:pt idx="1074">
                  <c:v>76.997950000000003</c:v>
                </c:pt>
                <c:pt idx="1075">
                  <c:v>76.988630000000001</c:v>
                </c:pt>
                <c:pt idx="1076">
                  <c:v>76.984660000000005</c:v>
                </c:pt>
                <c:pt idx="1077">
                  <c:v>76.967479999999995</c:v>
                </c:pt>
                <c:pt idx="1078">
                  <c:v>76.948160000000001</c:v>
                </c:pt>
                <c:pt idx="1079">
                  <c:v>76.955730000000003</c:v>
                </c:pt>
                <c:pt idx="1080">
                  <c:v>76.938370000000006</c:v>
                </c:pt>
                <c:pt idx="1081">
                  <c:v>76.925079999999994</c:v>
                </c:pt>
                <c:pt idx="1082">
                  <c:v>76.931049999999999</c:v>
                </c:pt>
                <c:pt idx="1083">
                  <c:v>76.930869999999999</c:v>
                </c:pt>
                <c:pt idx="1084">
                  <c:v>76.928880000000007</c:v>
                </c:pt>
                <c:pt idx="1085">
                  <c:v>76.93074</c:v>
                </c:pt>
                <c:pt idx="1086">
                  <c:v>76.904160000000005</c:v>
                </c:pt>
                <c:pt idx="1087">
                  <c:v>76.892589999999998</c:v>
                </c:pt>
                <c:pt idx="1088">
                  <c:v>76.89058</c:v>
                </c:pt>
                <c:pt idx="1089">
                  <c:v>76.886880000000005</c:v>
                </c:pt>
                <c:pt idx="1090">
                  <c:v>76.869579999999999</c:v>
                </c:pt>
                <c:pt idx="1091">
                  <c:v>76.873459999999994</c:v>
                </c:pt>
                <c:pt idx="1092">
                  <c:v>76.869579999999999</c:v>
                </c:pt>
                <c:pt idx="1093">
                  <c:v>76.854050000000001</c:v>
                </c:pt>
                <c:pt idx="1094">
                  <c:v>76.834940000000003</c:v>
                </c:pt>
                <c:pt idx="1095">
                  <c:v>76.8446</c:v>
                </c:pt>
                <c:pt idx="1096">
                  <c:v>76.825469999999996</c:v>
                </c:pt>
                <c:pt idx="1097">
                  <c:v>76.812129999999996</c:v>
                </c:pt>
                <c:pt idx="1098">
                  <c:v>76.814040000000006</c:v>
                </c:pt>
                <c:pt idx="1099">
                  <c:v>76.813969999999998</c:v>
                </c:pt>
                <c:pt idx="1100">
                  <c:v>76.787149999999997</c:v>
                </c:pt>
                <c:pt idx="1101">
                  <c:v>76.788970000000006</c:v>
                </c:pt>
                <c:pt idx="1102">
                  <c:v>76.775549999999996</c:v>
                </c:pt>
                <c:pt idx="1103">
                  <c:v>76.783230000000003</c:v>
                </c:pt>
                <c:pt idx="1104">
                  <c:v>76.769729999999996</c:v>
                </c:pt>
                <c:pt idx="1105">
                  <c:v>76.773600000000002</c:v>
                </c:pt>
                <c:pt idx="1106">
                  <c:v>76.752430000000004</c:v>
                </c:pt>
                <c:pt idx="1107">
                  <c:v>76.733440000000002</c:v>
                </c:pt>
                <c:pt idx="1108">
                  <c:v>76.739090000000004</c:v>
                </c:pt>
                <c:pt idx="1109">
                  <c:v>76.731250000000003</c:v>
                </c:pt>
                <c:pt idx="1110">
                  <c:v>76.725629999999995</c:v>
                </c:pt>
                <c:pt idx="1111">
                  <c:v>76.704599999999999</c:v>
                </c:pt>
                <c:pt idx="1112">
                  <c:v>76.716089999999994</c:v>
                </c:pt>
                <c:pt idx="1113">
                  <c:v>76.69511</c:v>
                </c:pt>
                <c:pt idx="1114">
                  <c:v>76.685450000000003</c:v>
                </c:pt>
                <c:pt idx="1115">
                  <c:v>76.694980000000001</c:v>
                </c:pt>
                <c:pt idx="1116">
                  <c:v>76.697010000000006</c:v>
                </c:pt>
                <c:pt idx="1117">
                  <c:v>76.675659999999993</c:v>
                </c:pt>
                <c:pt idx="1118">
                  <c:v>76.666259999999994</c:v>
                </c:pt>
                <c:pt idx="1119">
                  <c:v>76.683509999999998</c:v>
                </c:pt>
                <c:pt idx="1120">
                  <c:v>76.67577</c:v>
                </c:pt>
                <c:pt idx="1121">
                  <c:v>76.67962</c:v>
                </c:pt>
                <c:pt idx="1122">
                  <c:v>76.654820000000001</c:v>
                </c:pt>
                <c:pt idx="1123">
                  <c:v>76.63194</c:v>
                </c:pt>
                <c:pt idx="1124">
                  <c:v>76.626109999999997</c:v>
                </c:pt>
                <c:pt idx="1125">
                  <c:v>76.643230000000003</c:v>
                </c:pt>
                <c:pt idx="1126">
                  <c:v>76.616609999999994</c:v>
                </c:pt>
                <c:pt idx="1127">
                  <c:v>76.622190000000003</c:v>
                </c:pt>
                <c:pt idx="1128">
                  <c:v>76.627949999999998</c:v>
                </c:pt>
                <c:pt idx="1129">
                  <c:v>76.610680000000002</c:v>
                </c:pt>
                <c:pt idx="1130">
                  <c:v>76.610609999999994</c:v>
                </c:pt>
                <c:pt idx="1131">
                  <c:v>76.602850000000004</c:v>
                </c:pt>
                <c:pt idx="1132">
                  <c:v>76.593170000000001</c:v>
                </c:pt>
                <c:pt idx="1133">
                  <c:v>76.58587</c:v>
                </c:pt>
                <c:pt idx="1134">
                  <c:v>76.570490000000007</c:v>
                </c:pt>
                <c:pt idx="1135">
                  <c:v>76.55874</c:v>
                </c:pt>
                <c:pt idx="1136">
                  <c:v>76.553299999999993</c:v>
                </c:pt>
                <c:pt idx="1137">
                  <c:v>76.566400000000002</c:v>
                </c:pt>
                <c:pt idx="1138">
                  <c:v>76.535910000000001</c:v>
                </c:pt>
                <c:pt idx="1139">
                  <c:v>76.537760000000006</c:v>
                </c:pt>
                <c:pt idx="1140">
                  <c:v>76.545500000000004</c:v>
                </c:pt>
                <c:pt idx="1141">
                  <c:v>76.532020000000003</c:v>
                </c:pt>
                <c:pt idx="1142">
                  <c:v>76.518839999999997</c:v>
                </c:pt>
                <c:pt idx="1143">
                  <c:v>76.518550000000005</c:v>
                </c:pt>
                <c:pt idx="1144">
                  <c:v>76.50703</c:v>
                </c:pt>
                <c:pt idx="1145">
                  <c:v>76.509029999999996</c:v>
                </c:pt>
                <c:pt idx="1146">
                  <c:v>76.499600000000001</c:v>
                </c:pt>
                <c:pt idx="1147">
                  <c:v>76.486050000000006</c:v>
                </c:pt>
                <c:pt idx="1148">
                  <c:v>76.490009999999998</c:v>
                </c:pt>
                <c:pt idx="1149">
                  <c:v>76.459149999999994</c:v>
                </c:pt>
                <c:pt idx="1150">
                  <c:v>76.487909999999999</c:v>
                </c:pt>
                <c:pt idx="1151">
                  <c:v>76.445750000000004</c:v>
                </c:pt>
                <c:pt idx="1152">
                  <c:v>76.449640000000002</c:v>
                </c:pt>
                <c:pt idx="1153">
                  <c:v>76.447919999999996</c:v>
                </c:pt>
                <c:pt idx="1154">
                  <c:v>76.417019999999994</c:v>
                </c:pt>
                <c:pt idx="1155">
                  <c:v>76.422569999999993</c:v>
                </c:pt>
                <c:pt idx="1156">
                  <c:v>76.430520000000001</c:v>
                </c:pt>
                <c:pt idx="1157">
                  <c:v>76.407449999999997</c:v>
                </c:pt>
                <c:pt idx="1158">
                  <c:v>76.43047</c:v>
                </c:pt>
                <c:pt idx="1159">
                  <c:v>76.426599999999993</c:v>
                </c:pt>
                <c:pt idx="1160">
                  <c:v>76.409360000000007</c:v>
                </c:pt>
                <c:pt idx="1161">
                  <c:v>76.399609999999996</c:v>
                </c:pt>
                <c:pt idx="1162">
                  <c:v>76.411370000000005</c:v>
                </c:pt>
                <c:pt idx="1163">
                  <c:v>76.382559999999998</c:v>
                </c:pt>
                <c:pt idx="1164">
                  <c:v>76.384450000000001</c:v>
                </c:pt>
                <c:pt idx="1165">
                  <c:v>76.376760000000004</c:v>
                </c:pt>
                <c:pt idx="1166">
                  <c:v>76.365319999999997</c:v>
                </c:pt>
                <c:pt idx="1167">
                  <c:v>76.361350000000002</c:v>
                </c:pt>
                <c:pt idx="1168">
                  <c:v>76.35942</c:v>
                </c:pt>
                <c:pt idx="1169">
                  <c:v>76.330680000000001</c:v>
                </c:pt>
                <c:pt idx="1170">
                  <c:v>76.351900000000001</c:v>
                </c:pt>
                <c:pt idx="1171">
                  <c:v>76.326759999999993</c:v>
                </c:pt>
                <c:pt idx="1172">
                  <c:v>76.323030000000003</c:v>
                </c:pt>
                <c:pt idx="1173">
                  <c:v>76.326819999999998</c:v>
                </c:pt>
                <c:pt idx="1174">
                  <c:v>76.319239999999994</c:v>
                </c:pt>
                <c:pt idx="1175">
                  <c:v>76.319220000000001</c:v>
                </c:pt>
                <c:pt idx="1176">
                  <c:v>76.303870000000003</c:v>
                </c:pt>
                <c:pt idx="1177">
                  <c:v>76.303970000000007</c:v>
                </c:pt>
                <c:pt idx="1178">
                  <c:v>76.286730000000006</c:v>
                </c:pt>
                <c:pt idx="1179">
                  <c:v>76.307630000000003</c:v>
                </c:pt>
                <c:pt idx="1180">
                  <c:v>76.284800000000004</c:v>
                </c:pt>
                <c:pt idx="1181">
                  <c:v>76.275009999999995</c:v>
                </c:pt>
                <c:pt idx="1182">
                  <c:v>76.286569999999998</c:v>
                </c:pt>
                <c:pt idx="1183">
                  <c:v>76.273060000000001</c:v>
                </c:pt>
                <c:pt idx="1184">
                  <c:v>76.261510000000001</c:v>
                </c:pt>
                <c:pt idx="1185">
                  <c:v>76.250259999999997</c:v>
                </c:pt>
                <c:pt idx="1186">
                  <c:v>76.221729999999994</c:v>
                </c:pt>
                <c:pt idx="1187">
                  <c:v>76.248329999999996</c:v>
                </c:pt>
                <c:pt idx="1188">
                  <c:v>76.219480000000004</c:v>
                </c:pt>
                <c:pt idx="1189">
                  <c:v>76.22148</c:v>
                </c:pt>
                <c:pt idx="1190">
                  <c:v>76.200400000000002</c:v>
                </c:pt>
                <c:pt idx="1191">
                  <c:v>76.202259999999995</c:v>
                </c:pt>
                <c:pt idx="1192">
                  <c:v>76.190659999999994</c:v>
                </c:pt>
                <c:pt idx="1193">
                  <c:v>76.194509999999994</c:v>
                </c:pt>
                <c:pt idx="1194">
                  <c:v>76.171729999999997</c:v>
                </c:pt>
                <c:pt idx="1195">
                  <c:v>76.177300000000002</c:v>
                </c:pt>
                <c:pt idx="1196">
                  <c:v>76.152559999999994</c:v>
                </c:pt>
                <c:pt idx="1197">
                  <c:v>76.160079999999994</c:v>
                </c:pt>
                <c:pt idx="1198">
                  <c:v>76.152460000000005</c:v>
                </c:pt>
                <c:pt idx="1199">
                  <c:v>76.144620000000003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C5-8249-BDD8-460897A7A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2634272"/>
        <c:axId val="1473980192"/>
      </c:lineChart>
      <c:catAx>
        <c:axId val="70263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473980192"/>
        <c:crosses val="autoZero"/>
        <c:auto val="1"/>
        <c:lblAlgn val="ctr"/>
        <c:lblOffset val="100"/>
        <c:noMultiLvlLbl val="0"/>
      </c:catAx>
      <c:valAx>
        <c:axId val="1473980192"/>
        <c:scaling>
          <c:orientation val="minMax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?/?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70263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250C</a:t>
            </a:r>
            <a:r>
              <a:rPr lang="en-GB" baseline="0"/>
              <a:t> 20% O2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Odin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'250C (Odin)'!$D$221:$D$1420</c:f>
              <c:numCache>
                <c:formatCode>0.00000</c:formatCode>
                <c:ptCount val="1200"/>
                <c:pt idx="0">
                  <c:v>99.738510000000005</c:v>
                </c:pt>
                <c:pt idx="1">
                  <c:v>99.905969999999996</c:v>
                </c:pt>
                <c:pt idx="2">
                  <c:v>100.12372999999999</c:v>
                </c:pt>
                <c:pt idx="3">
                  <c:v>100.19843</c:v>
                </c:pt>
                <c:pt idx="4">
                  <c:v>100.15464</c:v>
                </c:pt>
                <c:pt idx="5">
                  <c:v>100.26729</c:v>
                </c:pt>
                <c:pt idx="6">
                  <c:v>100.10890999999999</c:v>
                </c:pt>
                <c:pt idx="7">
                  <c:v>100.14182</c:v>
                </c:pt>
                <c:pt idx="8">
                  <c:v>100.25499000000001</c:v>
                </c:pt>
                <c:pt idx="9">
                  <c:v>100.13798</c:v>
                </c:pt>
                <c:pt idx="10">
                  <c:v>100.17148</c:v>
                </c:pt>
                <c:pt idx="11">
                  <c:v>100.15102</c:v>
                </c:pt>
                <c:pt idx="12">
                  <c:v>100.0791</c:v>
                </c:pt>
                <c:pt idx="13">
                  <c:v>100.20910000000001</c:v>
                </c:pt>
                <c:pt idx="14">
                  <c:v>100.06921</c:v>
                </c:pt>
                <c:pt idx="15">
                  <c:v>100.11503</c:v>
                </c:pt>
                <c:pt idx="16">
                  <c:v>100.11665000000001</c:v>
                </c:pt>
                <c:pt idx="17">
                  <c:v>100.03751</c:v>
                </c:pt>
                <c:pt idx="18">
                  <c:v>100.12275</c:v>
                </c:pt>
                <c:pt idx="19">
                  <c:v>100.08249000000001</c:v>
                </c:pt>
                <c:pt idx="20">
                  <c:v>99.991519999999994</c:v>
                </c:pt>
                <c:pt idx="21">
                  <c:v>100.05369</c:v>
                </c:pt>
                <c:pt idx="22">
                  <c:v>100.01926</c:v>
                </c:pt>
                <c:pt idx="23">
                  <c:v>100.05103</c:v>
                </c:pt>
                <c:pt idx="24">
                  <c:v>99.880700000000004</c:v>
                </c:pt>
                <c:pt idx="25">
                  <c:v>99.968389999999999</c:v>
                </c:pt>
                <c:pt idx="26">
                  <c:v>99.920860000000005</c:v>
                </c:pt>
                <c:pt idx="27">
                  <c:v>99.922830000000005</c:v>
                </c:pt>
                <c:pt idx="28">
                  <c:v>99.962909999999994</c:v>
                </c:pt>
                <c:pt idx="29">
                  <c:v>99.896860000000004</c:v>
                </c:pt>
                <c:pt idx="30">
                  <c:v>99.952960000000004</c:v>
                </c:pt>
                <c:pt idx="31">
                  <c:v>99.868920000000003</c:v>
                </c:pt>
                <c:pt idx="32">
                  <c:v>99.868700000000004</c:v>
                </c:pt>
                <c:pt idx="33">
                  <c:v>99.887200000000007</c:v>
                </c:pt>
                <c:pt idx="34">
                  <c:v>99.826070000000001</c:v>
                </c:pt>
                <c:pt idx="35">
                  <c:v>99.835750000000004</c:v>
                </c:pt>
                <c:pt idx="36">
                  <c:v>99.88946</c:v>
                </c:pt>
                <c:pt idx="37">
                  <c:v>99.793459999999996</c:v>
                </c:pt>
                <c:pt idx="38">
                  <c:v>99.818169999999995</c:v>
                </c:pt>
                <c:pt idx="39">
                  <c:v>99.744299999999996</c:v>
                </c:pt>
                <c:pt idx="40">
                  <c:v>99.797269999999997</c:v>
                </c:pt>
                <c:pt idx="41">
                  <c:v>99.643439999999998</c:v>
                </c:pt>
                <c:pt idx="42">
                  <c:v>99.741780000000006</c:v>
                </c:pt>
                <c:pt idx="43">
                  <c:v>99.591480000000004</c:v>
                </c:pt>
                <c:pt idx="44">
                  <c:v>99.690190000000001</c:v>
                </c:pt>
                <c:pt idx="45">
                  <c:v>99.668340000000001</c:v>
                </c:pt>
                <c:pt idx="46">
                  <c:v>99.673649999999995</c:v>
                </c:pt>
                <c:pt idx="47">
                  <c:v>99.654110000000003</c:v>
                </c:pt>
                <c:pt idx="48">
                  <c:v>99.628550000000004</c:v>
                </c:pt>
                <c:pt idx="49">
                  <c:v>99.535420000000002</c:v>
                </c:pt>
                <c:pt idx="50">
                  <c:v>99.492900000000006</c:v>
                </c:pt>
                <c:pt idx="51">
                  <c:v>99.503739999999993</c:v>
                </c:pt>
                <c:pt idx="52">
                  <c:v>99.477119999999999</c:v>
                </c:pt>
                <c:pt idx="53">
                  <c:v>99.54495</c:v>
                </c:pt>
                <c:pt idx="54">
                  <c:v>99.484070000000003</c:v>
                </c:pt>
                <c:pt idx="55">
                  <c:v>99.415940000000006</c:v>
                </c:pt>
                <c:pt idx="56">
                  <c:v>99.466189999999997</c:v>
                </c:pt>
                <c:pt idx="57">
                  <c:v>99.467969999999994</c:v>
                </c:pt>
                <c:pt idx="58">
                  <c:v>99.411799999999999</c:v>
                </c:pt>
                <c:pt idx="59">
                  <c:v>99.33972</c:v>
                </c:pt>
                <c:pt idx="60">
                  <c:v>99.337999999999994</c:v>
                </c:pt>
                <c:pt idx="61">
                  <c:v>99.371470000000002</c:v>
                </c:pt>
                <c:pt idx="62">
                  <c:v>99.343459999999993</c:v>
                </c:pt>
                <c:pt idx="63">
                  <c:v>99.359110000000001</c:v>
                </c:pt>
                <c:pt idx="64">
                  <c:v>99.325909999999993</c:v>
                </c:pt>
                <c:pt idx="65">
                  <c:v>99.328569999999999</c:v>
                </c:pt>
                <c:pt idx="66">
                  <c:v>99.347080000000005</c:v>
                </c:pt>
                <c:pt idx="67">
                  <c:v>99.30395</c:v>
                </c:pt>
                <c:pt idx="68">
                  <c:v>99.258309999999994</c:v>
                </c:pt>
                <c:pt idx="69">
                  <c:v>99.252470000000002</c:v>
                </c:pt>
                <c:pt idx="70">
                  <c:v>99.326149999999998</c:v>
                </c:pt>
                <c:pt idx="71">
                  <c:v>99.273510000000002</c:v>
                </c:pt>
                <c:pt idx="72">
                  <c:v>99.212119999999999</c:v>
                </c:pt>
                <c:pt idx="73">
                  <c:v>99.255340000000004</c:v>
                </c:pt>
                <c:pt idx="74">
                  <c:v>99.21163</c:v>
                </c:pt>
                <c:pt idx="75">
                  <c:v>99.257180000000005</c:v>
                </c:pt>
                <c:pt idx="76">
                  <c:v>99.010490000000004</c:v>
                </c:pt>
                <c:pt idx="77">
                  <c:v>99.045000000000002</c:v>
                </c:pt>
                <c:pt idx="78">
                  <c:v>99.128309999999999</c:v>
                </c:pt>
                <c:pt idx="79">
                  <c:v>99.044039999999995</c:v>
                </c:pt>
                <c:pt idx="80">
                  <c:v>98.990830000000003</c:v>
                </c:pt>
                <c:pt idx="81">
                  <c:v>99.11748</c:v>
                </c:pt>
                <c:pt idx="82">
                  <c:v>99.033860000000004</c:v>
                </c:pt>
                <c:pt idx="83">
                  <c:v>99.045969999999997</c:v>
                </c:pt>
                <c:pt idx="84">
                  <c:v>98.933359999999993</c:v>
                </c:pt>
                <c:pt idx="85">
                  <c:v>98.953159999999997</c:v>
                </c:pt>
                <c:pt idx="86">
                  <c:v>98.99597</c:v>
                </c:pt>
                <c:pt idx="87">
                  <c:v>98.938929999999999</c:v>
                </c:pt>
                <c:pt idx="88">
                  <c:v>98.972629999999995</c:v>
                </c:pt>
                <c:pt idx="89">
                  <c:v>98.866699999999994</c:v>
                </c:pt>
                <c:pt idx="90">
                  <c:v>98.912310000000005</c:v>
                </c:pt>
                <c:pt idx="91">
                  <c:v>98.9024</c:v>
                </c:pt>
                <c:pt idx="92">
                  <c:v>98.932469999999995</c:v>
                </c:pt>
                <c:pt idx="93">
                  <c:v>98.861969999999999</c:v>
                </c:pt>
                <c:pt idx="94">
                  <c:v>98.942089999999993</c:v>
                </c:pt>
                <c:pt idx="95">
                  <c:v>98.849000000000004</c:v>
                </c:pt>
                <c:pt idx="96">
                  <c:v>98.808139999999995</c:v>
                </c:pt>
                <c:pt idx="97">
                  <c:v>98.864099999999993</c:v>
                </c:pt>
                <c:pt idx="98">
                  <c:v>98.752889999999994</c:v>
                </c:pt>
                <c:pt idx="99">
                  <c:v>98.735429999999994</c:v>
                </c:pt>
                <c:pt idx="100">
                  <c:v>98.71799</c:v>
                </c:pt>
                <c:pt idx="101">
                  <c:v>98.766819999999996</c:v>
                </c:pt>
                <c:pt idx="102">
                  <c:v>98.679540000000003</c:v>
                </c:pt>
                <c:pt idx="103">
                  <c:v>98.754009999999994</c:v>
                </c:pt>
                <c:pt idx="104">
                  <c:v>98.787289999999999</c:v>
                </c:pt>
                <c:pt idx="105">
                  <c:v>98.754840000000002</c:v>
                </c:pt>
                <c:pt idx="106">
                  <c:v>98.645070000000004</c:v>
                </c:pt>
                <c:pt idx="107">
                  <c:v>98.669200000000004</c:v>
                </c:pt>
                <c:pt idx="108">
                  <c:v>98.631900000000002</c:v>
                </c:pt>
                <c:pt idx="109">
                  <c:v>98.610240000000005</c:v>
                </c:pt>
                <c:pt idx="110">
                  <c:v>98.626440000000002</c:v>
                </c:pt>
                <c:pt idx="111">
                  <c:v>98.630470000000003</c:v>
                </c:pt>
                <c:pt idx="112">
                  <c:v>98.484669999999994</c:v>
                </c:pt>
                <c:pt idx="113">
                  <c:v>98.575159999999997</c:v>
                </c:pt>
                <c:pt idx="114">
                  <c:v>98.522009999999995</c:v>
                </c:pt>
                <c:pt idx="115">
                  <c:v>98.496880000000004</c:v>
                </c:pt>
                <c:pt idx="116">
                  <c:v>98.480189999999993</c:v>
                </c:pt>
                <c:pt idx="117">
                  <c:v>98.497020000000006</c:v>
                </c:pt>
                <c:pt idx="118">
                  <c:v>98.551509999999993</c:v>
                </c:pt>
                <c:pt idx="119">
                  <c:v>98.436940000000007</c:v>
                </c:pt>
                <c:pt idx="120">
                  <c:v>98.532430000000005</c:v>
                </c:pt>
                <c:pt idx="121">
                  <c:v>98.530900000000003</c:v>
                </c:pt>
                <c:pt idx="122">
                  <c:v>98.350239999999999</c:v>
                </c:pt>
                <c:pt idx="123">
                  <c:v>98.396720000000002</c:v>
                </c:pt>
                <c:pt idx="124">
                  <c:v>98.413409999999999</c:v>
                </c:pt>
                <c:pt idx="125">
                  <c:v>98.328729999999993</c:v>
                </c:pt>
                <c:pt idx="126">
                  <c:v>98.367429999999999</c:v>
                </c:pt>
                <c:pt idx="127">
                  <c:v>98.377099999999999</c:v>
                </c:pt>
                <c:pt idx="128">
                  <c:v>98.39913</c:v>
                </c:pt>
                <c:pt idx="129">
                  <c:v>98.332620000000006</c:v>
                </c:pt>
                <c:pt idx="130">
                  <c:v>98.322869999999995</c:v>
                </c:pt>
                <c:pt idx="131">
                  <c:v>98.27176</c:v>
                </c:pt>
                <c:pt idx="132">
                  <c:v>98.302369999999996</c:v>
                </c:pt>
                <c:pt idx="133">
                  <c:v>98.313910000000007</c:v>
                </c:pt>
                <c:pt idx="134">
                  <c:v>98.223870000000005</c:v>
                </c:pt>
                <c:pt idx="135">
                  <c:v>98.198719999999994</c:v>
                </c:pt>
                <c:pt idx="136">
                  <c:v>98.20702</c:v>
                </c:pt>
                <c:pt idx="137">
                  <c:v>98.169539999999998</c:v>
                </c:pt>
                <c:pt idx="138">
                  <c:v>98.213769999999997</c:v>
                </c:pt>
                <c:pt idx="139">
                  <c:v>98.19341</c:v>
                </c:pt>
                <c:pt idx="140">
                  <c:v>98.195260000000005</c:v>
                </c:pt>
                <c:pt idx="141">
                  <c:v>98.220529999999997</c:v>
                </c:pt>
                <c:pt idx="142">
                  <c:v>98.101140000000001</c:v>
                </c:pt>
                <c:pt idx="143">
                  <c:v>98.135800000000003</c:v>
                </c:pt>
                <c:pt idx="144">
                  <c:v>98.124440000000007</c:v>
                </c:pt>
                <c:pt idx="145">
                  <c:v>98.106669999999994</c:v>
                </c:pt>
                <c:pt idx="146">
                  <c:v>98.116789999999995</c:v>
                </c:pt>
                <c:pt idx="147">
                  <c:v>97.984030000000004</c:v>
                </c:pt>
                <c:pt idx="148">
                  <c:v>97.996799999999993</c:v>
                </c:pt>
                <c:pt idx="149">
                  <c:v>98.088809999999995</c:v>
                </c:pt>
                <c:pt idx="150">
                  <c:v>98.06962</c:v>
                </c:pt>
                <c:pt idx="151">
                  <c:v>98.015619999999998</c:v>
                </c:pt>
                <c:pt idx="152">
                  <c:v>97.966750000000005</c:v>
                </c:pt>
                <c:pt idx="153">
                  <c:v>97.969790000000003</c:v>
                </c:pt>
                <c:pt idx="154">
                  <c:v>97.958359999999999</c:v>
                </c:pt>
                <c:pt idx="155">
                  <c:v>97.904870000000003</c:v>
                </c:pt>
                <c:pt idx="156">
                  <c:v>97.977339999999998</c:v>
                </c:pt>
                <c:pt idx="157">
                  <c:v>97.890439999999998</c:v>
                </c:pt>
                <c:pt idx="158">
                  <c:v>97.895650000000003</c:v>
                </c:pt>
                <c:pt idx="159">
                  <c:v>97.86591</c:v>
                </c:pt>
                <c:pt idx="160">
                  <c:v>97.857230000000001</c:v>
                </c:pt>
                <c:pt idx="161">
                  <c:v>97.806150000000002</c:v>
                </c:pt>
                <c:pt idx="162">
                  <c:v>97.883480000000006</c:v>
                </c:pt>
                <c:pt idx="163">
                  <c:v>97.703680000000006</c:v>
                </c:pt>
                <c:pt idx="164">
                  <c:v>97.846990000000005</c:v>
                </c:pt>
                <c:pt idx="165">
                  <c:v>97.908760000000001</c:v>
                </c:pt>
                <c:pt idx="166">
                  <c:v>97.755020000000002</c:v>
                </c:pt>
                <c:pt idx="167">
                  <c:v>97.79889</c:v>
                </c:pt>
                <c:pt idx="168">
                  <c:v>97.755009999999999</c:v>
                </c:pt>
                <c:pt idx="169">
                  <c:v>97.701629999999994</c:v>
                </c:pt>
                <c:pt idx="170">
                  <c:v>97.732399999999998</c:v>
                </c:pt>
                <c:pt idx="171">
                  <c:v>97.763220000000004</c:v>
                </c:pt>
                <c:pt idx="172">
                  <c:v>97.720730000000003</c:v>
                </c:pt>
                <c:pt idx="173">
                  <c:v>97.716160000000002</c:v>
                </c:pt>
                <c:pt idx="174">
                  <c:v>97.708560000000006</c:v>
                </c:pt>
                <c:pt idx="175">
                  <c:v>97.671210000000002</c:v>
                </c:pt>
                <c:pt idx="176">
                  <c:v>97.610399999999998</c:v>
                </c:pt>
                <c:pt idx="177">
                  <c:v>97.650829999999999</c:v>
                </c:pt>
                <c:pt idx="178">
                  <c:v>97.580629999999999</c:v>
                </c:pt>
                <c:pt idx="179">
                  <c:v>97.624970000000005</c:v>
                </c:pt>
                <c:pt idx="180">
                  <c:v>97.668130000000005</c:v>
                </c:pt>
                <c:pt idx="181">
                  <c:v>97.524969999999996</c:v>
                </c:pt>
                <c:pt idx="182">
                  <c:v>97.541380000000004</c:v>
                </c:pt>
                <c:pt idx="183">
                  <c:v>97.519270000000006</c:v>
                </c:pt>
                <c:pt idx="184">
                  <c:v>97.594549999999998</c:v>
                </c:pt>
                <c:pt idx="185">
                  <c:v>97.544399999999996</c:v>
                </c:pt>
                <c:pt idx="186">
                  <c:v>97.462980000000002</c:v>
                </c:pt>
                <c:pt idx="187">
                  <c:v>97.457499999999996</c:v>
                </c:pt>
                <c:pt idx="188">
                  <c:v>97.455160000000006</c:v>
                </c:pt>
                <c:pt idx="189">
                  <c:v>97.484539999999996</c:v>
                </c:pt>
                <c:pt idx="190">
                  <c:v>97.429860000000005</c:v>
                </c:pt>
                <c:pt idx="191">
                  <c:v>97.418580000000006</c:v>
                </c:pt>
                <c:pt idx="192">
                  <c:v>97.283109999999994</c:v>
                </c:pt>
                <c:pt idx="193">
                  <c:v>97.366039999999998</c:v>
                </c:pt>
                <c:pt idx="194">
                  <c:v>97.44014</c:v>
                </c:pt>
                <c:pt idx="195">
                  <c:v>97.306160000000006</c:v>
                </c:pt>
                <c:pt idx="196">
                  <c:v>97.269679999999994</c:v>
                </c:pt>
                <c:pt idx="197">
                  <c:v>97.398259999999993</c:v>
                </c:pt>
                <c:pt idx="198">
                  <c:v>97.318849999999998</c:v>
                </c:pt>
                <c:pt idx="199">
                  <c:v>97.309790000000007</c:v>
                </c:pt>
                <c:pt idx="200">
                  <c:v>97.07987</c:v>
                </c:pt>
                <c:pt idx="201">
                  <c:v>97.319019999999995</c:v>
                </c:pt>
                <c:pt idx="202">
                  <c:v>97.281949999999995</c:v>
                </c:pt>
                <c:pt idx="203">
                  <c:v>97.271420000000006</c:v>
                </c:pt>
                <c:pt idx="204">
                  <c:v>97.238479999999996</c:v>
                </c:pt>
                <c:pt idx="205">
                  <c:v>97.274910000000006</c:v>
                </c:pt>
                <c:pt idx="206">
                  <c:v>97.126739999999998</c:v>
                </c:pt>
                <c:pt idx="207">
                  <c:v>97.159329999999997</c:v>
                </c:pt>
                <c:pt idx="208">
                  <c:v>97.160430000000005</c:v>
                </c:pt>
                <c:pt idx="209">
                  <c:v>97.145910000000001</c:v>
                </c:pt>
                <c:pt idx="210">
                  <c:v>97.212059999999994</c:v>
                </c:pt>
                <c:pt idx="211">
                  <c:v>97.134110000000007</c:v>
                </c:pt>
                <c:pt idx="212">
                  <c:v>97.154579999999996</c:v>
                </c:pt>
                <c:pt idx="213">
                  <c:v>97.087530000000001</c:v>
                </c:pt>
                <c:pt idx="214">
                  <c:v>97.154539999999997</c:v>
                </c:pt>
                <c:pt idx="215">
                  <c:v>97.037739999999999</c:v>
                </c:pt>
                <c:pt idx="216">
                  <c:v>96.985339999999994</c:v>
                </c:pt>
                <c:pt idx="217">
                  <c:v>97.119879999999995</c:v>
                </c:pt>
                <c:pt idx="218">
                  <c:v>97.00873</c:v>
                </c:pt>
                <c:pt idx="219">
                  <c:v>96.98066</c:v>
                </c:pt>
                <c:pt idx="220">
                  <c:v>97.007959999999997</c:v>
                </c:pt>
                <c:pt idx="221">
                  <c:v>96.936809999999994</c:v>
                </c:pt>
                <c:pt idx="222">
                  <c:v>96.942729999999997</c:v>
                </c:pt>
                <c:pt idx="223">
                  <c:v>97.065669999999997</c:v>
                </c:pt>
                <c:pt idx="224">
                  <c:v>96.963520000000003</c:v>
                </c:pt>
                <c:pt idx="225">
                  <c:v>96.935220000000001</c:v>
                </c:pt>
                <c:pt idx="226">
                  <c:v>97.011279999999999</c:v>
                </c:pt>
                <c:pt idx="227">
                  <c:v>96.877970000000005</c:v>
                </c:pt>
                <c:pt idx="228">
                  <c:v>96.776929999999993</c:v>
                </c:pt>
                <c:pt idx="229">
                  <c:v>96.952190000000002</c:v>
                </c:pt>
                <c:pt idx="230">
                  <c:v>96.885800000000003</c:v>
                </c:pt>
                <c:pt idx="231">
                  <c:v>96.873040000000003</c:v>
                </c:pt>
                <c:pt idx="232">
                  <c:v>96.870050000000006</c:v>
                </c:pt>
                <c:pt idx="233">
                  <c:v>96.804910000000007</c:v>
                </c:pt>
                <c:pt idx="234">
                  <c:v>96.808490000000006</c:v>
                </c:pt>
                <c:pt idx="235">
                  <c:v>96.835139999999996</c:v>
                </c:pt>
                <c:pt idx="236">
                  <c:v>96.817480000000003</c:v>
                </c:pt>
                <c:pt idx="237">
                  <c:v>96.755600000000001</c:v>
                </c:pt>
                <c:pt idx="238">
                  <c:v>96.808980000000005</c:v>
                </c:pt>
                <c:pt idx="239">
                  <c:v>96.740480000000005</c:v>
                </c:pt>
                <c:pt idx="240">
                  <c:v>96.756079999999997</c:v>
                </c:pt>
                <c:pt idx="241">
                  <c:v>96.73563</c:v>
                </c:pt>
                <c:pt idx="242">
                  <c:v>96.679180000000002</c:v>
                </c:pt>
                <c:pt idx="243">
                  <c:v>96.690010000000001</c:v>
                </c:pt>
                <c:pt idx="244">
                  <c:v>96.677409999999995</c:v>
                </c:pt>
                <c:pt idx="245">
                  <c:v>96.608059999999995</c:v>
                </c:pt>
                <c:pt idx="246">
                  <c:v>96.75385</c:v>
                </c:pt>
                <c:pt idx="247">
                  <c:v>96.637129999999999</c:v>
                </c:pt>
                <c:pt idx="248">
                  <c:v>96.608509999999995</c:v>
                </c:pt>
                <c:pt idx="249">
                  <c:v>96.602180000000004</c:v>
                </c:pt>
                <c:pt idx="250">
                  <c:v>96.647810000000007</c:v>
                </c:pt>
                <c:pt idx="251">
                  <c:v>96.566230000000004</c:v>
                </c:pt>
                <c:pt idx="252">
                  <c:v>96.576809999999995</c:v>
                </c:pt>
                <c:pt idx="253">
                  <c:v>96.65334</c:v>
                </c:pt>
                <c:pt idx="254">
                  <c:v>96.524370000000005</c:v>
                </c:pt>
                <c:pt idx="255">
                  <c:v>96.488029999999995</c:v>
                </c:pt>
                <c:pt idx="256">
                  <c:v>96.464089999999999</c:v>
                </c:pt>
                <c:pt idx="257">
                  <c:v>96.493129999999994</c:v>
                </c:pt>
                <c:pt idx="258">
                  <c:v>96.433359999999993</c:v>
                </c:pt>
                <c:pt idx="259">
                  <c:v>96.517560000000003</c:v>
                </c:pt>
                <c:pt idx="260">
                  <c:v>96.450299999999999</c:v>
                </c:pt>
                <c:pt idx="261">
                  <c:v>96.439350000000005</c:v>
                </c:pt>
                <c:pt idx="262">
                  <c:v>96.446929999999995</c:v>
                </c:pt>
                <c:pt idx="263">
                  <c:v>96.373530000000002</c:v>
                </c:pt>
                <c:pt idx="264">
                  <c:v>96.361930000000001</c:v>
                </c:pt>
                <c:pt idx="265">
                  <c:v>96.319389999999999</c:v>
                </c:pt>
                <c:pt idx="266">
                  <c:v>96.358789999999999</c:v>
                </c:pt>
                <c:pt idx="267">
                  <c:v>96.375979999999998</c:v>
                </c:pt>
                <c:pt idx="268">
                  <c:v>96.34308</c:v>
                </c:pt>
                <c:pt idx="269">
                  <c:v>96.2684</c:v>
                </c:pt>
                <c:pt idx="270">
                  <c:v>96.335139999999996</c:v>
                </c:pt>
                <c:pt idx="271">
                  <c:v>96.358000000000004</c:v>
                </c:pt>
                <c:pt idx="272">
                  <c:v>96.370570000000001</c:v>
                </c:pt>
                <c:pt idx="273">
                  <c:v>96.287189999999995</c:v>
                </c:pt>
                <c:pt idx="274">
                  <c:v>96.281679999999994</c:v>
                </c:pt>
                <c:pt idx="275">
                  <c:v>96.286879999999996</c:v>
                </c:pt>
                <c:pt idx="276">
                  <c:v>96.235079999999996</c:v>
                </c:pt>
                <c:pt idx="277">
                  <c:v>96.158029999999997</c:v>
                </c:pt>
                <c:pt idx="278">
                  <c:v>96.200019999999995</c:v>
                </c:pt>
                <c:pt idx="279">
                  <c:v>96.272549999999995</c:v>
                </c:pt>
                <c:pt idx="280">
                  <c:v>96.148020000000002</c:v>
                </c:pt>
                <c:pt idx="281">
                  <c:v>96.243930000000006</c:v>
                </c:pt>
                <c:pt idx="282">
                  <c:v>96.163449999999997</c:v>
                </c:pt>
                <c:pt idx="283">
                  <c:v>96.169579999999996</c:v>
                </c:pt>
                <c:pt idx="284">
                  <c:v>96.17165</c:v>
                </c:pt>
                <c:pt idx="285">
                  <c:v>96.151960000000003</c:v>
                </c:pt>
                <c:pt idx="286">
                  <c:v>96.063860000000005</c:v>
                </c:pt>
                <c:pt idx="287">
                  <c:v>96.157660000000007</c:v>
                </c:pt>
                <c:pt idx="288">
                  <c:v>96.082300000000004</c:v>
                </c:pt>
                <c:pt idx="289">
                  <c:v>96.087220000000002</c:v>
                </c:pt>
                <c:pt idx="290">
                  <c:v>96.039770000000004</c:v>
                </c:pt>
                <c:pt idx="291">
                  <c:v>96.021680000000003</c:v>
                </c:pt>
                <c:pt idx="292">
                  <c:v>96.076639999999998</c:v>
                </c:pt>
                <c:pt idx="293">
                  <c:v>96.054969999999997</c:v>
                </c:pt>
                <c:pt idx="294">
                  <c:v>96.089330000000004</c:v>
                </c:pt>
                <c:pt idx="295">
                  <c:v>96.00949</c:v>
                </c:pt>
                <c:pt idx="296">
                  <c:v>95.985560000000007</c:v>
                </c:pt>
                <c:pt idx="297">
                  <c:v>96.086669999999998</c:v>
                </c:pt>
                <c:pt idx="298">
                  <c:v>95.963120000000004</c:v>
                </c:pt>
                <c:pt idx="299">
                  <c:v>95.977239999999995</c:v>
                </c:pt>
                <c:pt idx="300">
                  <c:v>95.912779999999998</c:v>
                </c:pt>
                <c:pt idx="301">
                  <c:v>95.811999999999998</c:v>
                </c:pt>
                <c:pt idx="302">
                  <c:v>95.883629999999997</c:v>
                </c:pt>
                <c:pt idx="303">
                  <c:v>95.801789999999997</c:v>
                </c:pt>
                <c:pt idx="304">
                  <c:v>95.904030000000006</c:v>
                </c:pt>
                <c:pt idx="305">
                  <c:v>95.845830000000007</c:v>
                </c:pt>
                <c:pt idx="306">
                  <c:v>95.875829999999993</c:v>
                </c:pt>
                <c:pt idx="307">
                  <c:v>95.796809999999994</c:v>
                </c:pt>
                <c:pt idx="308">
                  <c:v>95.74915</c:v>
                </c:pt>
                <c:pt idx="309">
                  <c:v>95.772909999999996</c:v>
                </c:pt>
                <c:pt idx="310">
                  <c:v>95.849040000000002</c:v>
                </c:pt>
                <c:pt idx="311">
                  <c:v>95.779489999999996</c:v>
                </c:pt>
                <c:pt idx="312">
                  <c:v>95.763270000000006</c:v>
                </c:pt>
                <c:pt idx="313">
                  <c:v>95.739980000000003</c:v>
                </c:pt>
                <c:pt idx="314">
                  <c:v>95.814819999999997</c:v>
                </c:pt>
                <c:pt idx="315">
                  <c:v>95.741699999999994</c:v>
                </c:pt>
                <c:pt idx="316">
                  <c:v>95.671639999999996</c:v>
                </c:pt>
                <c:pt idx="317">
                  <c:v>95.740099999999998</c:v>
                </c:pt>
                <c:pt idx="318">
                  <c:v>95.670730000000006</c:v>
                </c:pt>
                <c:pt idx="319">
                  <c:v>95.579800000000006</c:v>
                </c:pt>
                <c:pt idx="320">
                  <c:v>95.6661</c:v>
                </c:pt>
                <c:pt idx="321">
                  <c:v>95.689520000000002</c:v>
                </c:pt>
                <c:pt idx="322">
                  <c:v>95.673280000000005</c:v>
                </c:pt>
                <c:pt idx="323">
                  <c:v>95.626509999999996</c:v>
                </c:pt>
                <c:pt idx="324">
                  <c:v>95.647000000000006</c:v>
                </c:pt>
                <c:pt idx="325">
                  <c:v>95.544560000000004</c:v>
                </c:pt>
                <c:pt idx="326">
                  <c:v>95.660709999999995</c:v>
                </c:pt>
                <c:pt idx="327">
                  <c:v>95.537819999999996</c:v>
                </c:pt>
                <c:pt idx="328">
                  <c:v>95.587569999999999</c:v>
                </c:pt>
                <c:pt idx="329">
                  <c:v>95.499939999999995</c:v>
                </c:pt>
                <c:pt idx="330">
                  <c:v>95.523780000000002</c:v>
                </c:pt>
                <c:pt idx="331">
                  <c:v>95.495440000000002</c:v>
                </c:pt>
                <c:pt idx="332">
                  <c:v>95.630700000000004</c:v>
                </c:pt>
                <c:pt idx="333">
                  <c:v>95.544589999999999</c:v>
                </c:pt>
                <c:pt idx="334">
                  <c:v>95.506910000000005</c:v>
                </c:pt>
                <c:pt idx="335">
                  <c:v>95.444659999999999</c:v>
                </c:pt>
                <c:pt idx="336">
                  <c:v>95.375680000000003</c:v>
                </c:pt>
                <c:pt idx="337">
                  <c:v>95.393529999999998</c:v>
                </c:pt>
                <c:pt idx="338">
                  <c:v>95.472250000000003</c:v>
                </c:pt>
                <c:pt idx="339">
                  <c:v>95.446600000000004</c:v>
                </c:pt>
                <c:pt idx="340">
                  <c:v>95.478139999999996</c:v>
                </c:pt>
                <c:pt idx="341">
                  <c:v>95.423069999999996</c:v>
                </c:pt>
                <c:pt idx="342">
                  <c:v>95.370159999999998</c:v>
                </c:pt>
                <c:pt idx="343">
                  <c:v>95.44238</c:v>
                </c:pt>
                <c:pt idx="344">
                  <c:v>95.340350000000001</c:v>
                </c:pt>
                <c:pt idx="345">
                  <c:v>95.406040000000004</c:v>
                </c:pt>
                <c:pt idx="346">
                  <c:v>95.345569999999995</c:v>
                </c:pt>
                <c:pt idx="347">
                  <c:v>95.318910000000002</c:v>
                </c:pt>
                <c:pt idx="348">
                  <c:v>95.229039999999998</c:v>
                </c:pt>
                <c:pt idx="349">
                  <c:v>95.266869999999997</c:v>
                </c:pt>
                <c:pt idx="350">
                  <c:v>95.291830000000004</c:v>
                </c:pt>
                <c:pt idx="351">
                  <c:v>95.234579999999994</c:v>
                </c:pt>
                <c:pt idx="352">
                  <c:v>95.362989999999996</c:v>
                </c:pt>
                <c:pt idx="353">
                  <c:v>95.220140000000001</c:v>
                </c:pt>
                <c:pt idx="354">
                  <c:v>95.249989999999997</c:v>
                </c:pt>
                <c:pt idx="355">
                  <c:v>95.33484</c:v>
                </c:pt>
                <c:pt idx="356">
                  <c:v>95.197050000000004</c:v>
                </c:pt>
                <c:pt idx="357">
                  <c:v>95.166309999999996</c:v>
                </c:pt>
                <c:pt idx="358">
                  <c:v>95.182959999999994</c:v>
                </c:pt>
                <c:pt idx="359">
                  <c:v>95.147710000000004</c:v>
                </c:pt>
                <c:pt idx="360">
                  <c:v>95.130229999999997</c:v>
                </c:pt>
                <c:pt idx="361">
                  <c:v>95.17774</c:v>
                </c:pt>
                <c:pt idx="362">
                  <c:v>95.178529999999995</c:v>
                </c:pt>
                <c:pt idx="363">
                  <c:v>95.000489999999999</c:v>
                </c:pt>
                <c:pt idx="364">
                  <c:v>95.016900000000007</c:v>
                </c:pt>
                <c:pt idx="365">
                  <c:v>95.023799999999994</c:v>
                </c:pt>
                <c:pt idx="366">
                  <c:v>95.066469999999995</c:v>
                </c:pt>
                <c:pt idx="367">
                  <c:v>94.948989999999995</c:v>
                </c:pt>
                <c:pt idx="368">
                  <c:v>95.075990000000004</c:v>
                </c:pt>
                <c:pt idx="369">
                  <c:v>95.174660000000003</c:v>
                </c:pt>
                <c:pt idx="370">
                  <c:v>95.081789999999998</c:v>
                </c:pt>
                <c:pt idx="371">
                  <c:v>95.117109999999997</c:v>
                </c:pt>
                <c:pt idx="372">
                  <c:v>94.936080000000004</c:v>
                </c:pt>
                <c:pt idx="373">
                  <c:v>94.997309999999999</c:v>
                </c:pt>
                <c:pt idx="374">
                  <c:v>95.01652</c:v>
                </c:pt>
                <c:pt idx="375">
                  <c:v>94.943160000000006</c:v>
                </c:pt>
                <c:pt idx="376">
                  <c:v>94.859750000000005</c:v>
                </c:pt>
                <c:pt idx="377">
                  <c:v>94.980760000000004</c:v>
                </c:pt>
                <c:pt idx="378">
                  <c:v>94.865679999999998</c:v>
                </c:pt>
                <c:pt idx="379">
                  <c:v>94.87764</c:v>
                </c:pt>
                <c:pt idx="380">
                  <c:v>94.914280000000005</c:v>
                </c:pt>
                <c:pt idx="381">
                  <c:v>94.884600000000006</c:v>
                </c:pt>
                <c:pt idx="382">
                  <c:v>94.854780000000005</c:v>
                </c:pt>
                <c:pt idx="383">
                  <c:v>94.865499999999997</c:v>
                </c:pt>
                <c:pt idx="384">
                  <c:v>94.770359999999997</c:v>
                </c:pt>
                <c:pt idx="385">
                  <c:v>94.834800000000001</c:v>
                </c:pt>
                <c:pt idx="386">
                  <c:v>94.799949999999995</c:v>
                </c:pt>
                <c:pt idx="387">
                  <c:v>94.778620000000004</c:v>
                </c:pt>
                <c:pt idx="388">
                  <c:v>94.885339999999999</c:v>
                </c:pt>
                <c:pt idx="389">
                  <c:v>94.738820000000004</c:v>
                </c:pt>
                <c:pt idx="390">
                  <c:v>94.811179999999993</c:v>
                </c:pt>
                <c:pt idx="391">
                  <c:v>94.831000000000003</c:v>
                </c:pt>
                <c:pt idx="392">
                  <c:v>94.721829999999997</c:v>
                </c:pt>
                <c:pt idx="393">
                  <c:v>94.755849999999995</c:v>
                </c:pt>
                <c:pt idx="394">
                  <c:v>94.618290000000002</c:v>
                </c:pt>
                <c:pt idx="395">
                  <c:v>94.737830000000002</c:v>
                </c:pt>
                <c:pt idx="396">
                  <c:v>94.650189999999995</c:v>
                </c:pt>
                <c:pt idx="397">
                  <c:v>94.656679999999994</c:v>
                </c:pt>
                <c:pt idx="398">
                  <c:v>94.789159999999995</c:v>
                </c:pt>
                <c:pt idx="399">
                  <c:v>94.698409999999996</c:v>
                </c:pt>
                <c:pt idx="400">
                  <c:v>94.726730000000003</c:v>
                </c:pt>
                <c:pt idx="401">
                  <c:v>94.692880000000002</c:v>
                </c:pt>
                <c:pt idx="402">
                  <c:v>94.69605</c:v>
                </c:pt>
                <c:pt idx="403">
                  <c:v>94.661910000000006</c:v>
                </c:pt>
                <c:pt idx="404">
                  <c:v>94.514830000000003</c:v>
                </c:pt>
                <c:pt idx="405">
                  <c:v>94.612949999999998</c:v>
                </c:pt>
                <c:pt idx="406">
                  <c:v>94.740300000000005</c:v>
                </c:pt>
                <c:pt idx="407">
                  <c:v>94.447819999999993</c:v>
                </c:pt>
                <c:pt idx="408">
                  <c:v>94.598330000000004</c:v>
                </c:pt>
                <c:pt idx="409">
                  <c:v>94.531130000000005</c:v>
                </c:pt>
                <c:pt idx="410">
                  <c:v>94.612960000000001</c:v>
                </c:pt>
                <c:pt idx="411">
                  <c:v>94.508859999999999</c:v>
                </c:pt>
                <c:pt idx="412">
                  <c:v>94.652429999999995</c:v>
                </c:pt>
                <c:pt idx="413">
                  <c:v>94.359800000000007</c:v>
                </c:pt>
                <c:pt idx="414">
                  <c:v>94.51876</c:v>
                </c:pt>
                <c:pt idx="415">
                  <c:v>94.433710000000005</c:v>
                </c:pt>
                <c:pt idx="416">
                  <c:v>94.540009999999995</c:v>
                </c:pt>
                <c:pt idx="417">
                  <c:v>94.38212</c:v>
                </c:pt>
                <c:pt idx="418">
                  <c:v>94.497399999999999</c:v>
                </c:pt>
                <c:pt idx="419">
                  <c:v>94.278750000000002</c:v>
                </c:pt>
                <c:pt idx="420">
                  <c:v>94.43535</c:v>
                </c:pt>
                <c:pt idx="421">
                  <c:v>94.426860000000005</c:v>
                </c:pt>
                <c:pt idx="422">
                  <c:v>94.385800000000003</c:v>
                </c:pt>
                <c:pt idx="423">
                  <c:v>94.312880000000007</c:v>
                </c:pt>
                <c:pt idx="424">
                  <c:v>94.275419999999997</c:v>
                </c:pt>
                <c:pt idx="425">
                  <c:v>94.294960000000003</c:v>
                </c:pt>
                <c:pt idx="426">
                  <c:v>94.36824</c:v>
                </c:pt>
                <c:pt idx="427">
                  <c:v>94.274919999999995</c:v>
                </c:pt>
                <c:pt idx="428">
                  <c:v>94.241209999999995</c:v>
                </c:pt>
                <c:pt idx="429">
                  <c:v>94.345470000000006</c:v>
                </c:pt>
                <c:pt idx="430">
                  <c:v>94.361770000000007</c:v>
                </c:pt>
                <c:pt idx="431">
                  <c:v>94.269440000000003</c:v>
                </c:pt>
                <c:pt idx="432">
                  <c:v>94.248350000000002</c:v>
                </c:pt>
                <c:pt idx="433">
                  <c:v>94.25985</c:v>
                </c:pt>
                <c:pt idx="434">
                  <c:v>94.21678</c:v>
                </c:pt>
                <c:pt idx="435">
                  <c:v>94.313379999999995</c:v>
                </c:pt>
                <c:pt idx="436">
                  <c:v>94.239630000000005</c:v>
                </c:pt>
                <c:pt idx="437">
                  <c:v>94.170190000000005</c:v>
                </c:pt>
                <c:pt idx="438">
                  <c:v>94.219139999999996</c:v>
                </c:pt>
                <c:pt idx="439">
                  <c:v>94.229489999999998</c:v>
                </c:pt>
                <c:pt idx="440">
                  <c:v>94.217619999999997</c:v>
                </c:pt>
                <c:pt idx="441">
                  <c:v>94.139690000000002</c:v>
                </c:pt>
                <c:pt idx="442">
                  <c:v>94.155860000000004</c:v>
                </c:pt>
                <c:pt idx="443">
                  <c:v>94.162379999999999</c:v>
                </c:pt>
                <c:pt idx="444">
                  <c:v>94.098830000000007</c:v>
                </c:pt>
                <c:pt idx="445">
                  <c:v>94.162549999999996</c:v>
                </c:pt>
                <c:pt idx="446">
                  <c:v>94.099270000000004</c:v>
                </c:pt>
                <c:pt idx="447">
                  <c:v>94.172579999999996</c:v>
                </c:pt>
                <c:pt idx="448">
                  <c:v>94.028180000000006</c:v>
                </c:pt>
                <c:pt idx="449">
                  <c:v>94.153739999999999</c:v>
                </c:pt>
                <c:pt idx="450">
                  <c:v>93.934049999999999</c:v>
                </c:pt>
                <c:pt idx="451">
                  <c:v>94.064089999999993</c:v>
                </c:pt>
                <c:pt idx="452">
                  <c:v>93.947490000000002</c:v>
                </c:pt>
                <c:pt idx="453">
                  <c:v>94.047820000000002</c:v>
                </c:pt>
                <c:pt idx="454">
                  <c:v>94.010919999999999</c:v>
                </c:pt>
                <c:pt idx="455">
                  <c:v>94.021299999999997</c:v>
                </c:pt>
                <c:pt idx="456">
                  <c:v>93.946089999999998</c:v>
                </c:pt>
                <c:pt idx="457">
                  <c:v>93.940610000000007</c:v>
                </c:pt>
                <c:pt idx="458">
                  <c:v>93.950149999999994</c:v>
                </c:pt>
                <c:pt idx="459">
                  <c:v>93.883489999999995</c:v>
                </c:pt>
                <c:pt idx="460">
                  <c:v>93.918629999999993</c:v>
                </c:pt>
                <c:pt idx="461">
                  <c:v>93.951520000000002</c:v>
                </c:pt>
                <c:pt idx="462">
                  <c:v>93.824879999999993</c:v>
                </c:pt>
                <c:pt idx="463">
                  <c:v>93.864819999999995</c:v>
                </c:pt>
                <c:pt idx="464">
                  <c:v>93.929550000000006</c:v>
                </c:pt>
                <c:pt idx="465">
                  <c:v>93.852869999999996</c:v>
                </c:pt>
                <c:pt idx="466">
                  <c:v>93.859660000000005</c:v>
                </c:pt>
                <c:pt idx="467">
                  <c:v>93.757859999999994</c:v>
                </c:pt>
                <c:pt idx="468">
                  <c:v>93.87115</c:v>
                </c:pt>
                <c:pt idx="469">
                  <c:v>93.876410000000007</c:v>
                </c:pt>
                <c:pt idx="470">
                  <c:v>93.911630000000002</c:v>
                </c:pt>
                <c:pt idx="471">
                  <c:v>93.751940000000005</c:v>
                </c:pt>
                <c:pt idx="472">
                  <c:v>93.77449</c:v>
                </c:pt>
                <c:pt idx="473">
                  <c:v>93.840149999999994</c:v>
                </c:pt>
                <c:pt idx="474">
                  <c:v>93.651889999999995</c:v>
                </c:pt>
                <c:pt idx="475">
                  <c:v>93.730369999999994</c:v>
                </c:pt>
                <c:pt idx="476">
                  <c:v>93.704790000000003</c:v>
                </c:pt>
                <c:pt idx="477">
                  <c:v>93.759839999999997</c:v>
                </c:pt>
                <c:pt idx="478">
                  <c:v>93.721400000000003</c:v>
                </c:pt>
                <c:pt idx="479">
                  <c:v>93.789280000000005</c:v>
                </c:pt>
                <c:pt idx="480">
                  <c:v>93.714330000000004</c:v>
                </c:pt>
                <c:pt idx="481">
                  <c:v>93.698629999999994</c:v>
                </c:pt>
                <c:pt idx="482">
                  <c:v>93.679850000000002</c:v>
                </c:pt>
                <c:pt idx="483">
                  <c:v>93.694940000000003</c:v>
                </c:pt>
                <c:pt idx="484">
                  <c:v>93.735960000000006</c:v>
                </c:pt>
                <c:pt idx="485">
                  <c:v>93.623469999999998</c:v>
                </c:pt>
                <c:pt idx="486">
                  <c:v>93.727339999999998</c:v>
                </c:pt>
                <c:pt idx="487">
                  <c:v>93.558909999999997</c:v>
                </c:pt>
                <c:pt idx="488">
                  <c:v>93.577520000000007</c:v>
                </c:pt>
                <c:pt idx="489">
                  <c:v>93.548150000000007</c:v>
                </c:pt>
                <c:pt idx="490">
                  <c:v>93.554360000000003</c:v>
                </c:pt>
                <c:pt idx="491">
                  <c:v>93.613309999999998</c:v>
                </c:pt>
                <c:pt idx="492">
                  <c:v>93.527789999999996</c:v>
                </c:pt>
                <c:pt idx="493">
                  <c:v>93.571809999999999</c:v>
                </c:pt>
                <c:pt idx="494">
                  <c:v>93.565439999999995</c:v>
                </c:pt>
                <c:pt idx="495">
                  <c:v>93.606489999999994</c:v>
                </c:pt>
                <c:pt idx="496">
                  <c:v>93.568119999999993</c:v>
                </c:pt>
                <c:pt idx="497">
                  <c:v>93.623760000000004</c:v>
                </c:pt>
                <c:pt idx="498">
                  <c:v>93.568250000000006</c:v>
                </c:pt>
                <c:pt idx="499">
                  <c:v>93.414320000000004</c:v>
                </c:pt>
                <c:pt idx="500">
                  <c:v>93.470020000000005</c:v>
                </c:pt>
                <c:pt idx="501">
                  <c:v>93.426240000000007</c:v>
                </c:pt>
                <c:pt idx="502">
                  <c:v>93.365070000000003</c:v>
                </c:pt>
                <c:pt idx="503">
                  <c:v>93.43253</c:v>
                </c:pt>
                <c:pt idx="504">
                  <c:v>93.427139999999994</c:v>
                </c:pt>
                <c:pt idx="505">
                  <c:v>93.31514</c:v>
                </c:pt>
                <c:pt idx="506">
                  <c:v>93.481340000000003</c:v>
                </c:pt>
                <c:pt idx="507">
                  <c:v>93.364689999999996</c:v>
                </c:pt>
                <c:pt idx="508">
                  <c:v>93.439019999999999</c:v>
                </c:pt>
                <c:pt idx="509">
                  <c:v>93.337310000000002</c:v>
                </c:pt>
                <c:pt idx="510">
                  <c:v>93.353679999999997</c:v>
                </c:pt>
                <c:pt idx="511">
                  <c:v>93.297870000000003</c:v>
                </c:pt>
                <c:pt idx="512">
                  <c:v>93.522369999999995</c:v>
                </c:pt>
                <c:pt idx="513">
                  <c:v>93.275720000000007</c:v>
                </c:pt>
                <c:pt idx="514">
                  <c:v>93.345969999999994</c:v>
                </c:pt>
                <c:pt idx="515">
                  <c:v>93.24812</c:v>
                </c:pt>
                <c:pt idx="516">
                  <c:v>93.214849999999998</c:v>
                </c:pt>
                <c:pt idx="517">
                  <c:v>93.272059999999996</c:v>
                </c:pt>
                <c:pt idx="518">
                  <c:v>93.236400000000003</c:v>
                </c:pt>
                <c:pt idx="519">
                  <c:v>93.301519999999996</c:v>
                </c:pt>
                <c:pt idx="520">
                  <c:v>93.233369999999994</c:v>
                </c:pt>
                <c:pt idx="521">
                  <c:v>93.271900000000002</c:v>
                </c:pt>
                <c:pt idx="522">
                  <c:v>93.262979999999999</c:v>
                </c:pt>
                <c:pt idx="523">
                  <c:v>93.19426</c:v>
                </c:pt>
                <c:pt idx="524">
                  <c:v>93.151160000000004</c:v>
                </c:pt>
                <c:pt idx="525">
                  <c:v>93.17662</c:v>
                </c:pt>
                <c:pt idx="526">
                  <c:v>93.132109999999997</c:v>
                </c:pt>
                <c:pt idx="527">
                  <c:v>93.191220000000001</c:v>
                </c:pt>
                <c:pt idx="528">
                  <c:v>93.137590000000003</c:v>
                </c:pt>
                <c:pt idx="529">
                  <c:v>93.14246</c:v>
                </c:pt>
                <c:pt idx="530">
                  <c:v>93.083209999999994</c:v>
                </c:pt>
                <c:pt idx="531">
                  <c:v>93.082160000000002</c:v>
                </c:pt>
                <c:pt idx="532">
                  <c:v>93.198729999999998</c:v>
                </c:pt>
                <c:pt idx="533">
                  <c:v>92.986549999999994</c:v>
                </c:pt>
                <c:pt idx="534">
                  <c:v>93.052000000000007</c:v>
                </c:pt>
                <c:pt idx="535">
                  <c:v>93.051940000000002</c:v>
                </c:pt>
                <c:pt idx="536">
                  <c:v>93.015749999999997</c:v>
                </c:pt>
                <c:pt idx="537">
                  <c:v>93.009439999999998</c:v>
                </c:pt>
                <c:pt idx="538">
                  <c:v>92.894980000000004</c:v>
                </c:pt>
                <c:pt idx="539">
                  <c:v>92.947630000000004</c:v>
                </c:pt>
                <c:pt idx="540">
                  <c:v>92.97448</c:v>
                </c:pt>
                <c:pt idx="541">
                  <c:v>92.905879999999996</c:v>
                </c:pt>
                <c:pt idx="542">
                  <c:v>92.949299999999994</c:v>
                </c:pt>
                <c:pt idx="543">
                  <c:v>92.987089999999995</c:v>
                </c:pt>
                <c:pt idx="544">
                  <c:v>93.025059999999996</c:v>
                </c:pt>
                <c:pt idx="545">
                  <c:v>93.037620000000004</c:v>
                </c:pt>
                <c:pt idx="546">
                  <c:v>92.885480000000001</c:v>
                </c:pt>
                <c:pt idx="547">
                  <c:v>92.987489999999994</c:v>
                </c:pt>
                <c:pt idx="548">
                  <c:v>92.916910000000001</c:v>
                </c:pt>
                <c:pt idx="549">
                  <c:v>92.925389999999993</c:v>
                </c:pt>
                <c:pt idx="550">
                  <c:v>92.946669999999997</c:v>
                </c:pt>
                <c:pt idx="551">
                  <c:v>92.866690000000006</c:v>
                </c:pt>
                <c:pt idx="552">
                  <c:v>93.108360000000005</c:v>
                </c:pt>
                <c:pt idx="553">
                  <c:v>92.909610000000001</c:v>
                </c:pt>
                <c:pt idx="554">
                  <c:v>92.840490000000003</c:v>
                </c:pt>
                <c:pt idx="555">
                  <c:v>92.833590000000001</c:v>
                </c:pt>
                <c:pt idx="556">
                  <c:v>92.77243</c:v>
                </c:pt>
                <c:pt idx="557">
                  <c:v>92.842600000000004</c:v>
                </c:pt>
                <c:pt idx="558">
                  <c:v>92.787890000000004</c:v>
                </c:pt>
                <c:pt idx="559">
                  <c:v>92.793899999999994</c:v>
                </c:pt>
                <c:pt idx="560">
                  <c:v>92.711920000000006</c:v>
                </c:pt>
                <c:pt idx="561">
                  <c:v>92.652469999999994</c:v>
                </c:pt>
                <c:pt idx="562">
                  <c:v>92.75094</c:v>
                </c:pt>
                <c:pt idx="563">
                  <c:v>92.797210000000007</c:v>
                </c:pt>
                <c:pt idx="564">
                  <c:v>92.649900000000002</c:v>
                </c:pt>
                <c:pt idx="565">
                  <c:v>92.647689999999997</c:v>
                </c:pt>
                <c:pt idx="566">
                  <c:v>92.625559999999993</c:v>
                </c:pt>
                <c:pt idx="567">
                  <c:v>92.735470000000007</c:v>
                </c:pt>
                <c:pt idx="568">
                  <c:v>92.629459999999995</c:v>
                </c:pt>
                <c:pt idx="569">
                  <c:v>92.560649999999995</c:v>
                </c:pt>
                <c:pt idx="570">
                  <c:v>92.682559999999995</c:v>
                </c:pt>
                <c:pt idx="571">
                  <c:v>92.652240000000006</c:v>
                </c:pt>
                <c:pt idx="572">
                  <c:v>92.739360000000005</c:v>
                </c:pt>
                <c:pt idx="573">
                  <c:v>92.607529999999997</c:v>
                </c:pt>
                <c:pt idx="574">
                  <c:v>92.600819999999999</c:v>
                </c:pt>
                <c:pt idx="575">
                  <c:v>92.699439999999996</c:v>
                </c:pt>
                <c:pt idx="576">
                  <c:v>92.618740000000003</c:v>
                </c:pt>
                <c:pt idx="577">
                  <c:v>92.559190000000001</c:v>
                </c:pt>
                <c:pt idx="578">
                  <c:v>92.616789999999995</c:v>
                </c:pt>
                <c:pt idx="579">
                  <c:v>92.559420000000003</c:v>
                </c:pt>
                <c:pt idx="580">
                  <c:v>92.608699999999999</c:v>
                </c:pt>
                <c:pt idx="581">
                  <c:v>92.504750000000001</c:v>
                </c:pt>
                <c:pt idx="582">
                  <c:v>92.627799999999993</c:v>
                </c:pt>
                <c:pt idx="583">
                  <c:v>92.509919999999994</c:v>
                </c:pt>
                <c:pt idx="584">
                  <c:v>92.582480000000004</c:v>
                </c:pt>
                <c:pt idx="585">
                  <c:v>92.637709999999998</c:v>
                </c:pt>
                <c:pt idx="586">
                  <c:v>92.384060000000005</c:v>
                </c:pt>
                <c:pt idx="587">
                  <c:v>92.491919999999993</c:v>
                </c:pt>
                <c:pt idx="588">
                  <c:v>92.462440000000001</c:v>
                </c:pt>
                <c:pt idx="589">
                  <c:v>92.432860000000005</c:v>
                </c:pt>
                <c:pt idx="590">
                  <c:v>92.460539999999995</c:v>
                </c:pt>
                <c:pt idx="591">
                  <c:v>92.421019999999999</c:v>
                </c:pt>
                <c:pt idx="592">
                  <c:v>92.450590000000005</c:v>
                </c:pt>
                <c:pt idx="593">
                  <c:v>92.451939999999993</c:v>
                </c:pt>
                <c:pt idx="594">
                  <c:v>92.411299999999997</c:v>
                </c:pt>
                <c:pt idx="595">
                  <c:v>92.435940000000002</c:v>
                </c:pt>
                <c:pt idx="596">
                  <c:v>92.34066</c:v>
                </c:pt>
                <c:pt idx="597">
                  <c:v>92.389600000000002</c:v>
                </c:pt>
                <c:pt idx="598">
                  <c:v>92.441999999999993</c:v>
                </c:pt>
                <c:pt idx="599">
                  <c:v>92.308959999999999</c:v>
                </c:pt>
                <c:pt idx="600">
                  <c:v>92.412019999999998</c:v>
                </c:pt>
                <c:pt idx="601">
                  <c:v>92.295509999999993</c:v>
                </c:pt>
                <c:pt idx="602">
                  <c:v>92.289820000000006</c:v>
                </c:pt>
                <c:pt idx="603">
                  <c:v>92.30574</c:v>
                </c:pt>
                <c:pt idx="604">
                  <c:v>92.25018</c:v>
                </c:pt>
                <c:pt idx="605">
                  <c:v>92.34178</c:v>
                </c:pt>
                <c:pt idx="606">
                  <c:v>92.228859999999997</c:v>
                </c:pt>
                <c:pt idx="607">
                  <c:v>92.268349999999998</c:v>
                </c:pt>
                <c:pt idx="608">
                  <c:v>92.197019999999995</c:v>
                </c:pt>
                <c:pt idx="609">
                  <c:v>92.247889999999998</c:v>
                </c:pt>
                <c:pt idx="610">
                  <c:v>92.264489999999995</c:v>
                </c:pt>
                <c:pt idx="611">
                  <c:v>92.322090000000003</c:v>
                </c:pt>
                <c:pt idx="612">
                  <c:v>92.241579999999999</c:v>
                </c:pt>
                <c:pt idx="613">
                  <c:v>92.282880000000006</c:v>
                </c:pt>
                <c:pt idx="614">
                  <c:v>92.227189999999993</c:v>
                </c:pt>
                <c:pt idx="615">
                  <c:v>92.258690000000001</c:v>
                </c:pt>
                <c:pt idx="616">
                  <c:v>92.172229999999999</c:v>
                </c:pt>
                <c:pt idx="617">
                  <c:v>92.190790000000007</c:v>
                </c:pt>
                <c:pt idx="618">
                  <c:v>92.069950000000006</c:v>
                </c:pt>
                <c:pt idx="619">
                  <c:v>92.04853</c:v>
                </c:pt>
                <c:pt idx="620">
                  <c:v>92.135890000000003</c:v>
                </c:pt>
                <c:pt idx="621">
                  <c:v>92.143129999999999</c:v>
                </c:pt>
                <c:pt idx="622">
                  <c:v>92.029409999999999</c:v>
                </c:pt>
                <c:pt idx="623">
                  <c:v>92.063590000000005</c:v>
                </c:pt>
                <c:pt idx="624">
                  <c:v>92.082099999999997</c:v>
                </c:pt>
                <c:pt idx="625">
                  <c:v>92.032539999999997</c:v>
                </c:pt>
                <c:pt idx="626">
                  <c:v>92.06071</c:v>
                </c:pt>
                <c:pt idx="627">
                  <c:v>91.936580000000006</c:v>
                </c:pt>
                <c:pt idx="628">
                  <c:v>92.089129999999997</c:v>
                </c:pt>
                <c:pt idx="629">
                  <c:v>92.114580000000004</c:v>
                </c:pt>
                <c:pt idx="630">
                  <c:v>92.053210000000007</c:v>
                </c:pt>
                <c:pt idx="631">
                  <c:v>91.975960000000001</c:v>
                </c:pt>
                <c:pt idx="632">
                  <c:v>91.970299999999995</c:v>
                </c:pt>
                <c:pt idx="633">
                  <c:v>91.954120000000003</c:v>
                </c:pt>
                <c:pt idx="634">
                  <c:v>92.007649999999998</c:v>
                </c:pt>
                <c:pt idx="635">
                  <c:v>91.967060000000004</c:v>
                </c:pt>
                <c:pt idx="636">
                  <c:v>92.040059999999997</c:v>
                </c:pt>
                <c:pt idx="637">
                  <c:v>91.888509999999997</c:v>
                </c:pt>
                <c:pt idx="638">
                  <c:v>91.988600000000005</c:v>
                </c:pt>
                <c:pt idx="639">
                  <c:v>91.933989999999994</c:v>
                </c:pt>
                <c:pt idx="640">
                  <c:v>91.904660000000007</c:v>
                </c:pt>
                <c:pt idx="641">
                  <c:v>91.986639999999994</c:v>
                </c:pt>
                <c:pt idx="642">
                  <c:v>91.933340000000001</c:v>
                </c:pt>
                <c:pt idx="643">
                  <c:v>91.774180000000001</c:v>
                </c:pt>
                <c:pt idx="644">
                  <c:v>91.702920000000006</c:v>
                </c:pt>
                <c:pt idx="645">
                  <c:v>91.798929999999999</c:v>
                </c:pt>
                <c:pt idx="646">
                  <c:v>91.870400000000004</c:v>
                </c:pt>
                <c:pt idx="647">
                  <c:v>91.806330000000003</c:v>
                </c:pt>
                <c:pt idx="648">
                  <c:v>91.791120000000006</c:v>
                </c:pt>
                <c:pt idx="649">
                  <c:v>91.699950000000001</c:v>
                </c:pt>
                <c:pt idx="650">
                  <c:v>91.815770000000001</c:v>
                </c:pt>
                <c:pt idx="651">
                  <c:v>91.855559999999997</c:v>
                </c:pt>
                <c:pt idx="652">
                  <c:v>91.715739999999997</c:v>
                </c:pt>
                <c:pt idx="653">
                  <c:v>91.793710000000004</c:v>
                </c:pt>
                <c:pt idx="654">
                  <c:v>91.684349999999995</c:v>
                </c:pt>
                <c:pt idx="655">
                  <c:v>91.707679999999996</c:v>
                </c:pt>
                <c:pt idx="656">
                  <c:v>91.771860000000004</c:v>
                </c:pt>
                <c:pt idx="657">
                  <c:v>91.759910000000005</c:v>
                </c:pt>
                <c:pt idx="658">
                  <c:v>91.693449999999999</c:v>
                </c:pt>
                <c:pt idx="659">
                  <c:v>91.74033</c:v>
                </c:pt>
                <c:pt idx="660">
                  <c:v>91.757599999999996</c:v>
                </c:pt>
                <c:pt idx="661">
                  <c:v>91.550989999999999</c:v>
                </c:pt>
                <c:pt idx="662">
                  <c:v>91.566820000000007</c:v>
                </c:pt>
                <c:pt idx="663">
                  <c:v>91.708070000000006</c:v>
                </c:pt>
                <c:pt idx="664">
                  <c:v>91.543840000000003</c:v>
                </c:pt>
                <c:pt idx="665">
                  <c:v>91.657870000000003</c:v>
                </c:pt>
                <c:pt idx="666">
                  <c:v>91.515929999999997</c:v>
                </c:pt>
                <c:pt idx="667">
                  <c:v>91.503399999999999</c:v>
                </c:pt>
                <c:pt idx="668">
                  <c:v>91.548810000000003</c:v>
                </c:pt>
                <c:pt idx="669">
                  <c:v>91.48066</c:v>
                </c:pt>
                <c:pt idx="670">
                  <c:v>91.536280000000005</c:v>
                </c:pt>
                <c:pt idx="671">
                  <c:v>91.608009999999993</c:v>
                </c:pt>
                <c:pt idx="672">
                  <c:v>91.653459999999995</c:v>
                </c:pt>
                <c:pt idx="673">
                  <c:v>91.573160000000001</c:v>
                </c:pt>
                <c:pt idx="674">
                  <c:v>91.513599999999997</c:v>
                </c:pt>
                <c:pt idx="675">
                  <c:v>91.519319999999993</c:v>
                </c:pt>
                <c:pt idx="676">
                  <c:v>91.626339999999999</c:v>
                </c:pt>
                <c:pt idx="677">
                  <c:v>91.449380000000005</c:v>
                </c:pt>
                <c:pt idx="678">
                  <c:v>91.488560000000007</c:v>
                </c:pt>
                <c:pt idx="679">
                  <c:v>91.306920000000005</c:v>
                </c:pt>
                <c:pt idx="680">
                  <c:v>91.426169999999999</c:v>
                </c:pt>
                <c:pt idx="681">
                  <c:v>91.439880000000002</c:v>
                </c:pt>
                <c:pt idx="682">
                  <c:v>91.341149999999999</c:v>
                </c:pt>
                <c:pt idx="683">
                  <c:v>91.468050000000005</c:v>
                </c:pt>
                <c:pt idx="684">
                  <c:v>91.414699999999996</c:v>
                </c:pt>
                <c:pt idx="685">
                  <c:v>91.424899999999994</c:v>
                </c:pt>
                <c:pt idx="686">
                  <c:v>91.406959999999998</c:v>
                </c:pt>
                <c:pt idx="687">
                  <c:v>91.350980000000007</c:v>
                </c:pt>
                <c:pt idx="688">
                  <c:v>91.306399999999996</c:v>
                </c:pt>
                <c:pt idx="689">
                  <c:v>91.294489999999996</c:v>
                </c:pt>
                <c:pt idx="690">
                  <c:v>91.30556</c:v>
                </c:pt>
                <c:pt idx="691">
                  <c:v>91.404499999999999</c:v>
                </c:pt>
                <c:pt idx="692">
                  <c:v>91.442639999999997</c:v>
                </c:pt>
                <c:pt idx="693">
                  <c:v>91.42689</c:v>
                </c:pt>
                <c:pt idx="694">
                  <c:v>91.263040000000004</c:v>
                </c:pt>
                <c:pt idx="695">
                  <c:v>91.37321</c:v>
                </c:pt>
                <c:pt idx="696">
                  <c:v>91.233549999999994</c:v>
                </c:pt>
                <c:pt idx="697">
                  <c:v>91.353179999999995</c:v>
                </c:pt>
                <c:pt idx="698">
                  <c:v>91.315439999999995</c:v>
                </c:pt>
                <c:pt idx="699">
                  <c:v>91.349369999999993</c:v>
                </c:pt>
                <c:pt idx="700">
                  <c:v>91.311710000000005</c:v>
                </c:pt>
                <c:pt idx="701">
                  <c:v>91.217339999999993</c:v>
                </c:pt>
                <c:pt idx="702">
                  <c:v>91.245249999999999</c:v>
                </c:pt>
                <c:pt idx="703">
                  <c:v>91.124600000000001</c:v>
                </c:pt>
                <c:pt idx="704">
                  <c:v>91.25179</c:v>
                </c:pt>
                <c:pt idx="705">
                  <c:v>91.169280000000001</c:v>
                </c:pt>
                <c:pt idx="706">
                  <c:v>91.193110000000004</c:v>
                </c:pt>
                <c:pt idx="707">
                  <c:v>91.259169999999997</c:v>
                </c:pt>
                <c:pt idx="708">
                  <c:v>91.119500000000002</c:v>
                </c:pt>
                <c:pt idx="709">
                  <c:v>91.024510000000006</c:v>
                </c:pt>
                <c:pt idx="710">
                  <c:v>91.13691</c:v>
                </c:pt>
                <c:pt idx="711">
                  <c:v>91.083070000000006</c:v>
                </c:pt>
                <c:pt idx="712">
                  <c:v>91.090609999999998</c:v>
                </c:pt>
                <c:pt idx="713">
                  <c:v>91.148179999999996</c:v>
                </c:pt>
                <c:pt idx="714">
                  <c:v>91.126130000000003</c:v>
                </c:pt>
                <c:pt idx="715">
                  <c:v>90.987179999999995</c:v>
                </c:pt>
                <c:pt idx="716">
                  <c:v>91.049899999999994</c:v>
                </c:pt>
                <c:pt idx="717">
                  <c:v>91.163399999999996</c:v>
                </c:pt>
                <c:pt idx="718">
                  <c:v>91.062749999999994</c:v>
                </c:pt>
                <c:pt idx="719">
                  <c:v>91.089150000000004</c:v>
                </c:pt>
                <c:pt idx="720">
                  <c:v>90.991100000000003</c:v>
                </c:pt>
                <c:pt idx="721">
                  <c:v>91.093239999999994</c:v>
                </c:pt>
                <c:pt idx="722">
                  <c:v>91.082719999999995</c:v>
                </c:pt>
                <c:pt idx="723">
                  <c:v>91.016869999999997</c:v>
                </c:pt>
                <c:pt idx="724">
                  <c:v>91.055679999999995</c:v>
                </c:pt>
                <c:pt idx="725">
                  <c:v>91.01961</c:v>
                </c:pt>
                <c:pt idx="726">
                  <c:v>91.04298</c:v>
                </c:pt>
                <c:pt idx="727">
                  <c:v>90.944130000000001</c:v>
                </c:pt>
                <c:pt idx="728">
                  <c:v>90.99915</c:v>
                </c:pt>
                <c:pt idx="729">
                  <c:v>90.772319999999993</c:v>
                </c:pt>
                <c:pt idx="730">
                  <c:v>90.882959999999997</c:v>
                </c:pt>
                <c:pt idx="731">
                  <c:v>90.915019999999998</c:v>
                </c:pt>
                <c:pt idx="732">
                  <c:v>90.898200000000003</c:v>
                </c:pt>
                <c:pt idx="733">
                  <c:v>90.882549999999995</c:v>
                </c:pt>
                <c:pt idx="734">
                  <c:v>90.827860000000001</c:v>
                </c:pt>
                <c:pt idx="735">
                  <c:v>90.925569999999993</c:v>
                </c:pt>
                <c:pt idx="736">
                  <c:v>90.911280000000005</c:v>
                </c:pt>
                <c:pt idx="737">
                  <c:v>90.923640000000006</c:v>
                </c:pt>
                <c:pt idx="738">
                  <c:v>90.88158</c:v>
                </c:pt>
                <c:pt idx="739">
                  <c:v>90.805629999999994</c:v>
                </c:pt>
                <c:pt idx="740">
                  <c:v>90.890870000000007</c:v>
                </c:pt>
                <c:pt idx="741">
                  <c:v>90.810169999999999</c:v>
                </c:pt>
                <c:pt idx="742">
                  <c:v>90.873310000000004</c:v>
                </c:pt>
                <c:pt idx="743">
                  <c:v>90.754000000000005</c:v>
                </c:pt>
                <c:pt idx="744">
                  <c:v>90.856449999999995</c:v>
                </c:pt>
                <c:pt idx="745">
                  <c:v>90.827349999999996</c:v>
                </c:pt>
                <c:pt idx="746">
                  <c:v>90.782160000000005</c:v>
                </c:pt>
                <c:pt idx="747">
                  <c:v>90.704989999999995</c:v>
                </c:pt>
                <c:pt idx="748">
                  <c:v>90.650270000000006</c:v>
                </c:pt>
                <c:pt idx="749">
                  <c:v>90.766850000000005</c:v>
                </c:pt>
                <c:pt idx="750">
                  <c:v>90.759389999999996</c:v>
                </c:pt>
                <c:pt idx="751">
                  <c:v>90.61354</c:v>
                </c:pt>
                <c:pt idx="752">
                  <c:v>90.678839999999994</c:v>
                </c:pt>
                <c:pt idx="753">
                  <c:v>90.659239999999997</c:v>
                </c:pt>
                <c:pt idx="754">
                  <c:v>90.882769999999994</c:v>
                </c:pt>
                <c:pt idx="755">
                  <c:v>90.650559999999999</c:v>
                </c:pt>
                <c:pt idx="756">
                  <c:v>90.584389999999999</c:v>
                </c:pt>
                <c:pt idx="757">
                  <c:v>90.725859999999997</c:v>
                </c:pt>
                <c:pt idx="758">
                  <c:v>90.584050000000005</c:v>
                </c:pt>
                <c:pt idx="759">
                  <c:v>90.697950000000006</c:v>
                </c:pt>
                <c:pt idx="760">
                  <c:v>90.719139999999996</c:v>
                </c:pt>
                <c:pt idx="761">
                  <c:v>90.537289999999999</c:v>
                </c:pt>
                <c:pt idx="762">
                  <c:v>90.612430000000003</c:v>
                </c:pt>
                <c:pt idx="763">
                  <c:v>90.631370000000004</c:v>
                </c:pt>
                <c:pt idx="764">
                  <c:v>90.502769999999998</c:v>
                </c:pt>
                <c:pt idx="765">
                  <c:v>90.575559999999996</c:v>
                </c:pt>
                <c:pt idx="766">
                  <c:v>90.562010000000001</c:v>
                </c:pt>
                <c:pt idx="767">
                  <c:v>90.541979999999995</c:v>
                </c:pt>
                <c:pt idx="768">
                  <c:v>90.393600000000006</c:v>
                </c:pt>
                <c:pt idx="769">
                  <c:v>90.508359999999996</c:v>
                </c:pt>
                <c:pt idx="770">
                  <c:v>90.428210000000007</c:v>
                </c:pt>
                <c:pt idx="771">
                  <c:v>90.523830000000004</c:v>
                </c:pt>
                <c:pt idx="772">
                  <c:v>90.524370000000005</c:v>
                </c:pt>
                <c:pt idx="773">
                  <c:v>90.512680000000003</c:v>
                </c:pt>
                <c:pt idx="774">
                  <c:v>90.462959999999995</c:v>
                </c:pt>
                <c:pt idx="775">
                  <c:v>90.411940000000001</c:v>
                </c:pt>
                <c:pt idx="776">
                  <c:v>90.554519999999997</c:v>
                </c:pt>
                <c:pt idx="777">
                  <c:v>90.351560000000006</c:v>
                </c:pt>
                <c:pt idx="778">
                  <c:v>90.410110000000003</c:v>
                </c:pt>
                <c:pt idx="779">
                  <c:v>90.413970000000006</c:v>
                </c:pt>
                <c:pt idx="780">
                  <c:v>90.501000000000005</c:v>
                </c:pt>
                <c:pt idx="781">
                  <c:v>90.304500000000004</c:v>
                </c:pt>
                <c:pt idx="782">
                  <c:v>90.404340000000005</c:v>
                </c:pt>
                <c:pt idx="783">
                  <c:v>90.261870000000002</c:v>
                </c:pt>
                <c:pt idx="784">
                  <c:v>90.385419999999996</c:v>
                </c:pt>
                <c:pt idx="785">
                  <c:v>90.391530000000003</c:v>
                </c:pt>
                <c:pt idx="786">
                  <c:v>90.392330000000001</c:v>
                </c:pt>
                <c:pt idx="787">
                  <c:v>90.377070000000003</c:v>
                </c:pt>
                <c:pt idx="788">
                  <c:v>90.312219999999996</c:v>
                </c:pt>
                <c:pt idx="789">
                  <c:v>90.500129999999999</c:v>
                </c:pt>
                <c:pt idx="790">
                  <c:v>90.367689999999996</c:v>
                </c:pt>
                <c:pt idx="791">
                  <c:v>90.363529999999997</c:v>
                </c:pt>
                <c:pt idx="792">
                  <c:v>90.161779999999993</c:v>
                </c:pt>
                <c:pt idx="793">
                  <c:v>90.171099999999996</c:v>
                </c:pt>
                <c:pt idx="794">
                  <c:v>90.219800000000006</c:v>
                </c:pt>
                <c:pt idx="795">
                  <c:v>90.259029999999996</c:v>
                </c:pt>
                <c:pt idx="796">
                  <c:v>90.323409999999996</c:v>
                </c:pt>
                <c:pt idx="797">
                  <c:v>90.237170000000006</c:v>
                </c:pt>
                <c:pt idx="798">
                  <c:v>90.286770000000004</c:v>
                </c:pt>
                <c:pt idx="799">
                  <c:v>90.236289999999997</c:v>
                </c:pt>
                <c:pt idx="800">
                  <c:v>90.134060000000005</c:v>
                </c:pt>
                <c:pt idx="801">
                  <c:v>90.277330000000006</c:v>
                </c:pt>
                <c:pt idx="802">
                  <c:v>90.165890000000005</c:v>
                </c:pt>
                <c:pt idx="803">
                  <c:v>90.227130000000002</c:v>
                </c:pt>
                <c:pt idx="804">
                  <c:v>90.206100000000006</c:v>
                </c:pt>
                <c:pt idx="805">
                  <c:v>90.140990000000002</c:v>
                </c:pt>
                <c:pt idx="806">
                  <c:v>90.058059999999998</c:v>
                </c:pt>
                <c:pt idx="807">
                  <c:v>90.206010000000006</c:v>
                </c:pt>
                <c:pt idx="808">
                  <c:v>90.008970000000005</c:v>
                </c:pt>
                <c:pt idx="809">
                  <c:v>90.111890000000002</c:v>
                </c:pt>
                <c:pt idx="810">
                  <c:v>90.063659999999999</c:v>
                </c:pt>
                <c:pt idx="811">
                  <c:v>90.104659999999996</c:v>
                </c:pt>
                <c:pt idx="812">
                  <c:v>90.146680000000003</c:v>
                </c:pt>
                <c:pt idx="813">
                  <c:v>90.003590000000003</c:v>
                </c:pt>
                <c:pt idx="814">
                  <c:v>89.965310000000002</c:v>
                </c:pt>
                <c:pt idx="815">
                  <c:v>90.088300000000004</c:v>
                </c:pt>
                <c:pt idx="816">
                  <c:v>90.040379999999999</c:v>
                </c:pt>
                <c:pt idx="817">
                  <c:v>89.93441</c:v>
                </c:pt>
                <c:pt idx="818">
                  <c:v>89.913780000000003</c:v>
                </c:pt>
                <c:pt idx="819">
                  <c:v>89.995490000000004</c:v>
                </c:pt>
                <c:pt idx="820">
                  <c:v>89.997749999999996</c:v>
                </c:pt>
                <c:pt idx="821">
                  <c:v>89.911090000000002</c:v>
                </c:pt>
                <c:pt idx="822">
                  <c:v>89.911770000000004</c:v>
                </c:pt>
                <c:pt idx="823">
                  <c:v>90.001159999999999</c:v>
                </c:pt>
                <c:pt idx="824">
                  <c:v>90.001720000000006</c:v>
                </c:pt>
                <c:pt idx="825">
                  <c:v>89.92859</c:v>
                </c:pt>
                <c:pt idx="826">
                  <c:v>89.951660000000004</c:v>
                </c:pt>
                <c:pt idx="827">
                  <c:v>89.904880000000006</c:v>
                </c:pt>
                <c:pt idx="828">
                  <c:v>89.83426</c:v>
                </c:pt>
                <c:pt idx="829">
                  <c:v>89.822860000000006</c:v>
                </c:pt>
                <c:pt idx="830">
                  <c:v>89.845849999999999</c:v>
                </c:pt>
                <c:pt idx="831">
                  <c:v>89.842470000000006</c:v>
                </c:pt>
                <c:pt idx="832">
                  <c:v>89.854929999999996</c:v>
                </c:pt>
                <c:pt idx="833">
                  <c:v>89.807360000000003</c:v>
                </c:pt>
                <c:pt idx="834">
                  <c:v>89.886920000000003</c:v>
                </c:pt>
                <c:pt idx="835">
                  <c:v>89.858930000000001</c:v>
                </c:pt>
                <c:pt idx="836">
                  <c:v>89.89461</c:v>
                </c:pt>
                <c:pt idx="837">
                  <c:v>89.857200000000006</c:v>
                </c:pt>
                <c:pt idx="838">
                  <c:v>89.782499999999999</c:v>
                </c:pt>
                <c:pt idx="839">
                  <c:v>89.754329999999996</c:v>
                </c:pt>
                <c:pt idx="840">
                  <c:v>89.744569999999996</c:v>
                </c:pt>
                <c:pt idx="841">
                  <c:v>89.632459999999995</c:v>
                </c:pt>
                <c:pt idx="842">
                  <c:v>89.904290000000003</c:v>
                </c:pt>
                <c:pt idx="843">
                  <c:v>89.611609999999999</c:v>
                </c:pt>
                <c:pt idx="844">
                  <c:v>89.752459999999999</c:v>
                </c:pt>
                <c:pt idx="845">
                  <c:v>89.743219999999994</c:v>
                </c:pt>
                <c:pt idx="846">
                  <c:v>89.624930000000006</c:v>
                </c:pt>
                <c:pt idx="847">
                  <c:v>89.804209999999998</c:v>
                </c:pt>
                <c:pt idx="848">
                  <c:v>89.640259999999998</c:v>
                </c:pt>
                <c:pt idx="849">
                  <c:v>89.744029999999995</c:v>
                </c:pt>
                <c:pt idx="850">
                  <c:v>89.629649999999998</c:v>
                </c:pt>
                <c:pt idx="851">
                  <c:v>89.642300000000006</c:v>
                </c:pt>
                <c:pt idx="852">
                  <c:v>89.598590000000002</c:v>
                </c:pt>
                <c:pt idx="853">
                  <c:v>89.649169999999998</c:v>
                </c:pt>
                <c:pt idx="854">
                  <c:v>89.576490000000007</c:v>
                </c:pt>
                <c:pt idx="855">
                  <c:v>89.625190000000003</c:v>
                </c:pt>
                <c:pt idx="856">
                  <c:v>89.474890000000002</c:v>
                </c:pt>
                <c:pt idx="857">
                  <c:v>89.57687</c:v>
                </c:pt>
                <c:pt idx="858">
                  <c:v>89.564310000000006</c:v>
                </c:pt>
                <c:pt idx="859">
                  <c:v>89.550619999999995</c:v>
                </c:pt>
                <c:pt idx="860">
                  <c:v>89.519369999999995</c:v>
                </c:pt>
                <c:pt idx="861">
                  <c:v>89.572469999999996</c:v>
                </c:pt>
                <c:pt idx="862">
                  <c:v>89.669960000000003</c:v>
                </c:pt>
                <c:pt idx="863">
                  <c:v>89.584990000000005</c:v>
                </c:pt>
                <c:pt idx="864">
                  <c:v>89.572540000000004</c:v>
                </c:pt>
                <c:pt idx="865">
                  <c:v>89.578710000000001</c:v>
                </c:pt>
                <c:pt idx="866">
                  <c:v>89.53828</c:v>
                </c:pt>
                <c:pt idx="867">
                  <c:v>89.538300000000007</c:v>
                </c:pt>
                <c:pt idx="868">
                  <c:v>89.50367</c:v>
                </c:pt>
                <c:pt idx="869">
                  <c:v>89.466080000000005</c:v>
                </c:pt>
                <c:pt idx="870">
                  <c:v>89.437039999999996</c:v>
                </c:pt>
                <c:pt idx="871">
                  <c:v>89.51491</c:v>
                </c:pt>
                <c:pt idx="872">
                  <c:v>89.507390000000001</c:v>
                </c:pt>
                <c:pt idx="873">
                  <c:v>89.429950000000005</c:v>
                </c:pt>
                <c:pt idx="874">
                  <c:v>89.531949999999995</c:v>
                </c:pt>
                <c:pt idx="875">
                  <c:v>89.36936</c:v>
                </c:pt>
                <c:pt idx="876">
                  <c:v>89.487939999999995</c:v>
                </c:pt>
                <c:pt idx="877">
                  <c:v>89.323220000000006</c:v>
                </c:pt>
                <c:pt idx="878">
                  <c:v>89.372590000000002</c:v>
                </c:pt>
                <c:pt idx="879">
                  <c:v>89.300809999999998</c:v>
                </c:pt>
                <c:pt idx="880">
                  <c:v>89.391630000000006</c:v>
                </c:pt>
                <c:pt idx="881">
                  <c:v>89.309880000000007</c:v>
                </c:pt>
                <c:pt idx="882">
                  <c:v>89.283169999999998</c:v>
                </c:pt>
                <c:pt idx="883">
                  <c:v>89.251940000000005</c:v>
                </c:pt>
                <c:pt idx="884">
                  <c:v>89.305139999999994</c:v>
                </c:pt>
                <c:pt idx="885">
                  <c:v>89.36788</c:v>
                </c:pt>
                <c:pt idx="886">
                  <c:v>89.467609999999993</c:v>
                </c:pt>
                <c:pt idx="887">
                  <c:v>89.36788</c:v>
                </c:pt>
                <c:pt idx="888">
                  <c:v>89.13682</c:v>
                </c:pt>
                <c:pt idx="889">
                  <c:v>89.28125</c:v>
                </c:pt>
                <c:pt idx="890">
                  <c:v>89.281639999999996</c:v>
                </c:pt>
                <c:pt idx="891">
                  <c:v>89.208529999999996</c:v>
                </c:pt>
                <c:pt idx="892">
                  <c:v>89.296679999999995</c:v>
                </c:pt>
                <c:pt idx="893">
                  <c:v>89.236350000000002</c:v>
                </c:pt>
                <c:pt idx="894">
                  <c:v>89.183369999999996</c:v>
                </c:pt>
                <c:pt idx="895">
                  <c:v>89.241020000000006</c:v>
                </c:pt>
                <c:pt idx="896">
                  <c:v>89.167720000000003</c:v>
                </c:pt>
                <c:pt idx="897">
                  <c:v>89.162840000000003</c:v>
                </c:pt>
                <c:pt idx="898">
                  <c:v>89.148269999999997</c:v>
                </c:pt>
                <c:pt idx="899">
                  <c:v>89.194739999999996</c:v>
                </c:pt>
                <c:pt idx="900">
                  <c:v>89.217070000000007</c:v>
                </c:pt>
                <c:pt idx="901">
                  <c:v>89.226070000000007</c:v>
                </c:pt>
                <c:pt idx="902">
                  <c:v>89.122649999999993</c:v>
                </c:pt>
                <c:pt idx="903">
                  <c:v>89.178269999999998</c:v>
                </c:pt>
                <c:pt idx="904">
                  <c:v>89.151330000000002</c:v>
                </c:pt>
                <c:pt idx="905">
                  <c:v>89.104500000000002</c:v>
                </c:pt>
                <c:pt idx="906">
                  <c:v>89.165400000000005</c:v>
                </c:pt>
                <c:pt idx="907">
                  <c:v>89.066429999999997</c:v>
                </c:pt>
                <c:pt idx="908">
                  <c:v>89.053100000000001</c:v>
                </c:pt>
                <c:pt idx="909">
                  <c:v>89.038849999999996</c:v>
                </c:pt>
                <c:pt idx="910">
                  <c:v>89.095910000000003</c:v>
                </c:pt>
                <c:pt idx="911">
                  <c:v>89.107680000000002</c:v>
                </c:pt>
                <c:pt idx="912">
                  <c:v>89.022229999999993</c:v>
                </c:pt>
                <c:pt idx="913">
                  <c:v>89.098519999999994</c:v>
                </c:pt>
                <c:pt idx="914">
                  <c:v>89.033600000000007</c:v>
                </c:pt>
                <c:pt idx="915">
                  <c:v>89.07544</c:v>
                </c:pt>
                <c:pt idx="916">
                  <c:v>88.926109999999994</c:v>
                </c:pt>
                <c:pt idx="917">
                  <c:v>89.03931</c:v>
                </c:pt>
                <c:pt idx="918">
                  <c:v>88.916179999999997</c:v>
                </c:pt>
                <c:pt idx="919">
                  <c:v>89.011750000000006</c:v>
                </c:pt>
                <c:pt idx="920">
                  <c:v>89.094660000000005</c:v>
                </c:pt>
                <c:pt idx="921">
                  <c:v>89.044550000000001</c:v>
                </c:pt>
                <c:pt idx="922">
                  <c:v>88.862470000000002</c:v>
                </c:pt>
                <c:pt idx="923">
                  <c:v>89.011170000000007</c:v>
                </c:pt>
                <c:pt idx="924">
                  <c:v>88.978999999999999</c:v>
                </c:pt>
                <c:pt idx="925">
                  <c:v>89.026600000000002</c:v>
                </c:pt>
                <c:pt idx="926">
                  <c:v>88.997079999999997</c:v>
                </c:pt>
                <c:pt idx="927">
                  <c:v>88.900700000000001</c:v>
                </c:pt>
                <c:pt idx="928">
                  <c:v>88.959689999999995</c:v>
                </c:pt>
                <c:pt idx="929">
                  <c:v>89.028599999999997</c:v>
                </c:pt>
                <c:pt idx="930">
                  <c:v>89.031959999999998</c:v>
                </c:pt>
                <c:pt idx="931">
                  <c:v>88.952280000000002</c:v>
                </c:pt>
                <c:pt idx="932">
                  <c:v>88.853189999999998</c:v>
                </c:pt>
                <c:pt idx="933">
                  <c:v>88.898039999999995</c:v>
                </c:pt>
                <c:pt idx="934">
                  <c:v>88.787409999999994</c:v>
                </c:pt>
                <c:pt idx="935">
                  <c:v>88.809200000000004</c:v>
                </c:pt>
                <c:pt idx="936">
                  <c:v>88.758660000000006</c:v>
                </c:pt>
                <c:pt idx="937">
                  <c:v>88.7714</c:v>
                </c:pt>
                <c:pt idx="938">
                  <c:v>88.812730000000002</c:v>
                </c:pt>
                <c:pt idx="939">
                  <c:v>88.686130000000006</c:v>
                </c:pt>
                <c:pt idx="940">
                  <c:v>88.829710000000006</c:v>
                </c:pt>
                <c:pt idx="941">
                  <c:v>88.737210000000005</c:v>
                </c:pt>
                <c:pt idx="942">
                  <c:v>88.791020000000003</c:v>
                </c:pt>
                <c:pt idx="943">
                  <c:v>88.8506</c:v>
                </c:pt>
                <c:pt idx="944">
                  <c:v>88.758120000000005</c:v>
                </c:pt>
                <c:pt idx="945">
                  <c:v>88.654200000000003</c:v>
                </c:pt>
                <c:pt idx="946">
                  <c:v>88.800389999999993</c:v>
                </c:pt>
                <c:pt idx="947">
                  <c:v>88.679280000000006</c:v>
                </c:pt>
                <c:pt idx="948">
                  <c:v>88.637090000000001</c:v>
                </c:pt>
                <c:pt idx="949">
                  <c:v>88.615790000000004</c:v>
                </c:pt>
                <c:pt idx="950">
                  <c:v>88.792689999999993</c:v>
                </c:pt>
                <c:pt idx="951">
                  <c:v>88.661109999999994</c:v>
                </c:pt>
                <c:pt idx="952">
                  <c:v>88.682879999999997</c:v>
                </c:pt>
                <c:pt idx="953">
                  <c:v>88.641210000000001</c:v>
                </c:pt>
                <c:pt idx="954">
                  <c:v>88.637280000000004</c:v>
                </c:pt>
                <c:pt idx="955">
                  <c:v>88.575689999999994</c:v>
                </c:pt>
                <c:pt idx="956">
                  <c:v>88.586920000000006</c:v>
                </c:pt>
                <c:pt idx="957">
                  <c:v>88.515280000000004</c:v>
                </c:pt>
                <c:pt idx="958">
                  <c:v>88.57132</c:v>
                </c:pt>
                <c:pt idx="959">
                  <c:v>88.680019999999999</c:v>
                </c:pt>
                <c:pt idx="960">
                  <c:v>88.651229999999998</c:v>
                </c:pt>
                <c:pt idx="961">
                  <c:v>88.573859999999996</c:v>
                </c:pt>
                <c:pt idx="962">
                  <c:v>88.570899999999995</c:v>
                </c:pt>
                <c:pt idx="963">
                  <c:v>88.639039999999994</c:v>
                </c:pt>
                <c:pt idx="964">
                  <c:v>88.581890000000001</c:v>
                </c:pt>
                <c:pt idx="965">
                  <c:v>88.581789999999998</c:v>
                </c:pt>
                <c:pt idx="966">
                  <c:v>88.439080000000004</c:v>
                </c:pt>
                <c:pt idx="967">
                  <c:v>88.576840000000004</c:v>
                </c:pt>
                <c:pt idx="968">
                  <c:v>88.500259999999997</c:v>
                </c:pt>
                <c:pt idx="969">
                  <c:v>88.529160000000005</c:v>
                </c:pt>
                <c:pt idx="970">
                  <c:v>88.508510000000001</c:v>
                </c:pt>
                <c:pt idx="971">
                  <c:v>88.482299999999995</c:v>
                </c:pt>
                <c:pt idx="972">
                  <c:v>88.483329999999995</c:v>
                </c:pt>
                <c:pt idx="973">
                  <c:v>88.412530000000004</c:v>
                </c:pt>
                <c:pt idx="974">
                  <c:v>88.521010000000004</c:v>
                </c:pt>
                <c:pt idx="975">
                  <c:v>88.352549999999994</c:v>
                </c:pt>
                <c:pt idx="976">
                  <c:v>88.485259999999997</c:v>
                </c:pt>
                <c:pt idx="977">
                  <c:v>88.421319999999994</c:v>
                </c:pt>
                <c:pt idx="978">
                  <c:v>88.383269999999996</c:v>
                </c:pt>
                <c:pt idx="979">
                  <c:v>88.319730000000007</c:v>
                </c:pt>
                <c:pt idx="980">
                  <c:v>88.344250000000002</c:v>
                </c:pt>
                <c:pt idx="981">
                  <c:v>88.544380000000004</c:v>
                </c:pt>
                <c:pt idx="982">
                  <c:v>88.301959999999994</c:v>
                </c:pt>
                <c:pt idx="983">
                  <c:v>88.391559999999998</c:v>
                </c:pt>
                <c:pt idx="984">
                  <c:v>88.304450000000003</c:v>
                </c:pt>
                <c:pt idx="985">
                  <c:v>88.323049999999995</c:v>
                </c:pt>
                <c:pt idx="986">
                  <c:v>88.376930000000002</c:v>
                </c:pt>
                <c:pt idx="987">
                  <c:v>88.425179999999997</c:v>
                </c:pt>
                <c:pt idx="988">
                  <c:v>88.364779999999996</c:v>
                </c:pt>
                <c:pt idx="989">
                  <c:v>88.306020000000004</c:v>
                </c:pt>
                <c:pt idx="990">
                  <c:v>88.327370000000002</c:v>
                </c:pt>
                <c:pt idx="991">
                  <c:v>88.360669999999999</c:v>
                </c:pt>
                <c:pt idx="992">
                  <c:v>88.33681</c:v>
                </c:pt>
                <c:pt idx="993">
                  <c:v>88.313469999999995</c:v>
                </c:pt>
                <c:pt idx="994">
                  <c:v>88.246970000000005</c:v>
                </c:pt>
                <c:pt idx="995">
                  <c:v>88.235420000000005</c:v>
                </c:pt>
                <c:pt idx="996">
                  <c:v>88.270129999999995</c:v>
                </c:pt>
                <c:pt idx="997">
                  <c:v>88.227170000000001</c:v>
                </c:pt>
                <c:pt idx="998">
                  <c:v>88.192620000000005</c:v>
                </c:pt>
                <c:pt idx="999">
                  <c:v>88.301259999999999</c:v>
                </c:pt>
                <c:pt idx="1000">
                  <c:v>88.278570000000002</c:v>
                </c:pt>
                <c:pt idx="1001">
                  <c:v>88.140079999999998</c:v>
                </c:pt>
                <c:pt idx="1002">
                  <c:v>88.239080000000001</c:v>
                </c:pt>
                <c:pt idx="1003">
                  <c:v>88.099090000000004</c:v>
                </c:pt>
                <c:pt idx="1004">
                  <c:v>88.268960000000007</c:v>
                </c:pt>
                <c:pt idx="1005">
                  <c:v>88.189409999999995</c:v>
                </c:pt>
                <c:pt idx="1006">
                  <c:v>88.134460000000004</c:v>
                </c:pt>
                <c:pt idx="1007">
                  <c:v>88.119330000000005</c:v>
                </c:pt>
                <c:pt idx="1008">
                  <c:v>88.139380000000003</c:v>
                </c:pt>
                <c:pt idx="1009">
                  <c:v>88.112970000000004</c:v>
                </c:pt>
                <c:pt idx="1010">
                  <c:v>88.028329999999997</c:v>
                </c:pt>
                <c:pt idx="1011">
                  <c:v>88.057050000000004</c:v>
                </c:pt>
                <c:pt idx="1012">
                  <c:v>88.00309</c:v>
                </c:pt>
                <c:pt idx="1013">
                  <c:v>88.126300000000001</c:v>
                </c:pt>
                <c:pt idx="1014">
                  <c:v>88.098050000000001</c:v>
                </c:pt>
                <c:pt idx="1015">
                  <c:v>88.111469999999997</c:v>
                </c:pt>
                <c:pt idx="1016">
                  <c:v>87.988860000000003</c:v>
                </c:pt>
                <c:pt idx="1017">
                  <c:v>88.107960000000006</c:v>
                </c:pt>
                <c:pt idx="1018">
                  <c:v>87.887960000000007</c:v>
                </c:pt>
                <c:pt idx="1019">
                  <c:v>87.978440000000006</c:v>
                </c:pt>
                <c:pt idx="1020">
                  <c:v>88.035020000000003</c:v>
                </c:pt>
                <c:pt idx="1021">
                  <c:v>87.878280000000004</c:v>
                </c:pt>
                <c:pt idx="1022">
                  <c:v>88.05986</c:v>
                </c:pt>
                <c:pt idx="1023">
                  <c:v>88.040530000000004</c:v>
                </c:pt>
                <c:pt idx="1024">
                  <c:v>88.046840000000003</c:v>
                </c:pt>
                <c:pt idx="1025">
                  <c:v>87.989310000000003</c:v>
                </c:pt>
                <c:pt idx="1026">
                  <c:v>88.024420000000006</c:v>
                </c:pt>
                <c:pt idx="1027">
                  <c:v>87.890519999999995</c:v>
                </c:pt>
                <c:pt idx="1028">
                  <c:v>87.950429999999997</c:v>
                </c:pt>
                <c:pt idx="1029">
                  <c:v>88.026690000000002</c:v>
                </c:pt>
                <c:pt idx="1030">
                  <c:v>87.951409999999996</c:v>
                </c:pt>
                <c:pt idx="1031">
                  <c:v>87.896460000000005</c:v>
                </c:pt>
                <c:pt idx="1032">
                  <c:v>87.888729999999995</c:v>
                </c:pt>
                <c:pt idx="1033">
                  <c:v>88.001549999999995</c:v>
                </c:pt>
                <c:pt idx="1034">
                  <c:v>87.831940000000003</c:v>
                </c:pt>
                <c:pt idx="1035">
                  <c:v>87.870590000000007</c:v>
                </c:pt>
                <c:pt idx="1036">
                  <c:v>87.843450000000004</c:v>
                </c:pt>
                <c:pt idx="1037">
                  <c:v>87.776489999999995</c:v>
                </c:pt>
                <c:pt idx="1038">
                  <c:v>87.916110000000003</c:v>
                </c:pt>
                <c:pt idx="1039">
                  <c:v>87.754900000000006</c:v>
                </c:pt>
                <c:pt idx="1040">
                  <c:v>87.73039</c:v>
                </c:pt>
                <c:pt idx="1041">
                  <c:v>87.685879999999997</c:v>
                </c:pt>
                <c:pt idx="1042">
                  <c:v>87.841099999999997</c:v>
                </c:pt>
                <c:pt idx="1043">
                  <c:v>87.836209999999994</c:v>
                </c:pt>
                <c:pt idx="1044">
                  <c:v>87.631060000000005</c:v>
                </c:pt>
                <c:pt idx="1045">
                  <c:v>87.83493</c:v>
                </c:pt>
                <c:pt idx="1046">
                  <c:v>87.762280000000004</c:v>
                </c:pt>
                <c:pt idx="1047">
                  <c:v>87.791179999999997</c:v>
                </c:pt>
                <c:pt idx="1048">
                  <c:v>87.65428</c:v>
                </c:pt>
                <c:pt idx="1049">
                  <c:v>87.771820000000005</c:v>
                </c:pt>
                <c:pt idx="1050">
                  <c:v>87.813630000000003</c:v>
                </c:pt>
                <c:pt idx="1051">
                  <c:v>87.644170000000003</c:v>
                </c:pt>
                <c:pt idx="1052">
                  <c:v>87.629099999999994</c:v>
                </c:pt>
                <c:pt idx="1053">
                  <c:v>87.618200000000002</c:v>
                </c:pt>
                <c:pt idx="1054">
                  <c:v>87.66292</c:v>
                </c:pt>
                <c:pt idx="1055">
                  <c:v>87.679220000000001</c:v>
                </c:pt>
                <c:pt idx="1056">
                  <c:v>87.589460000000003</c:v>
                </c:pt>
                <c:pt idx="1057">
                  <c:v>87.667630000000003</c:v>
                </c:pt>
                <c:pt idx="1058">
                  <c:v>87.700999999999993</c:v>
                </c:pt>
                <c:pt idx="1059">
                  <c:v>87.60172</c:v>
                </c:pt>
                <c:pt idx="1060">
                  <c:v>87.658540000000002</c:v>
                </c:pt>
                <c:pt idx="1061">
                  <c:v>87.685599999999994</c:v>
                </c:pt>
                <c:pt idx="1062">
                  <c:v>87.664820000000006</c:v>
                </c:pt>
                <c:pt idx="1063">
                  <c:v>87.61103</c:v>
                </c:pt>
                <c:pt idx="1064">
                  <c:v>87.436359999999993</c:v>
                </c:pt>
                <c:pt idx="1065">
                  <c:v>87.623220000000003</c:v>
                </c:pt>
                <c:pt idx="1066">
                  <c:v>87.569400000000002</c:v>
                </c:pt>
                <c:pt idx="1067">
                  <c:v>87.471890000000002</c:v>
                </c:pt>
                <c:pt idx="1068">
                  <c:v>87.54074</c:v>
                </c:pt>
                <c:pt idx="1069">
                  <c:v>87.608559999999997</c:v>
                </c:pt>
                <c:pt idx="1070">
                  <c:v>87.481939999999994</c:v>
                </c:pt>
                <c:pt idx="1071">
                  <c:v>87.463729999999998</c:v>
                </c:pt>
                <c:pt idx="1072">
                  <c:v>87.484449999999995</c:v>
                </c:pt>
                <c:pt idx="1073">
                  <c:v>87.449839999999995</c:v>
                </c:pt>
                <c:pt idx="1074">
                  <c:v>87.482039999999998</c:v>
                </c:pt>
                <c:pt idx="1075">
                  <c:v>87.527180000000001</c:v>
                </c:pt>
                <c:pt idx="1076">
                  <c:v>87.557010000000005</c:v>
                </c:pt>
                <c:pt idx="1077">
                  <c:v>87.564580000000007</c:v>
                </c:pt>
                <c:pt idx="1078">
                  <c:v>87.440129999999996</c:v>
                </c:pt>
                <c:pt idx="1079">
                  <c:v>87.362949999999998</c:v>
                </c:pt>
                <c:pt idx="1080">
                  <c:v>87.463880000000003</c:v>
                </c:pt>
                <c:pt idx="1081">
                  <c:v>87.450010000000006</c:v>
                </c:pt>
                <c:pt idx="1082">
                  <c:v>87.416870000000003</c:v>
                </c:pt>
                <c:pt idx="1083">
                  <c:v>87.296989999999994</c:v>
                </c:pt>
                <c:pt idx="1084">
                  <c:v>87.420270000000002</c:v>
                </c:pt>
                <c:pt idx="1085">
                  <c:v>87.473470000000006</c:v>
                </c:pt>
                <c:pt idx="1086">
                  <c:v>87.268339999999995</c:v>
                </c:pt>
                <c:pt idx="1087">
                  <c:v>87.515770000000003</c:v>
                </c:pt>
                <c:pt idx="1088">
                  <c:v>87.410899999999998</c:v>
                </c:pt>
                <c:pt idx="1089">
                  <c:v>87.375860000000003</c:v>
                </c:pt>
                <c:pt idx="1090">
                  <c:v>87.411689999999993</c:v>
                </c:pt>
                <c:pt idx="1091">
                  <c:v>87.378360000000001</c:v>
                </c:pt>
                <c:pt idx="1092">
                  <c:v>87.388850000000005</c:v>
                </c:pt>
                <c:pt idx="1093">
                  <c:v>87.421120000000002</c:v>
                </c:pt>
                <c:pt idx="1094">
                  <c:v>87.309150000000002</c:v>
                </c:pt>
                <c:pt idx="1095">
                  <c:v>87.237579999999994</c:v>
                </c:pt>
                <c:pt idx="1096">
                  <c:v>87.393929999999997</c:v>
                </c:pt>
                <c:pt idx="1097">
                  <c:v>87.359470000000002</c:v>
                </c:pt>
                <c:pt idx="1098">
                  <c:v>87.299890000000005</c:v>
                </c:pt>
                <c:pt idx="1099">
                  <c:v>87.294020000000003</c:v>
                </c:pt>
                <c:pt idx="1100">
                  <c:v>87.29365</c:v>
                </c:pt>
                <c:pt idx="1101">
                  <c:v>87.161360000000002</c:v>
                </c:pt>
                <c:pt idx="1102">
                  <c:v>87.189660000000003</c:v>
                </c:pt>
                <c:pt idx="1103">
                  <c:v>87.270520000000005</c:v>
                </c:pt>
                <c:pt idx="1104">
                  <c:v>87.096149999999994</c:v>
                </c:pt>
                <c:pt idx="1105">
                  <c:v>87.234290000000001</c:v>
                </c:pt>
                <c:pt idx="1106">
                  <c:v>87.172970000000007</c:v>
                </c:pt>
                <c:pt idx="1107">
                  <c:v>87.304770000000005</c:v>
                </c:pt>
                <c:pt idx="1108">
                  <c:v>87.230469999999997</c:v>
                </c:pt>
                <c:pt idx="1109">
                  <c:v>87.219830000000002</c:v>
                </c:pt>
                <c:pt idx="1110">
                  <c:v>87.137950000000004</c:v>
                </c:pt>
                <c:pt idx="1111">
                  <c:v>87.149469999999994</c:v>
                </c:pt>
                <c:pt idx="1112">
                  <c:v>87.158119999999997</c:v>
                </c:pt>
                <c:pt idx="1113">
                  <c:v>87.159869999999998</c:v>
                </c:pt>
                <c:pt idx="1114">
                  <c:v>87.138599999999997</c:v>
                </c:pt>
                <c:pt idx="1115">
                  <c:v>87.153170000000003</c:v>
                </c:pt>
                <c:pt idx="1116">
                  <c:v>87.191410000000005</c:v>
                </c:pt>
                <c:pt idx="1117">
                  <c:v>87.060029999999998</c:v>
                </c:pt>
                <c:pt idx="1118">
                  <c:v>87.053449999999998</c:v>
                </c:pt>
                <c:pt idx="1119">
                  <c:v>87.065420000000003</c:v>
                </c:pt>
                <c:pt idx="1120">
                  <c:v>87.044330000000002</c:v>
                </c:pt>
                <c:pt idx="1121">
                  <c:v>87.079040000000006</c:v>
                </c:pt>
                <c:pt idx="1122">
                  <c:v>87.056200000000004</c:v>
                </c:pt>
                <c:pt idx="1123">
                  <c:v>87.009780000000006</c:v>
                </c:pt>
                <c:pt idx="1124">
                  <c:v>87.017480000000006</c:v>
                </c:pt>
                <c:pt idx="1125">
                  <c:v>87.149739999999994</c:v>
                </c:pt>
                <c:pt idx="1126">
                  <c:v>87.016040000000004</c:v>
                </c:pt>
                <c:pt idx="1127">
                  <c:v>87.078710000000001</c:v>
                </c:pt>
                <c:pt idx="1128">
                  <c:v>86.932090000000002</c:v>
                </c:pt>
                <c:pt idx="1129">
                  <c:v>87.009910000000005</c:v>
                </c:pt>
                <c:pt idx="1130">
                  <c:v>87.038480000000007</c:v>
                </c:pt>
                <c:pt idx="1131">
                  <c:v>86.910219999999995</c:v>
                </c:pt>
                <c:pt idx="1132">
                  <c:v>87.007729999999995</c:v>
                </c:pt>
                <c:pt idx="1133">
                  <c:v>87.044200000000004</c:v>
                </c:pt>
                <c:pt idx="1134">
                  <c:v>86.930800000000005</c:v>
                </c:pt>
                <c:pt idx="1135">
                  <c:v>86.933059999999998</c:v>
                </c:pt>
                <c:pt idx="1136">
                  <c:v>86.911580000000001</c:v>
                </c:pt>
                <c:pt idx="1137">
                  <c:v>87.044719999999998</c:v>
                </c:pt>
                <c:pt idx="1138">
                  <c:v>86.85145</c:v>
                </c:pt>
                <c:pt idx="1139">
                  <c:v>87.041700000000006</c:v>
                </c:pt>
                <c:pt idx="1140">
                  <c:v>86.906210000000002</c:v>
                </c:pt>
                <c:pt idx="1141">
                  <c:v>86.80359</c:v>
                </c:pt>
                <c:pt idx="1142">
                  <c:v>86.878200000000007</c:v>
                </c:pt>
                <c:pt idx="1143">
                  <c:v>86.900769999999994</c:v>
                </c:pt>
                <c:pt idx="1144">
                  <c:v>86.811539999999994</c:v>
                </c:pt>
                <c:pt idx="1145">
                  <c:v>86.806479999999993</c:v>
                </c:pt>
                <c:pt idx="1146">
                  <c:v>86.792410000000004</c:v>
                </c:pt>
                <c:pt idx="1147">
                  <c:v>86.748729999999995</c:v>
                </c:pt>
                <c:pt idx="1148">
                  <c:v>86.801379999999995</c:v>
                </c:pt>
                <c:pt idx="1149">
                  <c:v>86.82441</c:v>
                </c:pt>
                <c:pt idx="1150">
                  <c:v>86.711160000000007</c:v>
                </c:pt>
                <c:pt idx="1151">
                  <c:v>86.695220000000006</c:v>
                </c:pt>
                <c:pt idx="1152">
                  <c:v>86.732420000000005</c:v>
                </c:pt>
                <c:pt idx="1153">
                  <c:v>86.820610000000002</c:v>
                </c:pt>
                <c:pt idx="1154">
                  <c:v>86.781700000000001</c:v>
                </c:pt>
                <c:pt idx="1155">
                  <c:v>86.742750000000001</c:v>
                </c:pt>
                <c:pt idx="1156">
                  <c:v>86.799599999999998</c:v>
                </c:pt>
                <c:pt idx="1157">
                  <c:v>86.682850000000002</c:v>
                </c:pt>
                <c:pt idx="1158">
                  <c:v>86.864660000000001</c:v>
                </c:pt>
                <c:pt idx="1159">
                  <c:v>86.700090000000003</c:v>
                </c:pt>
                <c:pt idx="1160">
                  <c:v>86.624120000000005</c:v>
                </c:pt>
                <c:pt idx="1161">
                  <c:v>86.645070000000004</c:v>
                </c:pt>
                <c:pt idx="1162">
                  <c:v>86.665629999999993</c:v>
                </c:pt>
                <c:pt idx="1163">
                  <c:v>86.590159999999997</c:v>
                </c:pt>
                <c:pt idx="1164">
                  <c:v>86.635509999999996</c:v>
                </c:pt>
                <c:pt idx="1165">
                  <c:v>86.655019999999993</c:v>
                </c:pt>
                <c:pt idx="1166">
                  <c:v>86.703919999999997</c:v>
                </c:pt>
                <c:pt idx="1167">
                  <c:v>86.598039999999997</c:v>
                </c:pt>
                <c:pt idx="1168">
                  <c:v>86.696510000000004</c:v>
                </c:pt>
                <c:pt idx="1169">
                  <c:v>86.598950000000002</c:v>
                </c:pt>
                <c:pt idx="1170">
                  <c:v>86.685919999999996</c:v>
                </c:pt>
                <c:pt idx="1171">
                  <c:v>86.677880000000002</c:v>
                </c:pt>
                <c:pt idx="1172">
                  <c:v>86.642319999999998</c:v>
                </c:pt>
                <c:pt idx="1173">
                  <c:v>86.589330000000004</c:v>
                </c:pt>
                <c:pt idx="1174">
                  <c:v>86.487549999999999</c:v>
                </c:pt>
                <c:pt idx="1175">
                  <c:v>86.531899999999993</c:v>
                </c:pt>
                <c:pt idx="1176">
                  <c:v>86.40849</c:v>
                </c:pt>
                <c:pt idx="1177">
                  <c:v>86.536600000000007</c:v>
                </c:pt>
                <c:pt idx="1178">
                  <c:v>86.432990000000004</c:v>
                </c:pt>
                <c:pt idx="1179">
                  <c:v>86.521739999999994</c:v>
                </c:pt>
                <c:pt idx="1180">
                  <c:v>86.568209999999993</c:v>
                </c:pt>
                <c:pt idx="1181">
                  <c:v>86.571870000000004</c:v>
                </c:pt>
                <c:pt idx="1182">
                  <c:v>86.54477</c:v>
                </c:pt>
                <c:pt idx="1183">
                  <c:v>86.526390000000006</c:v>
                </c:pt>
                <c:pt idx="1184">
                  <c:v>86.446470000000005</c:v>
                </c:pt>
                <c:pt idx="1185">
                  <c:v>86.406170000000003</c:v>
                </c:pt>
                <c:pt idx="1186">
                  <c:v>86.502409999999998</c:v>
                </c:pt>
                <c:pt idx="1187">
                  <c:v>86.379360000000005</c:v>
                </c:pt>
                <c:pt idx="1188">
                  <c:v>86.417069999999995</c:v>
                </c:pt>
                <c:pt idx="1189">
                  <c:v>86.435820000000007</c:v>
                </c:pt>
                <c:pt idx="1190">
                  <c:v>86.328850000000003</c:v>
                </c:pt>
                <c:pt idx="1191">
                  <c:v>86.408770000000004</c:v>
                </c:pt>
                <c:pt idx="1192">
                  <c:v>86.375919999999994</c:v>
                </c:pt>
                <c:pt idx="1193">
                  <c:v>86.377430000000004</c:v>
                </c:pt>
                <c:pt idx="1194">
                  <c:v>86.367599999999996</c:v>
                </c:pt>
                <c:pt idx="1195">
                  <c:v>86.330680000000001</c:v>
                </c:pt>
                <c:pt idx="1196">
                  <c:v>86.362880000000004</c:v>
                </c:pt>
                <c:pt idx="1197">
                  <c:v>86.314070000000001</c:v>
                </c:pt>
                <c:pt idx="1198">
                  <c:v>86.313140000000004</c:v>
                </c:pt>
                <c:pt idx="1199">
                  <c:v>86.362300000000005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05-134C-943C-2EE21D924F1E}"/>
            </c:ext>
          </c:extLst>
        </c:ser>
        <c:ser>
          <c:idx val="1"/>
          <c:order val="1"/>
          <c:tx>
            <c:v>Sif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'250C (Sif)'!$C$212:$C$1411</c:f>
              <c:numCache>
                <c:formatCode>000,000</c:formatCode>
                <c:ptCount val="1200"/>
                <c:pt idx="0">
                  <c:v>94.559169999999995</c:v>
                </c:pt>
                <c:pt idx="1">
                  <c:v>94.692850000000007</c:v>
                </c:pt>
                <c:pt idx="2">
                  <c:v>94.857519999999994</c:v>
                </c:pt>
                <c:pt idx="3">
                  <c:v>94.961079999999995</c:v>
                </c:pt>
                <c:pt idx="4">
                  <c:v>95.031899999999993</c:v>
                </c:pt>
                <c:pt idx="5">
                  <c:v>95.045370000000005</c:v>
                </c:pt>
                <c:pt idx="6">
                  <c:v>95.060559999999995</c:v>
                </c:pt>
                <c:pt idx="7">
                  <c:v>95.06653</c:v>
                </c:pt>
                <c:pt idx="8">
                  <c:v>95.064329999999998</c:v>
                </c:pt>
                <c:pt idx="9">
                  <c:v>95.052710000000005</c:v>
                </c:pt>
                <c:pt idx="10">
                  <c:v>95.031620000000004</c:v>
                </c:pt>
                <c:pt idx="11">
                  <c:v>95.012730000000005</c:v>
                </c:pt>
                <c:pt idx="12">
                  <c:v>94.991669999999999</c:v>
                </c:pt>
                <c:pt idx="13">
                  <c:v>94.961010000000002</c:v>
                </c:pt>
                <c:pt idx="14">
                  <c:v>94.955100000000002</c:v>
                </c:pt>
                <c:pt idx="15">
                  <c:v>94.935929999999999</c:v>
                </c:pt>
                <c:pt idx="16">
                  <c:v>94.90531</c:v>
                </c:pt>
                <c:pt idx="17">
                  <c:v>94.886099999999999</c:v>
                </c:pt>
                <c:pt idx="18">
                  <c:v>94.841999999999999</c:v>
                </c:pt>
                <c:pt idx="19">
                  <c:v>94.830520000000007</c:v>
                </c:pt>
                <c:pt idx="20">
                  <c:v>94.788309999999996</c:v>
                </c:pt>
                <c:pt idx="21">
                  <c:v>94.770960000000002</c:v>
                </c:pt>
                <c:pt idx="22">
                  <c:v>94.74427</c:v>
                </c:pt>
                <c:pt idx="23">
                  <c:v>94.705439999999996</c:v>
                </c:pt>
                <c:pt idx="24">
                  <c:v>94.694280000000006</c:v>
                </c:pt>
                <c:pt idx="25">
                  <c:v>94.669460000000001</c:v>
                </c:pt>
                <c:pt idx="26">
                  <c:v>94.632930000000002</c:v>
                </c:pt>
                <c:pt idx="27">
                  <c:v>94.611739999999998</c:v>
                </c:pt>
                <c:pt idx="28">
                  <c:v>94.575699999999998</c:v>
                </c:pt>
                <c:pt idx="29">
                  <c:v>94.552629999999994</c:v>
                </c:pt>
                <c:pt idx="30">
                  <c:v>94.525509999999997</c:v>
                </c:pt>
                <c:pt idx="31">
                  <c:v>94.500510000000006</c:v>
                </c:pt>
                <c:pt idx="32">
                  <c:v>94.454539999999994</c:v>
                </c:pt>
                <c:pt idx="33">
                  <c:v>94.427769999999995</c:v>
                </c:pt>
                <c:pt idx="34">
                  <c:v>94.406570000000002</c:v>
                </c:pt>
                <c:pt idx="35">
                  <c:v>94.381870000000006</c:v>
                </c:pt>
                <c:pt idx="36">
                  <c:v>94.343389999999999</c:v>
                </c:pt>
                <c:pt idx="37">
                  <c:v>94.316559999999996</c:v>
                </c:pt>
                <c:pt idx="38">
                  <c:v>94.285899999999998</c:v>
                </c:pt>
                <c:pt idx="39">
                  <c:v>94.251350000000002</c:v>
                </c:pt>
                <c:pt idx="40">
                  <c:v>94.214969999999994</c:v>
                </c:pt>
                <c:pt idx="41">
                  <c:v>94.188029999999998</c:v>
                </c:pt>
                <c:pt idx="42">
                  <c:v>94.166989999999998</c:v>
                </c:pt>
                <c:pt idx="43">
                  <c:v>94.138409999999993</c:v>
                </c:pt>
                <c:pt idx="44">
                  <c:v>94.107680000000002</c:v>
                </c:pt>
                <c:pt idx="45">
                  <c:v>94.078800000000001</c:v>
                </c:pt>
                <c:pt idx="46">
                  <c:v>94.044439999999994</c:v>
                </c:pt>
                <c:pt idx="47">
                  <c:v>94.025040000000004</c:v>
                </c:pt>
                <c:pt idx="48">
                  <c:v>93.990520000000004</c:v>
                </c:pt>
                <c:pt idx="49">
                  <c:v>93.957819999999998</c:v>
                </c:pt>
                <c:pt idx="50">
                  <c:v>93.930909999999997</c:v>
                </c:pt>
                <c:pt idx="51">
                  <c:v>93.900509999999997</c:v>
                </c:pt>
                <c:pt idx="52">
                  <c:v>93.873689999999996</c:v>
                </c:pt>
                <c:pt idx="53">
                  <c:v>93.841130000000007</c:v>
                </c:pt>
                <c:pt idx="54">
                  <c:v>93.819890000000001</c:v>
                </c:pt>
                <c:pt idx="55">
                  <c:v>93.773949999999999</c:v>
                </c:pt>
                <c:pt idx="56">
                  <c:v>93.754750000000001</c:v>
                </c:pt>
                <c:pt idx="57">
                  <c:v>93.704840000000004</c:v>
                </c:pt>
                <c:pt idx="58">
                  <c:v>93.69153</c:v>
                </c:pt>
                <c:pt idx="59">
                  <c:v>93.668459999999996</c:v>
                </c:pt>
                <c:pt idx="60">
                  <c:v>93.647490000000005</c:v>
                </c:pt>
                <c:pt idx="61">
                  <c:v>93.626220000000004</c:v>
                </c:pt>
                <c:pt idx="62">
                  <c:v>93.589759999999998</c:v>
                </c:pt>
                <c:pt idx="63">
                  <c:v>93.559079999999994</c:v>
                </c:pt>
                <c:pt idx="64">
                  <c:v>93.536119999999997</c:v>
                </c:pt>
                <c:pt idx="65">
                  <c:v>93.497860000000003</c:v>
                </c:pt>
                <c:pt idx="66">
                  <c:v>93.468999999999994</c:v>
                </c:pt>
                <c:pt idx="67">
                  <c:v>93.430679999999995</c:v>
                </c:pt>
                <c:pt idx="68">
                  <c:v>93.407629999999997</c:v>
                </c:pt>
                <c:pt idx="69">
                  <c:v>93.382670000000005</c:v>
                </c:pt>
                <c:pt idx="70">
                  <c:v>93.340519999999998</c:v>
                </c:pt>
                <c:pt idx="71">
                  <c:v>93.307820000000007</c:v>
                </c:pt>
                <c:pt idx="72">
                  <c:v>93.286699999999996</c:v>
                </c:pt>
                <c:pt idx="73">
                  <c:v>93.256200000000007</c:v>
                </c:pt>
                <c:pt idx="74">
                  <c:v>93.221720000000005</c:v>
                </c:pt>
                <c:pt idx="75">
                  <c:v>93.204470000000001</c:v>
                </c:pt>
                <c:pt idx="76">
                  <c:v>93.173869999999994</c:v>
                </c:pt>
                <c:pt idx="77">
                  <c:v>93.141270000000006</c:v>
                </c:pt>
                <c:pt idx="78">
                  <c:v>93.102800000000002</c:v>
                </c:pt>
                <c:pt idx="79">
                  <c:v>93.072069999999997</c:v>
                </c:pt>
                <c:pt idx="80">
                  <c:v>93.029949999999999</c:v>
                </c:pt>
                <c:pt idx="81">
                  <c:v>93.012749999999997</c:v>
                </c:pt>
                <c:pt idx="82">
                  <c:v>92.981859999999998</c:v>
                </c:pt>
                <c:pt idx="83">
                  <c:v>92.97627</c:v>
                </c:pt>
                <c:pt idx="84">
                  <c:v>92.947519999999997</c:v>
                </c:pt>
                <c:pt idx="85">
                  <c:v>92.90155</c:v>
                </c:pt>
                <c:pt idx="86">
                  <c:v>92.872749999999996</c:v>
                </c:pt>
                <c:pt idx="87">
                  <c:v>92.853489999999994</c:v>
                </c:pt>
                <c:pt idx="88">
                  <c:v>92.834320000000005</c:v>
                </c:pt>
                <c:pt idx="89">
                  <c:v>92.815179999999998</c:v>
                </c:pt>
                <c:pt idx="90">
                  <c:v>92.788250000000005</c:v>
                </c:pt>
                <c:pt idx="91">
                  <c:v>92.759640000000005</c:v>
                </c:pt>
                <c:pt idx="92">
                  <c:v>92.728899999999996</c:v>
                </c:pt>
                <c:pt idx="93">
                  <c:v>92.702079999999995</c:v>
                </c:pt>
                <c:pt idx="94">
                  <c:v>92.656090000000006</c:v>
                </c:pt>
                <c:pt idx="95">
                  <c:v>92.634870000000006</c:v>
                </c:pt>
                <c:pt idx="96">
                  <c:v>92.600440000000006</c:v>
                </c:pt>
                <c:pt idx="97">
                  <c:v>92.577439999999996</c:v>
                </c:pt>
                <c:pt idx="98">
                  <c:v>92.538910000000001</c:v>
                </c:pt>
                <c:pt idx="99">
                  <c:v>92.533259999999999</c:v>
                </c:pt>
                <c:pt idx="100">
                  <c:v>92.500709999999998</c:v>
                </c:pt>
                <c:pt idx="101">
                  <c:v>92.473910000000004</c:v>
                </c:pt>
                <c:pt idx="102">
                  <c:v>92.471869999999996</c:v>
                </c:pt>
                <c:pt idx="103">
                  <c:v>92.422190000000001</c:v>
                </c:pt>
                <c:pt idx="104">
                  <c:v>92.404839999999993</c:v>
                </c:pt>
                <c:pt idx="105">
                  <c:v>92.375969999999995</c:v>
                </c:pt>
                <c:pt idx="106">
                  <c:v>92.374319999999997</c:v>
                </c:pt>
                <c:pt idx="107">
                  <c:v>92.318550000000002</c:v>
                </c:pt>
                <c:pt idx="108">
                  <c:v>92.291719999999998</c:v>
                </c:pt>
                <c:pt idx="109">
                  <c:v>92.289990000000003</c:v>
                </c:pt>
                <c:pt idx="110">
                  <c:v>92.251499999999993</c:v>
                </c:pt>
                <c:pt idx="111">
                  <c:v>92.211280000000002</c:v>
                </c:pt>
                <c:pt idx="112">
                  <c:v>92.195890000000006</c:v>
                </c:pt>
                <c:pt idx="113">
                  <c:v>92.144000000000005</c:v>
                </c:pt>
                <c:pt idx="114">
                  <c:v>92.121039999999994</c:v>
                </c:pt>
                <c:pt idx="115">
                  <c:v>92.092380000000006</c:v>
                </c:pt>
                <c:pt idx="116">
                  <c:v>92.06362</c:v>
                </c:pt>
                <c:pt idx="117">
                  <c:v>92.031149999999997</c:v>
                </c:pt>
                <c:pt idx="118">
                  <c:v>92.007829999999998</c:v>
                </c:pt>
                <c:pt idx="119">
                  <c:v>91.986750000000001</c:v>
                </c:pt>
                <c:pt idx="120">
                  <c:v>91.935069999999996</c:v>
                </c:pt>
                <c:pt idx="121">
                  <c:v>91.925529999999995</c:v>
                </c:pt>
                <c:pt idx="122">
                  <c:v>91.902479999999997</c:v>
                </c:pt>
                <c:pt idx="123">
                  <c:v>91.883279999999999</c:v>
                </c:pt>
                <c:pt idx="124">
                  <c:v>91.854609999999994</c:v>
                </c:pt>
                <c:pt idx="125">
                  <c:v>91.831460000000007</c:v>
                </c:pt>
                <c:pt idx="126">
                  <c:v>91.818129999999996</c:v>
                </c:pt>
                <c:pt idx="127">
                  <c:v>91.783699999999996</c:v>
                </c:pt>
                <c:pt idx="128">
                  <c:v>91.758709999999994</c:v>
                </c:pt>
                <c:pt idx="129">
                  <c:v>91.743409999999997</c:v>
                </c:pt>
                <c:pt idx="130">
                  <c:v>91.700980000000001</c:v>
                </c:pt>
                <c:pt idx="131">
                  <c:v>91.697289999999995</c:v>
                </c:pt>
                <c:pt idx="132">
                  <c:v>91.653289999999998</c:v>
                </c:pt>
                <c:pt idx="133">
                  <c:v>91.630120000000005</c:v>
                </c:pt>
                <c:pt idx="134">
                  <c:v>91.603309999999993</c:v>
                </c:pt>
                <c:pt idx="135">
                  <c:v>91.568700000000007</c:v>
                </c:pt>
                <c:pt idx="136">
                  <c:v>91.555490000000006</c:v>
                </c:pt>
                <c:pt idx="137">
                  <c:v>91.5304</c:v>
                </c:pt>
                <c:pt idx="138">
                  <c:v>91.512900000000002</c:v>
                </c:pt>
                <c:pt idx="139">
                  <c:v>91.474879999999999</c:v>
                </c:pt>
                <c:pt idx="140">
                  <c:v>91.426919999999996</c:v>
                </c:pt>
                <c:pt idx="141">
                  <c:v>91.413669999999996</c:v>
                </c:pt>
                <c:pt idx="142">
                  <c:v>91.390420000000006</c:v>
                </c:pt>
                <c:pt idx="143">
                  <c:v>91.378900000000002</c:v>
                </c:pt>
                <c:pt idx="144">
                  <c:v>91.348389999999995</c:v>
                </c:pt>
                <c:pt idx="145">
                  <c:v>91.317689999999999</c:v>
                </c:pt>
                <c:pt idx="146">
                  <c:v>91.294520000000006</c:v>
                </c:pt>
                <c:pt idx="147">
                  <c:v>91.271969999999996</c:v>
                </c:pt>
                <c:pt idx="148">
                  <c:v>91.247010000000003</c:v>
                </c:pt>
                <c:pt idx="149">
                  <c:v>91.216239999999999</c:v>
                </c:pt>
                <c:pt idx="150">
                  <c:v>91.196759999999998</c:v>
                </c:pt>
                <c:pt idx="151">
                  <c:v>91.148939999999996</c:v>
                </c:pt>
                <c:pt idx="152">
                  <c:v>91.152820000000006</c:v>
                </c:pt>
                <c:pt idx="153">
                  <c:v>91.110309999999998</c:v>
                </c:pt>
                <c:pt idx="154">
                  <c:v>91.085480000000004</c:v>
                </c:pt>
                <c:pt idx="155">
                  <c:v>91.080010000000001</c:v>
                </c:pt>
                <c:pt idx="156">
                  <c:v>91.047259999999994</c:v>
                </c:pt>
                <c:pt idx="157">
                  <c:v>91.030209999999997</c:v>
                </c:pt>
                <c:pt idx="158">
                  <c:v>91.012730000000005</c:v>
                </c:pt>
                <c:pt idx="159">
                  <c:v>90.97063</c:v>
                </c:pt>
                <c:pt idx="160">
                  <c:v>90.953609999999998</c:v>
                </c:pt>
                <c:pt idx="161">
                  <c:v>90.918809999999993</c:v>
                </c:pt>
                <c:pt idx="162">
                  <c:v>90.903279999999995</c:v>
                </c:pt>
                <c:pt idx="163">
                  <c:v>90.888319999999993</c:v>
                </c:pt>
                <c:pt idx="164">
                  <c:v>90.863169999999997</c:v>
                </c:pt>
                <c:pt idx="165">
                  <c:v>90.832459999999998</c:v>
                </c:pt>
                <c:pt idx="166">
                  <c:v>90.805499999999995</c:v>
                </c:pt>
                <c:pt idx="167">
                  <c:v>90.79983</c:v>
                </c:pt>
                <c:pt idx="168">
                  <c:v>90.786680000000004</c:v>
                </c:pt>
                <c:pt idx="169">
                  <c:v>90.753799999999998</c:v>
                </c:pt>
                <c:pt idx="170">
                  <c:v>90.713560000000001</c:v>
                </c:pt>
                <c:pt idx="171">
                  <c:v>90.713639999999998</c:v>
                </c:pt>
                <c:pt idx="172">
                  <c:v>90.651920000000004</c:v>
                </c:pt>
                <c:pt idx="173">
                  <c:v>90.658069999999995</c:v>
                </c:pt>
                <c:pt idx="174">
                  <c:v>90.60436</c:v>
                </c:pt>
                <c:pt idx="175">
                  <c:v>90.602459999999994</c:v>
                </c:pt>
                <c:pt idx="176">
                  <c:v>90.583299999999994</c:v>
                </c:pt>
                <c:pt idx="177">
                  <c:v>90.5565</c:v>
                </c:pt>
                <c:pt idx="178">
                  <c:v>90.531580000000005</c:v>
                </c:pt>
                <c:pt idx="179">
                  <c:v>90.543040000000005</c:v>
                </c:pt>
                <c:pt idx="180">
                  <c:v>90.498829999999998</c:v>
                </c:pt>
                <c:pt idx="181">
                  <c:v>90.473939999999999</c:v>
                </c:pt>
                <c:pt idx="182">
                  <c:v>90.454800000000006</c:v>
                </c:pt>
                <c:pt idx="183">
                  <c:v>90.429879999999997</c:v>
                </c:pt>
                <c:pt idx="184">
                  <c:v>90.41825</c:v>
                </c:pt>
                <c:pt idx="185">
                  <c:v>90.395420000000001</c:v>
                </c:pt>
                <c:pt idx="186">
                  <c:v>90.378119999999996</c:v>
                </c:pt>
                <c:pt idx="187">
                  <c:v>90.337919999999997</c:v>
                </c:pt>
                <c:pt idx="188">
                  <c:v>90.307109999999994</c:v>
                </c:pt>
                <c:pt idx="189">
                  <c:v>90.282259999999994</c:v>
                </c:pt>
                <c:pt idx="190">
                  <c:v>90.265039999999999</c:v>
                </c:pt>
                <c:pt idx="191">
                  <c:v>90.247709999999998</c:v>
                </c:pt>
                <c:pt idx="192">
                  <c:v>90.213380000000001</c:v>
                </c:pt>
                <c:pt idx="193">
                  <c:v>90.216949999999997</c:v>
                </c:pt>
                <c:pt idx="194">
                  <c:v>90.195909999999998</c:v>
                </c:pt>
                <c:pt idx="195">
                  <c:v>90.163160000000005</c:v>
                </c:pt>
                <c:pt idx="196">
                  <c:v>90.134739999999994</c:v>
                </c:pt>
                <c:pt idx="197">
                  <c:v>90.117440000000002</c:v>
                </c:pt>
                <c:pt idx="198">
                  <c:v>90.086690000000004</c:v>
                </c:pt>
                <c:pt idx="199">
                  <c:v>90.069370000000006</c:v>
                </c:pt>
                <c:pt idx="200">
                  <c:v>90.042500000000004</c:v>
                </c:pt>
                <c:pt idx="201">
                  <c:v>90.021690000000007</c:v>
                </c:pt>
                <c:pt idx="202">
                  <c:v>89.996510000000001</c:v>
                </c:pt>
                <c:pt idx="203">
                  <c:v>89.960130000000007</c:v>
                </c:pt>
                <c:pt idx="204">
                  <c:v>89.962130000000002</c:v>
                </c:pt>
                <c:pt idx="205">
                  <c:v>89.935119999999998</c:v>
                </c:pt>
                <c:pt idx="206">
                  <c:v>89.900639999999996</c:v>
                </c:pt>
                <c:pt idx="207">
                  <c:v>89.891099999999994</c:v>
                </c:pt>
                <c:pt idx="208">
                  <c:v>89.862229999999997</c:v>
                </c:pt>
                <c:pt idx="209">
                  <c:v>89.856459999999998</c:v>
                </c:pt>
                <c:pt idx="210">
                  <c:v>89.814310000000006</c:v>
                </c:pt>
                <c:pt idx="211">
                  <c:v>89.799009999999996</c:v>
                </c:pt>
                <c:pt idx="212">
                  <c:v>89.787629999999993</c:v>
                </c:pt>
                <c:pt idx="213">
                  <c:v>89.776049999999998</c:v>
                </c:pt>
                <c:pt idx="214">
                  <c:v>89.749099999999999</c:v>
                </c:pt>
                <c:pt idx="215">
                  <c:v>89.735680000000002</c:v>
                </c:pt>
                <c:pt idx="216">
                  <c:v>89.708839999999995</c:v>
                </c:pt>
                <c:pt idx="217">
                  <c:v>89.676240000000007</c:v>
                </c:pt>
                <c:pt idx="218">
                  <c:v>89.651489999999995</c:v>
                </c:pt>
                <c:pt idx="219">
                  <c:v>89.626390000000001</c:v>
                </c:pt>
                <c:pt idx="220">
                  <c:v>89.605429999999998</c:v>
                </c:pt>
                <c:pt idx="221">
                  <c:v>89.599590000000006</c:v>
                </c:pt>
                <c:pt idx="222">
                  <c:v>89.578500000000005</c:v>
                </c:pt>
                <c:pt idx="223">
                  <c:v>89.549629999999993</c:v>
                </c:pt>
                <c:pt idx="224">
                  <c:v>89.523009999999999</c:v>
                </c:pt>
                <c:pt idx="225">
                  <c:v>89.490020000000001</c:v>
                </c:pt>
                <c:pt idx="226">
                  <c:v>89.480890000000002</c:v>
                </c:pt>
                <c:pt idx="227">
                  <c:v>89.453819999999993</c:v>
                </c:pt>
                <c:pt idx="228">
                  <c:v>89.423180000000002</c:v>
                </c:pt>
                <c:pt idx="229">
                  <c:v>89.405860000000004</c:v>
                </c:pt>
                <c:pt idx="230">
                  <c:v>89.386750000000006</c:v>
                </c:pt>
                <c:pt idx="231">
                  <c:v>89.359960000000001</c:v>
                </c:pt>
                <c:pt idx="232">
                  <c:v>89.344679999999997</c:v>
                </c:pt>
                <c:pt idx="233">
                  <c:v>89.310119999999998</c:v>
                </c:pt>
                <c:pt idx="234">
                  <c:v>89.28922</c:v>
                </c:pt>
                <c:pt idx="235">
                  <c:v>89.277360000000002</c:v>
                </c:pt>
                <c:pt idx="236">
                  <c:v>89.254469999999998</c:v>
                </c:pt>
                <c:pt idx="237">
                  <c:v>89.227649999999997</c:v>
                </c:pt>
                <c:pt idx="238">
                  <c:v>89.210380000000001</c:v>
                </c:pt>
                <c:pt idx="239">
                  <c:v>89.202680000000001</c:v>
                </c:pt>
                <c:pt idx="240">
                  <c:v>89.17783</c:v>
                </c:pt>
                <c:pt idx="241">
                  <c:v>89.1584</c:v>
                </c:pt>
                <c:pt idx="242">
                  <c:v>89.123850000000004</c:v>
                </c:pt>
                <c:pt idx="243">
                  <c:v>89.101179999999999</c:v>
                </c:pt>
                <c:pt idx="244">
                  <c:v>89.083749999999995</c:v>
                </c:pt>
                <c:pt idx="245">
                  <c:v>89.068629999999999</c:v>
                </c:pt>
                <c:pt idx="246">
                  <c:v>89.045540000000003</c:v>
                </c:pt>
                <c:pt idx="247">
                  <c:v>89.028329999999997</c:v>
                </c:pt>
                <c:pt idx="248">
                  <c:v>88.995599999999996</c:v>
                </c:pt>
                <c:pt idx="249">
                  <c:v>88.97457</c:v>
                </c:pt>
                <c:pt idx="250">
                  <c:v>88.972530000000006</c:v>
                </c:pt>
                <c:pt idx="251">
                  <c:v>88.938239999999993</c:v>
                </c:pt>
                <c:pt idx="252">
                  <c:v>88.916970000000006</c:v>
                </c:pt>
                <c:pt idx="253">
                  <c:v>88.894080000000002</c:v>
                </c:pt>
                <c:pt idx="254">
                  <c:v>88.886319999999998</c:v>
                </c:pt>
                <c:pt idx="255">
                  <c:v>88.847890000000007</c:v>
                </c:pt>
                <c:pt idx="256">
                  <c:v>88.830539999999999</c:v>
                </c:pt>
                <c:pt idx="257">
                  <c:v>88.815380000000005</c:v>
                </c:pt>
                <c:pt idx="258">
                  <c:v>88.786469999999994</c:v>
                </c:pt>
                <c:pt idx="259">
                  <c:v>88.763540000000006</c:v>
                </c:pt>
                <c:pt idx="260">
                  <c:v>88.734809999999996</c:v>
                </c:pt>
                <c:pt idx="261">
                  <c:v>88.717680000000001</c:v>
                </c:pt>
                <c:pt idx="262">
                  <c:v>88.702190000000002</c:v>
                </c:pt>
                <c:pt idx="263">
                  <c:v>88.669529999999995</c:v>
                </c:pt>
                <c:pt idx="264">
                  <c:v>88.660070000000005</c:v>
                </c:pt>
                <c:pt idx="265">
                  <c:v>88.637</c:v>
                </c:pt>
                <c:pt idx="266">
                  <c:v>88.610249999999994</c:v>
                </c:pt>
                <c:pt idx="267">
                  <c:v>88.592920000000007</c:v>
                </c:pt>
                <c:pt idx="268">
                  <c:v>88.565969999999993</c:v>
                </c:pt>
                <c:pt idx="269">
                  <c:v>88.554559999999995</c:v>
                </c:pt>
                <c:pt idx="270">
                  <c:v>88.541160000000005</c:v>
                </c:pt>
                <c:pt idx="271">
                  <c:v>88.517979999999994</c:v>
                </c:pt>
                <c:pt idx="272">
                  <c:v>88.4953</c:v>
                </c:pt>
                <c:pt idx="273">
                  <c:v>88.479709999999997</c:v>
                </c:pt>
                <c:pt idx="274">
                  <c:v>88.422060000000002</c:v>
                </c:pt>
                <c:pt idx="275">
                  <c:v>88.418390000000002</c:v>
                </c:pt>
                <c:pt idx="276">
                  <c:v>88.391509999999997</c:v>
                </c:pt>
                <c:pt idx="277">
                  <c:v>88.378069999999994</c:v>
                </c:pt>
                <c:pt idx="278">
                  <c:v>88.347660000000005</c:v>
                </c:pt>
                <c:pt idx="279">
                  <c:v>88.334029999999998</c:v>
                </c:pt>
                <c:pt idx="280">
                  <c:v>88.309209999999993</c:v>
                </c:pt>
                <c:pt idx="281">
                  <c:v>88.282129999999995</c:v>
                </c:pt>
                <c:pt idx="282">
                  <c:v>88.269030000000001</c:v>
                </c:pt>
                <c:pt idx="283">
                  <c:v>88.251609999999999</c:v>
                </c:pt>
                <c:pt idx="284">
                  <c:v>88.230410000000006</c:v>
                </c:pt>
                <c:pt idx="285">
                  <c:v>88.217060000000004</c:v>
                </c:pt>
                <c:pt idx="286">
                  <c:v>88.186480000000003</c:v>
                </c:pt>
                <c:pt idx="287">
                  <c:v>88.155770000000004</c:v>
                </c:pt>
                <c:pt idx="288">
                  <c:v>88.140219999999999</c:v>
                </c:pt>
                <c:pt idx="289">
                  <c:v>88.111710000000002</c:v>
                </c:pt>
                <c:pt idx="290">
                  <c:v>88.088520000000003</c:v>
                </c:pt>
                <c:pt idx="291">
                  <c:v>88.065709999999996</c:v>
                </c:pt>
                <c:pt idx="292">
                  <c:v>88.052310000000006</c:v>
                </c:pt>
                <c:pt idx="293">
                  <c:v>88.040610000000001</c:v>
                </c:pt>
                <c:pt idx="294">
                  <c:v>88.021609999999995</c:v>
                </c:pt>
                <c:pt idx="295">
                  <c:v>87.979339999999993</c:v>
                </c:pt>
                <c:pt idx="296">
                  <c:v>87.963970000000003</c:v>
                </c:pt>
                <c:pt idx="297">
                  <c:v>87.946740000000005</c:v>
                </c:pt>
                <c:pt idx="298">
                  <c:v>87.944900000000004</c:v>
                </c:pt>
                <c:pt idx="299">
                  <c:v>87.912239999999997</c:v>
                </c:pt>
                <c:pt idx="300">
                  <c:v>87.889250000000004</c:v>
                </c:pt>
                <c:pt idx="301">
                  <c:v>87.862340000000003</c:v>
                </c:pt>
                <c:pt idx="302">
                  <c:v>87.837620000000001</c:v>
                </c:pt>
                <c:pt idx="303">
                  <c:v>87.810450000000003</c:v>
                </c:pt>
                <c:pt idx="304">
                  <c:v>87.795339999999996</c:v>
                </c:pt>
                <c:pt idx="305">
                  <c:v>87.785579999999996</c:v>
                </c:pt>
                <c:pt idx="306">
                  <c:v>87.762609999999995</c:v>
                </c:pt>
                <c:pt idx="307">
                  <c:v>87.741770000000002</c:v>
                </c:pt>
                <c:pt idx="308">
                  <c:v>87.709019999999995</c:v>
                </c:pt>
                <c:pt idx="309">
                  <c:v>87.701300000000003</c:v>
                </c:pt>
                <c:pt idx="310">
                  <c:v>87.669110000000003</c:v>
                </c:pt>
                <c:pt idx="311">
                  <c:v>87.637230000000002</c:v>
                </c:pt>
                <c:pt idx="312">
                  <c:v>87.64385</c:v>
                </c:pt>
                <c:pt idx="313">
                  <c:v>87.613060000000004</c:v>
                </c:pt>
                <c:pt idx="314">
                  <c:v>87.584379999999996</c:v>
                </c:pt>
                <c:pt idx="315">
                  <c:v>87.563419999999994</c:v>
                </c:pt>
                <c:pt idx="316">
                  <c:v>87.536429999999996</c:v>
                </c:pt>
                <c:pt idx="317">
                  <c:v>87.499920000000003</c:v>
                </c:pt>
                <c:pt idx="318">
                  <c:v>87.503889999999998</c:v>
                </c:pt>
                <c:pt idx="319">
                  <c:v>87.450090000000003</c:v>
                </c:pt>
                <c:pt idx="320">
                  <c:v>87.448059999999998</c:v>
                </c:pt>
                <c:pt idx="321">
                  <c:v>87.438659999999999</c:v>
                </c:pt>
                <c:pt idx="322">
                  <c:v>87.405950000000004</c:v>
                </c:pt>
                <c:pt idx="323">
                  <c:v>87.394530000000003</c:v>
                </c:pt>
                <c:pt idx="324">
                  <c:v>87.379260000000002</c:v>
                </c:pt>
                <c:pt idx="325">
                  <c:v>87.346630000000005</c:v>
                </c:pt>
                <c:pt idx="326">
                  <c:v>87.327529999999996</c:v>
                </c:pt>
                <c:pt idx="327">
                  <c:v>87.30453</c:v>
                </c:pt>
                <c:pt idx="328">
                  <c:v>87.283249999999995</c:v>
                </c:pt>
                <c:pt idx="329">
                  <c:v>87.264080000000007</c:v>
                </c:pt>
                <c:pt idx="330">
                  <c:v>87.241190000000003</c:v>
                </c:pt>
                <c:pt idx="331">
                  <c:v>87.208659999999995</c:v>
                </c:pt>
                <c:pt idx="332">
                  <c:v>87.193200000000004</c:v>
                </c:pt>
                <c:pt idx="333">
                  <c:v>87.174109999999999</c:v>
                </c:pt>
                <c:pt idx="334">
                  <c:v>87.145169999999993</c:v>
                </c:pt>
                <c:pt idx="335">
                  <c:v>87.116439999999997</c:v>
                </c:pt>
                <c:pt idx="336">
                  <c:v>87.110860000000002</c:v>
                </c:pt>
                <c:pt idx="337">
                  <c:v>87.104830000000007</c:v>
                </c:pt>
                <c:pt idx="338">
                  <c:v>87.074349999999995</c:v>
                </c:pt>
                <c:pt idx="339">
                  <c:v>87.083910000000003</c:v>
                </c:pt>
                <c:pt idx="340">
                  <c:v>87.055040000000005</c:v>
                </c:pt>
                <c:pt idx="341">
                  <c:v>87.015029999999996</c:v>
                </c:pt>
                <c:pt idx="342">
                  <c:v>87.010930000000002</c:v>
                </c:pt>
                <c:pt idx="343">
                  <c:v>86.972790000000003</c:v>
                </c:pt>
                <c:pt idx="344">
                  <c:v>86.942070000000001</c:v>
                </c:pt>
                <c:pt idx="345">
                  <c:v>86.949730000000002</c:v>
                </c:pt>
                <c:pt idx="346">
                  <c:v>86.922910000000002</c:v>
                </c:pt>
                <c:pt idx="347">
                  <c:v>86.897810000000007</c:v>
                </c:pt>
                <c:pt idx="348">
                  <c:v>86.876769999999993</c:v>
                </c:pt>
                <c:pt idx="349">
                  <c:v>86.851920000000007</c:v>
                </c:pt>
                <c:pt idx="350">
                  <c:v>86.844080000000005</c:v>
                </c:pt>
                <c:pt idx="351">
                  <c:v>86.834609999999998</c:v>
                </c:pt>
                <c:pt idx="352">
                  <c:v>86.802160000000001</c:v>
                </c:pt>
                <c:pt idx="353">
                  <c:v>86.786689999999993</c:v>
                </c:pt>
                <c:pt idx="354">
                  <c:v>86.769360000000006</c:v>
                </c:pt>
                <c:pt idx="355">
                  <c:v>86.734840000000005</c:v>
                </c:pt>
                <c:pt idx="356">
                  <c:v>86.729079999999996</c:v>
                </c:pt>
                <c:pt idx="357">
                  <c:v>86.692760000000007</c:v>
                </c:pt>
                <c:pt idx="358">
                  <c:v>86.671400000000006</c:v>
                </c:pt>
                <c:pt idx="359">
                  <c:v>86.652360000000002</c:v>
                </c:pt>
                <c:pt idx="360">
                  <c:v>86.633279999999999</c:v>
                </c:pt>
                <c:pt idx="361">
                  <c:v>86.604550000000003</c:v>
                </c:pt>
                <c:pt idx="362">
                  <c:v>86.598650000000006</c:v>
                </c:pt>
                <c:pt idx="363">
                  <c:v>86.581500000000005</c:v>
                </c:pt>
                <c:pt idx="364">
                  <c:v>86.556569999999994</c:v>
                </c:pt>
                <c:pt idx="365">
                  <c:v>86.547049999999999</c:v>
                </c:pt>
                <c:pt idx="366">
                  <c:v>86.499170000000007</c:v>
                </c:pt>
                <c:pt idx="367">
                  <c:v>86.493340000000003</c:v>
                </c:pt>
                <c:pt idx="368">
                  <c:v>86.470060000000004</c:v>
                </c:pt>
                <c:pt idx="369">
                  <c:v>86.45881</c:v>
                </c:pt>
                <c:pt idx="370">
                  <c:v>86.441469999999995</c:v>
                </c:pt>
                <c:pt idx="371">
                  <c:v>86.4148</c:v>
                </c:pt>
                <c:pt idx="372">
                  <c:v>86.414689999999993</c:v>
                </c:pt>
                <c:pt idx="373">
                  <c:v>86.374369999999999</c:v>
                </c:pt>
                <c:pt idx="374">
                  <c:v>86.364639999999994</c:v>
                </c:pt>
                <c:pt idx="375">
                  <c:v>86.332049999999995</c:v>
                </c:pt>
                <c:pt idx="376">
                  <c:v>86.316969999999998</c:v>
                </c:pt>
                <c:pt idx="377">
                  <c:v>86.274630000000002</c:v>
                </c:pt>
                <c:pt idx="378">
                  <c:v>86.276629999999997</c:v>
                </c:pt>
                <c:pt idx="379">
                  <c:v>86.24024</c:v>
                </c:pt>
                <c:pt idx="380">
                  <c:v>86.232299999999995</c:v>
                </c:pt>
                <c:pt idx="381">
                  <c:v>86.215260000000001</c:v>
                </c:pt>
                <c:pt idx="382">
                  <c:v>86.188469999999995</c:v>
                </c:pt>
                <c:pt idx="383">
                  <c:v>86.178629999999998</c:v>
                </c:pt>
                <c:pt idx="384">
                  <c:v>86.171009999999995</c:v>
                </c:pt>
                <c:pt idx="385">
                  <c:v>86.144149999999996</c:v>
                </c:pt>
                <c:pt idx="386">
                  <c:v>86.11354</c:v>
                </c:pt>
                <c:pt idx="387">
                  <c:v>86.092510000000004</c:v>
                </c:pt>
                <c:pt idx="388">
                  <c:v>86.102230000000006</c:v>
                </c:pt>
                <c:pt idx="389">
                  <c:v>86.08887</c:v>
                </c:pt>
                <c:pt idx="390">
                  <c:v>86.052369999999996</c:v>
                </c:pt>
                <c:pt idx="391">
                  <c:v>86.040840000000003</c:v>
                </c:pt>
                <c:pt idx="392">
                  <c:v>86.002420000000001</c:v>
                </c:pt>
                <c:pt idx="393">
                  <c:v>85.996570000000006</c:v>
                </c:pt>
                <c:pt idx="394">
                  <c:v>85.975620000000006</c:v>
                </c:pt>
                <c:pt idx="395">
                  <c:v>85.942920000000001</c:v>
                </c:pt>
                <c:pt idx="396">
                  <c:v>85.941090000000003</c:v>
                </c:pt>
                <c:pt idx="397">
                  <c:v>85.927779999999998</c:v>
                </c:pt>
                <c:pt idx="398">
                  <c:v>85.927719999999994</c:v>
                </c:pt>
                <c:pt idx="399">
                  <c:v>85.904589999999999</c:v>
                </c:pt>
                <c:pt idx="400">
                  <c:v>85.883439999999993</c:v>
                </c:pt>
                <c:pt idx="401">
                  <c:v>85.864400000000003</c:v>
                </c:pt>
                <c:pt idx="402">
                  <c:v>85.845230000000001</c:v>
                </c:pt>
                <c:pt idx="403">
                  <c:v>85.826120000000003</c:v>
                </c:pt>
                <c:pt idx="404">
                  <c:v>85.822249999999997</c:v>
                </c:pt>
                <c:pt idx="405">
                  <c:v>85.793350000000004</c:v>
                </c:pt>
                <c:pt idx="406">
                  <c:v>85.753190000000004</c:v>
                </c:pt>
                <c:pt idx="407">
                  <c:v>85.735870000000006</c:v>
                </c:pt>
                <c:pt idx="408">
                  <c:v>85.751220000000004</c:v>
                </c:pt>
                <c:pt idx="409">
                  <c:v>85.720529999999997</c:v>
                </c:pt>
                <c:pt idx="410">
                  <c:v>85.695729999999998</c:v>
                </c:pt>
                <c:pt idx="411">
                  <c:v>85.682220000000001</c:v>
                </c:pt>
                <c:pt idx="412">
                  <c:v>85.651740000000004</c:v>
                </c:pt>
                <c:pt idx="413">
                  <c:v>85.639920000000004</c:v>
                </c:pt>
                <c:pt idx="414">
                  <c:v>85.619029999999995</c:v>
                </c:pt>
                <c:pt idx="415">
                  <c:v>85.609369999999998</c:v>
                </c:pt>
                <c:pt idx="416">
                  <c:v>85.59393</c:v>
                </c:pt>
                <c:pt idx="417">
                  <c:v>85.571079999999995</c:v>
                </c:pt>
                <c:pt idx="418">
                  <c:v>85.548029999999997</c:v>
                </c:pt>
                <c:pt idx="419">
                  <c:v>85.532870000000003</c:v>
                </c:pt>
                <c:pt idx="420">
                  <c:v>85.507369999999995</c:v>
                </c:pt>
                <c:pt idx="421">
                  <c:v>85.498000000000005</c:v>
                </c:pt>
                <c:pt idx="422">
                  <c:v>85.473230000000001</c:v>
                </c:pt>
                <c:pt idx="423">
                  <c:v>85.463729999999998</c:v>
                </c:pt>
                <c:pt idx="424">
                  <c:v>85.427239999999998</c:v>
                </c:pt>
                <c:pt idx="425">
                  <c:v>85.432980000000001</c:v>
                </c:pt>
                <c:pt idx="426">
                  <c:v>85.412049999999994</c:v>
                </c:pt>
                <c:pt idx="427">
                  <c:v>85.39246</c:v>
                </c:pt>
                <c:pt idx="428">
                  <c:v>85.375470000000007</c:v>
                </c:pt>
                <c:pt idx="429">
                  <c:v>85.352490000000003</c:v>
                </c:pt>
                <c:pt idx="430">
                  <c:v>85.344740000000002</c:v>
                </c:pt>
                <c:pt idx="431">
                  <c:v>85.335070000000002</c:v>
                </c:pt>
                <c:pt idx="432">
                  <c:v>85.304469999999995</c:v>
                </c:pt>
                <c:pt idx="433">
                  <c:v>85.300719999999998</c:v>
                </c:pt>
                <c:pt idx="434">
                  <c:v>85.285319999999999</c:v>
                </c:pt>
                <c:pt idx="435">
                  <c:v>85.271829999999994</c:v>
                </c:pt>
                <c:pt idx="436">
                  <c:v>85.231620000000007</c:v>
                </c:pt>
                <c:pt idx="437">
                  <c:v>85.239140000000006</c:v>
                </c:pt>
                <c:pt idx="438">
                  <c:v>85.220129999999997</c:v>
                </c:pt>
                <c:pt idx="439">
                  <c:v>85.19323</c:v>
                </c:pt>
                <c:pt idx="440">
                  <c:v>85.18356</c:v>
                </c:pt>
                <c:pt idx="441">
                  <c:v>85.181669999999997</c:v>
                </c:pt>
                <c:pt idx="442">
                  <c:v>85.158969999999997</c:v>
                </c:pt>
                <c:pt idx="443">
                  <c:v>85.147180000000006</c:v>
                </c:pt>
                <c:pt idx="444">
                  <c:v>85.112520000000004</c:v>
                </c:pt>
                <c:pt idx="445">
                  <c:v>85.108800000000002</c:v>
                </c:pt>
                <c:pt idx="446">
                  <c:v>85.093450000000004</c:v>
                </c:pt>
                <c:pt idx="447">
                  <c:v>85.072580000000002</c:v>
                </c:pt>
                <c:pt idx="448">
                  <c:v>85.064719999999994</c:v>
                </c:pt>
                <c:pt idx="449">
                  <c:v>85.051479999999998</c:v>
                </c:pt>
                <c:pt idx="450">
                  <c:v>85.020690000000002</c:v>
                </c:pt>
                <c:pt idx="451">
                  <c:v>85.009150000000005</c:v>
                </c:pt>
                <c:pt idx="452">
                  <c:v>84.97466</c:v>
                </c:pt>
                <c:pt idx="453">
                  <c:v>84.968919999999997</c:v>
                </c:pt>
                <c:pt idx="454">
                  <c:v>84.957390000000004</c:v>
                </c:pt>
                <c:pt idx="455">
                  <c:v>84.934389999999993</c:v>
                </c:pt>
                <c:pt idx="456">
                  <c:v>84.907619999999994</c:v>
                </c:pt>
                <c:pt idx="457">
                  <c:v>84.901859999999999</c:v>
                </c:pt>
                <c:pt idx="458">
                  <c:v>84.894360000000006</c:v>
                </c:pt>
                <c:pt idx="459">
                  <c:v>84.884450000000001</c:v>
                </c:pt>
                <c:pt idx="460">
                  <c:v>84.857810000000001</c:v>
                </c:pt>
                <c:pt idx="461">
                  <c:v>84.842449999999999</c:v>
                </c:pt>
                <c:pt idx="462">
                  <c:v>84.823210000000003</c:v>
                </c:pt>
                <c:pt idx="463">
                  <c:v>84.823149999999998</c:v>
                </c:pt>
                <c:pt idx="464">
                  <c:v>84.805840000000003</c:v>
                </c:pt>
                <c:pt idx="465">
                  <c:v>84.792469999999994</c:v>
                </c:pt>
                <c:pt idx="466">
                  <c:v>84.778980000000004</c:v>
                </c:pt>
                <c:pt idx="467">
                  <c:v>84.765699999999995</c:v>
                </c:pt>
                <c:pt idx="468">
                  <c:v>84.744439999999997</c:v>
                </c:pt>
                <c:pt idx="469">
                  <c:v>84.729259999999996</c:v>
                </c:pt>
                <c:pt idx="470">
                  <c:v>84.702389999999994</c:v>
                </c:pt>
                <c:pt idx="471">
                  <c:v>84.668030000000002</c:v>
                </c:pt>
                <c:pt idx="472">
                  <c:v>84.654579999999996</c:v>
                </c:pt>
                <c:pt idx="473">
                  <c:v>84.662189999999995</c:v>
                </c:pt>
                <c:pt idx="474">
                  <c:v>84.635239999999996</c:v>
                </c:pt>
                <c:pt idx="475">
                  <c:v>84.614289999999997</c:v>
                </c:pt>
                <c:pt idx="476">
                  <c:v>84.600740000000002</c:v>
                </c:pt>
                <c:pt idx="477">
                  <c:v>84.585539999999995</c:v>
                </c:pt>
                <c:pt idx="478">
                  <c:v>84.573949999999996</c:v>
                </c:pt>
                <c:pt idx="479">
                  <c:v>84.558539999999994</c:v>
                </c:pt>
                <c:pt idx="480">
                  <c:v>84.545240000000007</c:v>
                </c:pt>
                <c:pt idx="481">
                  <c:v>84.527739999999994</c:v>
                </c:pt>
                <c:pt idx="482">
                  <c:v>84.506829999999994</c:v>
                </c:pt>
                <c:pt idx="483">
                  <c:v>84.493319999999997</c:v>
                </c:pt>
                <c:pt idx="484">
                  <c:v>84.483999999999995</c:v>
                </c:pt>
                <c:pt idx="485">
                  <c:v>84.476140000000001</c:v>
                </c:pt>
                <c:pt idx="486">
                  <c:v>84.456969999999998</c:v>
                </c:pt>
                <c:pt idx="487">
                  <c:v>84.428269999999998</c:v>
                </c:pt>
                <c:pt idx="488">
                  <c:v>84.414900000000003</c:v>
                </c:pt>
                <c:pt idx="489">
                  <c:v>84.403189999999995</c:v>
                </c:pt>
                <c:pt idx="490">
                  <c:v>84.386089999999996</c:v>
                </c:pt>
                <c:pt idx="491">
                  <c:v>84.35727</c:v>
                </c:pt>
                <c:pt idx="492">
                  <c:v>84.349530000000001</c:v>
                </c:pt>
                <c:pt idx="493">
                  <c:v>84.332229999999996</c:v>
                </c:pt>
                <c:pt idx="494">
                  <c:v>84.318929999999995</c:v>
                </c:pt>
                <c:pt idx="495">
                  <c:v>84.296099999999996</c:v>
                </c:pt>
                <c:pt idx="496">
                  <c:v>84.286339999999996</c:v>
                </c:pt>
                <c:pt idx="497">
                  <c:v>84.265079999999998</c:v>
                </c:pt>
                <c:pt idx="498">
                  <c:v>84.259249999999994</c:v>
                </c:pt>
                <c:pt idx="499">
                  <c:v>84.244060000000005</c:v>
                </c:pt>
                <c:pt idx="500">
                  <c:v>84.226820000000004</c:v>
                </c:pt>
                <c:pt idx="501">
                  <c:v>84.201920000000001</c:v>
                </c:pt>
                <c:pt idx="502">
                  <c:v>84.201970000000003</c:v>
                </c:pt>
                <c:pt idx="503">
                  <c:v>84.175039999999996</c:v>
                </c:pt>
                <c:pt idx="504">
                  <c:v>84.17313</c:v>
                </c:pt>
                <c:pt idx="505">
                  <c:v>84.146339999999995</c:v>
                </c:pt>
                <c:pt idx="506">
                  <c:v>84.117570000000001</c:v>
                </c:pt>
                <c:pt idx="507">
                  <c:v>84.102159999999998</c:v>
                </c:pt>
                <c:pt idx="508">
                  <c:v>84.098339999999993</c:v>
                </c:pt>
                <c:pt idx="509">
                  <c:v>84.082939999999994</c:v>
                </c:pt>
                <c:pt idx="510">
                  <c:v>84.050380000000004</c:v>
                </c:pt>
                <c:pt idx="511">
                  <c:v>84.038989999999998</c:v>
                </c:pt>
                <c:pt idx="512">
                  <c:v>84.038970000000006</c:v>
                </c:pt>
                <c:pt idx="513">
                  <c:v>84.010140000000007</c:v>
                </c:pt>
                <c:pt idx="514">
                  <c:v>83.99879</c:v>
                </c:pt>
                <c:pt idx="515">
                  <c:v>83.979489999999998</c:v>
                </c:pt>
                <c:pt idx="516">
                  <c:v>83.979609999999994</c:v>
                </c:pt>
                <c:pt idx="517">
                  <c:v>83.962180000000004</c:v>
                </c:pt>
                <c:pt idx="518">
                  <c:v>83.948769999999996</c:v>
                </c:pt>
                <c:pt idx="519">
                  <c:v>83.93929</c:v>
                </c:pt>
                <c:pt idx="520">
                  <c:v>83.918239999999997</c:v>
                </c:pt>
                <c:pt idx="521">
                  <c:v>83.900930000000002</c:v>
                </c:pt>
                <c:pt idx="522">
                  <c:v>83.875929999999997</c:v>
                </c:pt>
                <c:pt idx="523">
                  <c:v>83.862470000000002</c:v>
                </c:pt>
                <c:pt idx="524">
                  <c:v>83.870009999999994</c:v>
                </c:pt>
                <c:pt idx="525">
                  <c:v>83.853059999999999</c:v>
                </c:pt>
                <c:pt idx="526">
                  <c:v>83.82602</c:v>
                </c:pt>
                <c:pt idx="527">
                  <c:v>83.799289999999999</c:v>
                </c:pt>
                <c:pt idx="528">
                  <c:v>83.803079999999994</c:v>
                </c:pt>
                <c:pt idx="529">
                  <c:v>83.780159999999995</c:v>
                </c:pt>
                <c:pt idx="530">
                  <c:v>83.76661</c:v>
                </c:pt>
                <c:pt idx="531">
                  <c:v>83.757019999999997</c:v>
                </c:pt>
                <c:pt idx="532">
                  <c:v>83.741849999999999</c:v>
                </c:pt>
                <c:pt idx="533">
                  <c:v>83.737790000000004</c:v>
                </c:pt>
                <c:pt idx="534">
                  <c:v>83.718689999999995</c:v>
                </c:pt>
                <c:pt idx="535">
                  <c:v>83.689980000000006</c:v>
                </c:pt>
                <c:pt idx="536">
                  <c:v>83.699529999999996</c:v>
                </c:pt>
                <c:pt idx="537">
                  <c:v>83.672659999999993</c:v>
                </c:pt>
                <c:pt idx="538">
                  <c:v>83.655389999999997</c:v>
                </c:pt>
                <c:pt idx="539">
                  <c:v>83.632490000000004</c:v>
                </c:pt>
                <c:pt idx="540">
                  <c:v>83.622789999999995</c:v>
                </c:pt>
                <c:pt idx="541">
                  <c:v>83.603769999999997</c:v>
                </c:pt>
                <c:pt idx="542">
                  <c:v>83.576819999999998</c:v>
                </c:pt>
                <c:pt idx="543">
                  <c:v>83.572929999999999</c:v>
                </c:pt>
                <c:pt idx="544">
                  <c:v>83.557640000000006</c:v>
                </c:pt>
                <c:pt idx="545">
                  <c:v>83.548050000000003</c:v>
                </c:pt>
                <c:pt idx="546">
                  <c:v>83.528809999999993</c:v>
                </c:pt>
                <c:pt idx="547">
                  <c:v>83.521379999999994</c:v>
                </c:pt>
                <c:pt idx="548">
                  <c:v>83.50215</c:v>
                </c:pt>
                <c:pt idx="549">
                  <c:v>83.490589999999997</c:v>
                </c:pt>
                <c:pt idx="550">
                  <c:v>83.44838</c:v>
                </c:pt>
                <c:pt idx="551">
                  <c:v>83.446449999999999</c:v>
                </c:pt>
                <c:pt idx="552">
                  <c:v>83.435069999999996</c:v>
                </c:pt>
                <c:pt idx="553">
                  <c:v>83.429320000000004</c:v>
                </c:pt>
                <c:pt idx="554">
                  <c:v>83.413619999999995</c:v>
                </c:pt>
                <c:pt idx="555">
                  <c:v>83.386989999999997</c:v>
                </c:pt>
                <c:pt idx="556">
                  <c:v>83.388800000000003</c:v>
                </c:pt>
                <c:pt idx="557">
                  <c:v>83.364069999999998</c:v>
                </c:pt>
                <c:pt idx="558">
                  <c:v>83.343040000000002</c:v>
                </c:pt>
                <c:pt idx="559">
                  <c:v>83.323710000000005</c:v>
                </c:pt>
                <c:pt idx="560">
                  <c:v>83.314120000000003</c:v>
                </c:pt>
                <c:pt idx="561">
                  <c:v>83.300700000000006</c:v>
                </c:pt>
                <c:pt idx="562">
                  <c:v>83.283370000000005</c:v>
                </c:pt>
                <c:pt idx="563">
                  <c:v>83.270060000000001</c:v>
                </c:pt>
                <c:pt idx="564">
                  <c:v>83.247020000000006</c:v>
                </c:pt>
                <c:pt idx="565">
                  <c:v>83.231660000000005</c:v>
                </c:pt>
                <c:pt idx="566">
                  <c:v>83.220169999999996</c:v>
                </c:pt>
                <c:pt idx="567">
                  <c:v>83.189419999999998</c:v>
                </c:pt>
                <c:pt idx="568">
                  <c:v>83.15307</c:v>
                </c:pt>
                <c:pt idx="569">
                  <c:v>83.155050000000003</c:v>
                </c:pt>
                <c:pt idx="570">
                  <c:v>83.151250000000005</c:v>
                </c:pt>
                <c:pt idx="571">
                  <c:v>83.139719999999997</c:v>
                </c:pt>
                <c:pt idx="572">
                  <c:v>83.133870000000002</c:v>
                </c:pt>
                <c:pt idx="573">
                  <c:v>83.112620000000007</c:v>
                </c:pt>
                <c:pt idx="574">
                  <c:v>83.087940000000003</c:v>
                </c:pt>
                <c:pt idx="575">
                  <c:v>83.076279999999997</c:v>
                </c:pt>
                <c:pt idx="576">
                  <c:v>83.062839999999994</c:v>
                </c:pt>
                <c:pt idx="577">
                  <c:v>83.053529999999995</c:v>
                </c:pt>
                <c:pt idx="578">
                  <c:v>83.030370000000005</c:v>
                </c:pt>
                <c:pt idx="579">
                  <c:v>83.020830000000004</c:v>
                </c:pt>
                <c:pt idx="580">
                  <c:v>82.995810000000006</c:v>
                </c:pt>
                <c:pt idx="581">
                  <c:v>82.982519999999994</c:v>
                </c:pt>
                <c:pt idx="582">
                  <c:v>82.968919999999997</c:v>
                </c:pt>
                <c:pt idx="583">
                  <c:v>82.968980000000002</c:v>
                </c:pt>
                <c:pt idx="584">
                  <c:v>82.928690000000003</c:v>
                </c:pt>
                <c:pt idx="585">
                  <c:v>82.922939999999997</c:v>
                </c:pt>
                <c:pt idx="586">
                  <c:v>82.896050000000002</c:v>
                </c:pt>
                <c:pt idx="587">
                  <c:v>82.884559999999993</c:v>
                </c:pt>
                <c:pt idx="588">
                  <c:v>82.857799999999997</c:v>
                </c:pt>
                <c:pt idx="589">
                  <c:v>82.857770000000002</c:v>
                </c:pt>
                <c:pt idx="590">
                  <c:v>82.828959999999995</c:v>
                </c:pt>
                <c:pt idx="591">
                  <c:v>82.807879999999997</c:v>
                </c:pt>
                <c:pt idx="592">
                  <c:v>82.804190000000006</c:v>
                </c:pt>
                <c:pt idx="593">
                  <c:v>82.786829999999995</c:v>
                </c:pt>
                <c:pt idx="594">
                  <c:v>82.769620000000003</c:v>
                </c:pt>
                <c:pt idx="595">
                  <c:v>82.746769999999998</c:v>
                </c:pt>
                <c:pt idx="596">
                  <c:v>82.729309999999998</c:v>
                </c:pt>
                <c:pt idx="597">
                  <c:v>82.716030000000003</c:v>
                </c:pt>
                <c:pt idx="598">
                  <c:v>82.683210000000003</c:v>
                </c:pt>
                <c:pt idx="599">
                  <c:v>82.67944</c:v>
                </c:pt>
                <c:pt idx="600">
                  <c:v>82.675389999999993</c:v>
                </c:pt>
                <c:pt idx="601">
                  <c:v>82.644760000000005</c:v>
                </c:pt>
                <c:pt idx="602">
                  <c:v>82.625730000000004</c:v>
                </c:pt>
                <c:pt idx="603">
                  <c:v>82.622129999999999</c:v>
                </c:pt>
                <c:pt idx="604">
                  <c:v>82.606610000000003</c:v>
                </c:pt>
                <c:pt idx="605">
                  <c:v>82.596879999999999</c:v>
                </c:pt>
                <c:pt idx="606">
                  <c:v>82.587249999999997</c:v>
                </c:pt>
                <c:pt idx="607">
                  <c:v>82.570059999999998</c:v>
                </c:pt>
                <c:pt idx="608">
                  <c:v>82.54513</c:v>
                </c:pt>
                <c:pt idx="609">
                  <c:v>82.535700000000006</c:v>
                </c:pt>
                <c:pt idx="610">
                  <c:v>82.508740000000003</c:v>
                </c:pt>
                <c:pt idx="611">
                  <c:v>82.491510000000005</c:v>
                </c:pt>
                <c:pt idx="612">
                  <c:v>82.493530000000007</c:v>
                </c:pt>
                <c:pt idx="613">
                  <c:v>82.47627</c:v>
                </c:pt>
                <c:pt idx="614">
                  <c:v>82.462909999999994</c:v>
                </c:pt>
                <c:pt idx="615">
                  <c:v>82.447429999999997</c:v>
                </c:pt>
                <c:pt idx="616">
                  <c:v>82.422569999999993</c:v>
                </c:pt>
                <c:pt idx="617">
                  <c:v>82.414900000000003</c:v>
                </c:pt>
                <c:pt idx="618">
                  <c:v>82.405270000000002</c:v>
                </c:pt>
                <c:pt idx="619">
                  <c:v>82.376519999999999</c:v>
                </c:pt>
                <c:pt idx="620">
                  <c:v>82.380160000000004</c:v>
                </c:pt>
                <c:pt idx="621">
                  <c:v>82.341920000000002</c:v>
                </c:pt>
                <c:pt idx="622">
                  <c:v>82.326639999999998</c:v>
                </c:pt>
                <c:pt idx="623">
                  <c:v>82.307509999999994</c:v>
                </c:pt>
                <c:pt idx="624">
                  <c:v>82.3018</c:v>
                </c:pt>
                <c:pt idx="625">
                  <c:v>82.290239999999997</c:v>
                </c:pt>
                <c:pt idx="626">
                  <c:v>82.263440000000003</c:v>
                </c:pt>
                <c:pt idx="627">
                  <c:v>82.255880000000005</c:v>
                </c:pt>
                <c:pt idx="628">
                  <c:v>82.240309999999994</c:v>
                </c:pt>
                <c:pt idx="629">
                  <c:v>82.225049999999996</c:v>
                </c:pt>
                <c:pt idx="630">
                  <c:v>82.207970000000003</c:v>
                </c:pt>
                <c:pt idx="631">
                  <c:v>82.209689999999995</c:v>
                </c:pt>
                <c:pt idx="632">
                  <c:v>82.175129999999996</c:v>
                </c:pt>
                <c:pt idx="633">
                  <c:v>82.171409999999995</c:v>
                </c:pt>
                <c:pt idx="634">
                  <c:v>82.155889999999999</c:v>
                </c:pt>
                <c:pt idx="635">
                  <c:v>82.138739999999999</c:v>
                </c:pt>
                <c:pt idx="636">
                  <c:v>82.132900000000006</c:v>
                </c:pt>
                <c:pt idx="637">
                  <c:v>82.113950000000003</c:v>
                </c:pt>
                <c:pt idx="638">
                  <c:v>82.098519999999994</c:v>
                </c:pt>
                <c:pt idx="639">
                  <c:v>82.075379999999996</c:v>
                </c:pt>
                <c:pt idx="640">
                  <c:v>82.065929999999994</c:v>
                </c:pt>
                <c:pt idx="641">
                  <c:v>82.035210000000006</c:v>
                </c:pt>
                <c:pt idx="642">
                  <c:v>82.031289999999998</c:v>
                </c:pt>
                <c:pt idx="643">
                  <c:v>82.016019999999997</c:v>
                </c:pt>
                <c:pt idx="644">
                  <c:v>82.013959999999997</c:v>
                </c:pt>
                <c:pt idx="645">
                  <c:v>81.979500000000002</c:v>
                </c:pt>
                <c:pt idx="646">
                  <c:v>81.968029999999999</c:v>
                </c:pt>
                <c:pt idx="647">
                  <c:v>81.962320000000005</c:v>
                </c:pt>
                <c:pt idx="648">
                  <c:v>81.935500000000005</c:v>
                </c:pt>
                <c:pt idx="649">
                  <c:v>81.92953</c:v>
                </c:pt>
                <c:pt idx="650">
                  <c:v>81.918329999999997</c:v>
                </c:pt>
                <c:pt idx="651">
                  <c:v>81.918120000000002</c:v>
                </c:pt>
                <c:pt idx="652">
                  <c:v>81.893190000000004</c:v>
                </c:pt>
                <c:pt idx="653">
                  <c:v>81.879760000000005</c:v>
                </c:pt>
                <c:pt idx="654">
                  <c:v>81.862579999999994</c:v>
                </c:pt>
                <c:pt idx="655">
                  <c:v>81.856880000000004</c:v>
                </c:pt>
                <c:pt idx="656">
                  <c:v>81.837580000000003</c:v>
                </c:pt>
                <c:pt idx="657">
                  <c:v>81.818520000000007</c:v>
                </c:pt>
                <c:pt idx="658">
                  <c:v>81.810820000000007</c:v>
                </c:pt>
                <c:pt idx="659">
                  <c:v>81.789749999999998</c:v>
                </c:pt>
                <c:pt idx="660">
                  <c:v>81.774270000000001</c:v>
                </c:pt>
                <c:pt idx="661">
                  <c:v>81.75506</c:v>
                </c:pt>
                <c:pt idx="662">
                  <c:v>81.745829999999998</c:v>
                </c:pt>
                <c:pt idx="663">
                  <c:v>81.722560000000001</c:v>
                </c:pt>
                <c:pt idx="664">
                  <c:v>81.699529999999996</c:v>
                </c:pt>
                <c:pt idx="665">
                  <c:v>81.697710000000001</c:v>
                </c:pt>
                <c:pt idx="666">
                  <c:v>81.686160000000001</c:v>
                </c:pt>
                <c:pt idx="667">
                  <c:v>81.670829999999995</c:v>
                </c:pt>
                <c:pt idx="668">
                  <c:v>81.661259999999999</c:v>
                </c:pt>
                <c:pt idx="669">
                  <c:v>81.640159999999995</c:v>
                </c:pt>
                <c:pt idx="670">
                  <c:v>81.620900000000006</c:v>
                </c:pt>
                <c:pt idx="671">
                  <c:v>81.609440000000006</c:v>
                </c:pt>
                <c:pt idx="672">
                  <c:v>81.582599999999999</c:v>
                </c:pt>
                <c:pt idx="673">
                  <c:v>81.573139999999995</c:v>
                </c:pt>
                <c:pt idx="674">
                  <c:v>81.557839999999999</c:v>
                </c:pt>
                <c:pt idx="675">
                  <c:v>81.532769999999999</c:v>
                </c:pt>
                <c:pt idx="676">
                  <c:v>81.525090000000006</c:v>
                </c:pt>
                <c:pt idx="677">
                  <c:v>81.511719999999997</c:v>
                </c:pt>
                <c:pt idx="678">
                  <c:v>81.492519999999999</c:v>
                </c:pt>
                <c:pt idx="679">
                  <c:v>81.488690000000005</c:v>
                </c:pt>
                <c:pt idx="680">
                  <c:v>81.46575</c:v>
                </c:pt>
                <c:pt idx="681">
                  <c:v>81.448580000000007</c:v>
                </c:pt>
                <c:pt idx="682">
                  <c:v>81.435119999999998</c:v>
                </c:pt>
                <c:pt idx="683">
                  <c:v>81.419510000000002</c:v>
                </c:pt>
                <c:pt idx="684">
                  <c:v>81.400509999999997</c:v>
                </c:pt>
                <c:pt idx="685">
                  <c:v>81.390870000000007</c:v>
                </c:pt>
                <c:pt idx="686">
                  <c:v>81.379409999999993</c:v>
                </c:pt>
                <c:pt idx="687">
                  <c:v>81.37182</c:v>
                </c:pt>
                <c:pt idx="688">
                  <c:v>81.360240000000005</c:v>
                </c:pt>
                <c:pt idx="689">
                  <c:v>81.356430000000003</c:v>
                </c:pt>
                <c:pt idx="690">
                  <c:v>81.337180000000004</c:v>
                </c:pt>
                <c:pt idx="691">
                  <c:v>81.319919999999996</c:v>
                </c:pt>
                <c:pt idx="692">
                  <c:v>81.306610000000006</c:v>
                </c:pt>
                <c:pt idx="693">
                  <c:v>81.302670000000006</c:v>
                </c:pt>
                <c:pt idx="694">
                  <c:v>81.273799999999994</c:v>
                </c:pt>
                <c:pt idx="695">
                  <c:v>81.272090000000006</c:v>
                </c:pt>
                <c:pt idx="696">
                  <c:v>81.245069999999998</c:v>
                </c:pt>
                <c:pt idx="697">
                  <c:v>81.227890000000002</c:v>
                </c:pt>
                <c:pt idx="698">
                  <c:v>81.222110000000001</c:v>
                </c:pt>
                <c:pt idx="699">
                  <c:v>81.19726</c:v>
                </c:pt>
                <c:pt idx="700">
                  <c:v>81.180000000000007</c:v>
                </c:pt>
                <c:pt idx="701">
                  <c:v>81.168379999999999</c:v>
                </c:pt>
                <c:pt idx="702">
                  <c:v>81.157139999999998</c:v>
                </c:pt>
                <c:pt idx="703">
                  <c:v>81.13785</c:v>
                </c:pt>
                <c:pt idx="704">
                  <c:v>81.122479999999996</c:v>
                </c:pt>
                <c:pt idx="705">
                  <c:v>81.128339999999994</c:v>
                </c:pt>
                <c:pt idx="706">
                  <c:v>81.120540000000005</c:v>
                </c:pt>
                <c:pt idx="707">
                  <c:v>81.101349999999996</c:v>
                </c:pt>
                <c:pt idx="708">
                  <c:v>81.070970000000003</c:v>
                </c:pt>
                <c:pt idx="709">
                  <c:v>81.064920000000001</c:v>
                </c:pt>
                <c:pt idx="710">
                  <c:v>81.034199999999998</c:v>
                </c:pt>
                <c:pt idx="711">
                  <c:v>81.020939999999996</c:v>
                </c:pt>
                <c:pt idx="712">
                  <c:v>81.014840000000007</c:v>
                </c:pt>
                <c:pt idx="713">
                  <c:v>80.990139999999997</c:v>
                </c:pt>
                <c:pt idx="714">
                  <c:v>80.984380000000002</c:v>
                </c:pt>
                <c:pt idx="715">
                  <c:v>80.974930000000001</c:v>
                </c:pt>
                <c:pt idx="716">
                  <c:v>80.967190000000002</c:v>
                </c:pt>
                <c:pt idx="717">
                  <c:v>80.934370000000001</c:v>
                </c:pt>
                <c:pt idx="718">
                  <c:v>80.932630000000003</c:v>
                </c:pt>
                <c:pt idx="719">
                  <c:v>80.911519999999996</c:v>
                </c:pt>
                <c:pt idx="720">
                  <c:v>80.896090000000001</c:v>
                </c:pt>
                <c:pt idx="721">
                  <c:v>80.861770000000007</c:v>
                </c:pt>
                <c:pt idx="722">
                  <c:v>80.861710000000002</c:v>
                </c:pt>
                <c:pt idx="723">
                  <c:v>80.842770000000002</c:v>
                </c:pt>
                <c:pt idx="724">
                  <c:v>80.800250000000005</c:v>
                </c:pt>
                <c:pt idx="725">
                  <c:v>80.815529999999995</c:v>
                </c:pt>
                <c:pt idx="726">
                  <c:v>80.804159999999996</c:v>
                </c:pt>
                <c:pt idx="727">
                  <c:v>80.779309999999995</c:v>
                </c:pt>
                <c:pt idx="728">
                  <c:v>80.765789999999996</c:v>
                </c:pt>
                <c:pt idx="729">
                  <c:v>80.758200000000002</c:v>
                </c:pt>
                <c:pt idx="730">
                  <c:v>80.744770000000003</c:v>
                </c:pt>
                <c:pt idx="731">
                  <c:v>80.72748</c:v>
                </c:pt>
                <c:pt idx="732">
                  <c:v>80.708349999999996</c:v>
                </c:pt>
                <c:pt idx="733">
                  <c:v>80.700659999999999</c:v>
                </c:pt>
                <c:pt idx="734">
                  <c:v>80.685299999999998</c:v>
                </c:pt>
                <c:pt idx="735">
                  <c:v>80.66995</c:v>
                </c:pt>
                <c:pt idx="736">
                  <c:v>80.660430000000005</c:v>
                </c:pt>
                <c:pt idx="737">
                  <c:v>80.644990000000007</c:v>
                </c:pt>
                <c:pt idx="738">
                  <c:v>80.646829999999994</c:v>
                </c:pt>
                <c:pt idx="739">
                  <c:v>80.620220000000003</c:v>
                </c:pt>
                <c:pt idx="740">
                  <c:v>80.604749999999996</c:v>
                </c:pt>
                <c:pt idx="741">
                  <c:v>80.597049999999996</c:v>
                </c:pt>
                <c:pt idx="742">
                  <c:v>80.581919999999997</c:v>
                </c:pt>
                <c:pt idx="743">
                  <c:v>80.574060000000003</c:v>
                </c:pt>
                <c:pt idx="744">
                  <c:v>80.560580000000002</c:v>
                </c:pt>
                <c:pt idx="745">
                  <c:v>80.551060000000007</c:v>
                </c:pt>
                <c:pt idx="746">
                  <c:v>80.529920000000004</c:v>
                </c:pt>
                <c:pt idx="747">
                  <c:v>80.512789999999995</c:v>
                </c:pt>
                <c:pt idx="748">
                  <c:v>80.493489999999994</c:v>
                </c:pt>
                <c:pt idx="749">
                  <c:v>80.485919999999993</c:v>
                </c:pt>
                <c:pt idx="750">
                  <c:v>80.466809999999995</c:v>
                </c:pt>
                <c:pt idx="751">
                  <c:v>80.434150000000002</c:v>
                </c:pt>
                <c:pt idx="752">
                  <c:v>80.430260000000004</c:v>
                </c:pt>
                <c:pt idx="753">
                  <c:v>80.430350000000004</c:v>
                </c:pt>
                <c:pt idx="754">
                  <c:v>80.405410000000003</c:v>
                </c:pt>
                <c:pt idx="755">
                  <c:v>80.395859999999999</c:v>
                </c:pt>
                <c:pt idx="756">
                  <c:v>80.399789999999996</c:v>
                </c:pt>
                <c:pt idx="757">
                  <c:v>80.380439999999993</c:v>
                </c:pt>
                <c:pt idx="758">
                  <c:v>80.346029999999999</c:v>
                </c:pt>
                <c:pt idx="759">
                  <c:v>80.332620000000006</c:v>
                </c:pt>
                <c:pt idx="760">
                  <c:v>80.309380000000004</c:v>
                </c:pt>
                <c:pt idx="761">
                  <c:v>80.288380000000004</c:v>
                </c:pt>
                <c:pt idx="762">
                  <c:v>80.282480000000007</c:v>
                </c:pt>
                <c:pt idx="763">
                  <c:v>80.271029999999996</c:v>
                </c:pt>
                <c:pt idx="764">
                  <c:v>80.259450000000001</c:v>
                </c:pt>
                <c:pt idx="765">
                  <c:v>80.244029999999995</c:v>
                </c:pt>
                <c:pt idx="766">
                  <c:v>80.238699999999994</c:v>
                </c:pt>
                <c:pt idx="767">
                  <c:v>80.217349999999996</c:v>
                </c:pt>
                <c:pt idx="768">
                  <c:v>80.203940000000003</c:v>
                </c:pt>
                <c:pt idx="769">
                  <c:v>80.188680000000005</c:v>
                </c:pt>
                <c:pt idx="770">
                  <c:v>80.173320000000004</c:v>
                </c:pt>
                <c:pt idx="771">
                  <c:v>80.161810000000003</c:v>
                </c:pt>
                <c:pt idx="772">
                  <c:v>80.150310000000005</c:v>
                </c:pt>
                <c:pt idx="773">
                  <c:v>80.135009999999994</c:v>
                </c:pt>
                <c:pt idx="774">
                  <c:v>80.131240000000005</c:v>
                </c:pt>
                <c:pt idx="775">
                  <c:v>80.117800000000003</c:v>
                </c:pt>
                <c:pt idx="776">
                  <c:v>80.100570000000005</c:v>
                </c:pt>
                <c:pt idx="777">
                  <c:v>80.09487</c:v>
                </c:pt>
                <c:pt idx="778">
                  <c:v>80.083150000000003</c:v>
                </c:pt>
                <c:pt idx="779">
                  <c:v>80.058210000000003</c:v>
                </c:pt>
                <c:pt idx="780">
                  <c:v>80.043049999999994</c:v>
                </c:pt>
                <c:pt idx="781">
                  <c:v>80.021879999999996</c:v>
                </c:pt>
                <c:pt idx="782">
                  <c:v>80.012420000000006</c:v>
                </c:pt>
                <c:pt idx="783">
                  <c:v>79.993070000000003</c:v>
                </c:pt>
                <c:pt idx="784">
                  <c:v>80.000900000000001</c:v>
                </c:pt>
                <c:pt idx="785">
                  <c:v>79.985429999999994</c:v>
                </c:pt>
                <c:pt idx="786">
                  <c:v>79.979709999999997</c:v>
                </c:pt>
                <c:pt idx="787">
                  <c:v>79.960440000000006</c:v>
                </c:pt>
                <c:pt idx="788">
                  <c:v>79.954930000000004</c:v>
                </c:pt>
                <c:pt idx="789">
                  <c:v>79.931669999999997</c:v>
                </c:pt>
                <c:pt idx="790">
                  <c:v>79.920029999999997</c:v>
                </c:pt>
                <c:pt idx="791">
                  <c:v>79.893299999999996</c:v>
                </c:pt>
                <c:pt idx="792">
                  <c:v>79.87433</c:v>
                </c:pt>
                <c:pt idx="793">
                  <c:v>79.866590000000002</c:v>
                </c:pt>
                <c:pt idx="794">
                  <c:v>79.864660000000001</c:v>
                </c:pt>
                <c:pt idx="795">
                  <c:v>79.845370000000003</c:v>
                </c:pt>
                <c:pt idx="796">
                  <c:v>79.849320000000006</c:v>
                </c:pt>
                <c:pt idx="797">
                  <c:v>79.822460000000007</c:v>
                </c:pt>
                <c:pt idx="798">
                  <c:v>79.818539999999999</c:v>
                </c:pt>
                <c:pt idx="799">
                  <c:v>79.795659999999998</c:v>
                </c:pt>
                <c:pt idx="800">
                  <c:v>79.782219999999995</c:v>
                </c:pt>
                <c:pt idx="801">
                  <c:v>79.776409999999998</c:v>
                </c:pt>
                <c:pt idx="802">
                  <c:v>79.762919999999994</c:v>
                </c:pt>
                <c:pt idx="803">
                  <c:v>79.747829999999993</c:v>
                </c:pt>
                <c:pt idx="804">
                  <c:v>79.726619999999997</c:v>
                </c:pt>
                <c:pt idx="805">
                  <c:v>79.703440000000001</c:v>
                </c:pt>
                <c:pt idx="806">
                  <c:v>79.703469999999996</c:v>
                </c:pt>
                <c:pt idx="807">
                  <c:v>79.686300000000003</c:v>
                </c:pt>
                <c:pt idx="808">
                  <c:v>79.680629999999994</c:v>
                </c:pt>
                <c:pt idx="809">
                  <c:v>79.674790000000002</c:v>
                </c:pt>
                <c:pt idx="810">
                  <c:v>79.665099999999995</c:v>
                </c:pt>
                <c:pt idx="811">
                  <c:v>79.671009999999995</c:v>
                </c:pt>
                <c:pt idx="812">
                  <c:v>79.638369999999995</c:v>
                </c:pt>
                <c:pt idx="813">
                  <c:v>79.632689999999997</c:v>
                </c:pt>
                <c:pt idx="814">
                  <c:v>79.605699999999999</c:v>
                </c:pt>
                <c:pt idx="815">
                  <c:v>79.622950000000003</c:v>
                </c:pt>
                <c:pt idx="816">
                  <c:v>79.596369999999993</c:v>
                </c:pt>
                <c:pt idx="817">
                  <c:v>79.577010000000001</c:v>
                </c:pt>
                <c:pt idx="818">
                  <c:v>79.567480000000003</c:v>
                </c:pt>
                <c:pt idx="819">
                  <c:v>79.5732</c:v>
                </c:pt>
                <c:pt idx="820">
                  <c:v>79.550089999999997</c:v>
                </c:pt>
                <c:pt idx="821">
                  <c:v>79.538650000000004</c:v>
                </c:pt>
                <c:pt idx="822">
                  <c:v>79.52731</c:v>
                </c:pt>
                <c:pt idx="823">
                  <c:v>79.536630000000002</c:v>
                </c:pt>
                <c:pt idx="824">
                  <c:v>79.500389999999996</c:v>
                </c:pt>
                <c:pt idx="825">
                  <c:v>79.483170000000001</c:v>
                </c:pt>
                <c:pt idx="826">
                  <c:v>79.500510000000006</c:v>
                </c:pt>
                <c:pt idx="827">
                  <c:v>79.463920000000002</c:v>
                </c:pt>
                <c:pt idx="828">
                  <c:v>79.456280000000007</c:v>
                </c:pt>
                <c:pt idx="829">
                  <c:v>79.435190000000006</c:v>
                </c:pt>
                <c:pt idx="830">
                  <c:v>79.433189999999996</c:v>
                </c:pt>
                <c:pt idx="831">
                  <c:v>79.417770000000004</c:v>
                </c:pt>
                <c:pt idx="832">
                  <c:v>79.385220000000004</c:v>
                </c:pt>
                <c:pt idx="833">
                  <c:v>79.383369999999999</c:v>
                </c:pt>
                <c:pt idx="834">
                  <c:v>79.375699999999995</c:v>
                </c:pt>
                <c:pt idx="835">
                  <c:v>79.348889999999997</c:v>
                </c:pt>
                <c:pt idx="836">
                  <c:v>79.352500000000006</c:v>
                </c:pt>
                <c:pt idx="837">
                  <c:v>79.339110000000005</c:v>
                </c:pt>
                <c:pt idx="838">
                  <c:v>79.327680000000001</c:v>
                </c:pt>
                <c:pt idx="839">
                  <c:v>79.319900000000004</c:v>
                </c:pt>
                <c:pt idx="840">
                  <c:v>79.316069999999996</c:v>
                </c:pt>
                <c:pt idx="841">
                  <c:v>79.291210000000007</c:v>
                </c:pt>
                <c:pt idx="842">
                  <c:v>79.26643</c:v>
                </c:pt>
                <c:pt idx="843">
                  <c:v>79.266310000000004</c:v>
                </c:pt>
                <c:pt idx="844">
                  <c:v>79.245220000000003</c:v>
                </c:pt>
                <c:pt idx="845">
                  <c:v>79.235780000000005</c:v>
                </c:pt>
                <c:pt idx="846">
                  <c:v>79.222219999999993</c:v>
                </c:pt>
                <c:pt idx="847">
                  <c:v>79.222329999999999</c:v>
                </c:pt>
                <c:pt idx="848">
                  <c:v>79.210849999999994</c:v>
                </c:pt>
                <c:pt idx="849">
                  <c:v>79.210729999999998</c:v>
                </c:pt>
                <c:pt idx="850">
                  <c:v>79.178120000000007</c:v>
                </c:pt>
                <c:pt idx="851">
                  <c:v>79.191779999999994</c:v>
                </c:pt>
                <c:pt idx="852">
                  <c:v>79.176280000000006</c:v>
                </c:pt>
                <c:pt idx="853">
                  <c:v>79.149429999999995</c:v>
                </c:pt>
                <c:pt idx="854">
                  <c:v>79.153300000000002</c:v>
                </c:pt>
                <c:pt idx="855">
                  <c:v>79.132159999999999</c:v>
                </c:pt>
                <c:pt idx="856">
                  <c:v>79.133989999999997</c:v>
                </c:pt>
                <c:pt idx="857">
                  <c:v>79.111019999999996</c:v>
                </c:pt>
                <c:pt idx="858">
                  <c:v>79.10351</c:v>
                </c:pt>
                <c:pt idx="859">
                  <c:v>79.08417</c:v>
                </c:pt>
                <c:pt idx="860">
                  <c:v>79.097560000000001</c:v>
                </c:pt>
                <c:pt idx="861">
                  <c:v>79.069040000000001</c:v>
                </c:pt>
                <c:pt idx="862">
                  <c:v>79.059200000000004</c:v>
                </c:pt>
                <c:pt idx="863">
                  <c:v>79.043819999999997</c:v>
                </c:pt>
                <c:pt idx="864">
                  <c:v>79.047700000000006</c:v>
                </c:pt>
                <c:pt idx="865">
                  <c:v>79.018979999999999</c:v>
                </c:pt>
                <c:pt idx="866">
                  <c:v>79.013379999999998</c:v>
                </c:pt>
                <c:pt idx="867">
                  <c:v>79.011219999999994</c:v>
                </c:pt>
                <c:pt idx="868">
                  <c:v>78.986379999999997</c:v>
                </c:pt>
                <c:pt idx="869">
                  <c:v>78.961560000000006</c:v>
                </c:pt>
                <c:pt idx="870">
                  <c:v>78.963430000000002</c:v>
                </c:pt>
                <c:pt idx="871">
                  <c:v>78.948089999999993</c:v>
                </c:pt>
                <c:pt idx="872">
                  <c:v>78.930710000000005</c:v>
                </c:pt>
                <c:pt idx="873">
                  <c:v>78.928849999999997</c:v>
                </c:pt>
                <c:pt idx="874">
                  <c:v>78.919300000000007</c:v>
                </c:pt>
                <c:pt idx="875">
                  <c:v>78.930859999999996</c:v>
                </c:pt>
                <c:pt idx="876">
                  <c:v>78.909869999999998</c:v>
                </c:pt>
                <c:pt idx="877">
                  <c:v>78.904020000000003</c:v>
                </c:pt>
                <c:pt idx="878">
                  <c:v>78.880889999999994</c:v>
                </c:pt>
                <c:pt idx="879">
                  <c:v>78.877139999999997</c:v>
                </c:pt>
                <c:pt idx="880">
                  <c:v>78.858009999999993</c:v>
                </c:pt>
                <c:pt idx="881">
                  <c:v>78.861990000000006</c:v>
                </c:pt>
                <c:pt idx="882">
                  <c:v>78.84836</c:v>
                </c:pt>
                <c:pt idx="883">
                  <c:v>78.831149999999994</c:v>
                </c:pt>
                <c:pt idx="884">
                  <c:v>78.811989999999994</c:v>
                </c:pt>
                <c:pt idx="885">
                  <c:v>78.802480000000003</c:v>
                </c:pt>
                <c:pt idx="886">
                  <c:v>78.786810000000003</c:v>
                </c:pt>
                <c:pt idx="887">
                  <c:v>78.758420000000001</c:v>
                </c:pt>
                <c:pt idx="888">
                  <c:v>78.74494</c:v>
                </c:pt>
                <c:pt idx="889">
                  <c:v>78.744929999999997</c:v>
                </c:pt>
                <c:pt idx="890">
                  <c:v>78.742850000000004</c:v>
                </c:pt>
                <c:pt idx="891">
                  <c:v>78.740880000000004</c:v>
                </c:pt>
                <c:pt idx="892">
                  <c:v>78.729590000000002</c:v>
                </c:pt>
                <c:pt idx="893">
                  <c:v>78.704639999999998</c:v>
                </c:pt>
                <c:pt idx="894">
                  <c:v>78.698710000000005</c:v>
                </c:pt>
                <c:pt idx="895">
                  <c:v>78.691310000000001</c:v>
                </c:pt>
                <c:pt idx="896">
                  <c:v>78.687269999999998</c:v>
                </c:pt>
                <c:pt idx="897">
                  <c:v>78.669970000000006</c:v>
                </c:pt>
                <c:pt idx="898">
                  <c:v>78.652670000000001</c:v>
                </c:pt>
                <c:pt idx="899">
                  <c:v>78.652919999999995</c:v>
                </c:pt>
                <c:pt idx="900">
                  <c:v>78.623840000000001</c:v>
                </c:pt>
                <c:pt idx="901">
                  <c:v>78.629739999999998</c:v>
                </c:pt>
                <c:pt idx="902">
                  <c:v>78.604749999999996</c:v>
                </c:pt>
                <c:pt idx="903">
                  <c:v>78.589420000000004</c:v>
                </c:pt>
                <c:pt idx="904">
                  <c:v>78.58954</c:v>
                </c:pt>
                <c:pt idx="905">
                  <c:v>78.587429999999998</c:v>
                </c:pt>
                <c:pt idx="906">
                  <c:v>78.575990000000004</c:v>
                </c:pt>
                <c:pt idx="907">
                  <c:v>78.558890000000005</c:v>
                </c:pt>
                <c:pt idx="908">
                  <c:v>78.547349999999994</c:v>
                </c:pt>
                <c:pt idx="909">
                  <c:v>78.547319999999999</c:v>
                </c:pt>
                <c:pt idx="910">
                  <c:v>78.530270000000002</c:v>
                </c:pt>
                <c:pt idx="911">
                  <c:v>78.50694</c:v>
                </c:pt>
                <c:pt idx="912">
                  <c:v>78.51482</c:v>
                </c:pt>
                <c:pt idx="913">
                  <c:v>78.493510000000001</c:v>
                </c:pt>
                <c:pt idx="914">
                  <c:v>78.501239999999996</c:v>
                </c:pt>
                <c:pt idx="915">
                  <c:v>78.489779999999996</c:v>
                </c:pt>
                <c:pt idx="916">
                  <c:v>78.470619999999997</c:v>
                </c:pt>
                <c:pt idx="917">
                  <c:v>78.453590000000005</c:v>
                </c:pt>
                <c:pt idx="918">
                  <c:v>78.460980000000006</c:v>
                </c:pt>
                <c:pt idx="919">
                  <c:v>78.430350000000004</c:v>
                </c:pt>
                <c:pt idx="920">
                  <c:v>78.432100000000005</c:v>
                </c:pt>
                <c:pt idx="921">
                  <c:v>78.405529999999999</c:v>
                </c:pt>
                <c:pt idx="922">
                  <c:v>78.403559999999999</c:v>
                </c:pt>
                <c:pt idx="923">
                  <c:v>78.390119999999996</c:v>
                </c:pt>
                <c:pt idx="924">
                  <c:v>78.395769999999999</c:v>
                </c:pt>
                <c:pt idx="925">
                  <c:v>78.390249999999995</c:v>
                </c:pt>
                <c:pt idx="926">
                  <c:v>78.378489999999999</c:v>
                </c:pt>
                <c:pt idx="927">
                  <c:v>78.365229999999997</c:v>
                </c:pt>
                <c:pt idx="928">
                  <c:v>78.357399999999998</c:v>
                </c:pt>
                <c:pt idx="929">
                  <c:v>78.351699999999994</c:v>
                </c:pt>
                <c:pt idx="930">
                  <c:v>78.338099999999997</c:v>
                </c:pt>
                <c:pt idx="931">
                  <c:v>78.322810000000004</c:v>
                </c:pt>
                <c:pt idx="932">
                  <c:v>78.3095</c:v>
                </c:pt>
                <c:pt idx="933">
                  <c:v>78.298119999999997</c:v>
                </c:pt>
                <c:pt idx="934">
                  <c:v>78.282780000000002</c:v>
                </c:pt>
                <c:pt idx="935">
                  <c:v>78.261499999999998</c:v>
                </c:pt>
                <c:pt idx="936">
                  <c:v>78.269490000000005</c:v>
                </c:pt>
                <c:pt idx="937">
                  <c:v>78.24812</c:v>
                </c:pt>
                <c:pt idx="938">
                  <c:v>78.254159999999999</c:v>
                </c:pt>
                <c:pt idx="939">
                  <c:v>78.228899999999996</c:v>
                </c:pt>
                <c:pt idx="940">
                  <c:v>78.225099999999998</c:v>
                </c:pt>
                <c:pt idx="941">
                  <c:v>78.196309999999997</c:v>
                </c:pt>
                <c:pt idx="942">
                  <c:v>78.175229999999999</c:v>
                </c:pt>
                <c:pt idx="943">
                  <c:v>78.194460000000007</c:v>
                </c:pt>
                <c:pt idx="944">
                  <c:v>78.205789999999993</c:v>
                </c:pt>
                <c:pt idx="945">
                  <c:v>78.169600000000003</c:v>
                </c:pt>
                <c:pt idx="946">
                  <c:v>78.154250000000005</c:v>
                </c:pt>
                <c:pt idx="947">
                  <c:v>78.159970000000001</c:v>
                </c:pt>
                <c:pt idx="948">
                  <c:v>78.159970000000001</c:v>
                </c:pt>
                <c:pt idx="949">
                  <c:v>78.158019999999993</c:v>
                </c:pt>
                <c:pt idx="950">
                  <c:v>78.125360000000001</c:v>
                </c:pt>
                <c:pt idx="951">
                  <c:v>78.138890000000004</c:v>
                </c:pt>
                <c:pt idx="952">
                  <c:v>78.140910000000005</c:v>
                </c:pt>
                <c:pt idx="953">
                  <c:v>78.090980000000002</c:v>
                </c:pt>
                <c:pt idx="954">
                  <c:v>78.077600000000004</c:v>
                </c:pt>
                <c:pt idx="955">
                  <c:v>78.102490000000003</c:v>
                </c:pt>
                <c:pt idx="956">
                  <c:v>78.073710000000005</c:v>
                </c:pt>
                <c:pt idx="957">
                  <c:v>78.066159999999996</c:v>
                </c:pt>
                <c:pt idx="958">
                  <c:v>78.046800000000005</c:v>
                </c:pt>
                <c:pt idx="959">
                  <c:v>78.044889999999995</c:v>
                </c:pt>
                <c:pt idx="960">
                  <c:v>78.039270000000002</c:v>
                </c:pt>
                <c:pt idx="961">
                  <c:v>78.018299999999996</c:v>
                </c:pt>
                <c:pt idx="962">
                  <c:v>78.006590000000003</c:v>
                </c:pt>
                <c:pt idx="963">
                  <c:v>78.014089999999996</c:v>
                </c:pt>
                <c:pt idx="964">
                  <c:v>78.000770000000003</c:v>
                </c:pt>
                <c:pt idx="965">
                  <c:v>77.983620000000002</c:v>
                </c:pt>
                <c:pt idx="966">
                  <c:v>77.976079999999996</c:v>
                </c:pt>
                <c:pt idx="967">
                  <c:v>77.968199999999996</c:v>
                </c:pt>
                <c:pt idx="968">
                  <c:v>77.949169999999995</c:v>
                </c:pt>
                <c:pt idx="969">
                  <c:v>77.920249999999996</c:v>
                </c:pt>
                <c:pt idx="970">
                  <c:v>77.926069999999996</c:v>
                </c:pt>
                <c:pt idx="971">
                  <c:v>77.901060000000001</c:v>
                </c:pt>
                <c:pt idx="972">
                  <c:v>77.902950000000004</c:v>
                </c:pt>
                <c:pt idx="973">
                  <c:v>77.905060000000006</c:v>
                </c:pt>
                <c:pt idx="974">
                  <c:v>77.889690000000002</c:v>
                </c:pt>
                <c:pt idx="975">
                  <c:v>77.876090000000005</c:v>
                </c:pt>
                <c:pt idx="976">
                  <c:v>77.880080000000007</c:v>
                </c:pt>
                <c:pt idx="977">
                  <c:v>77.853070000000002</c:v>
                </c:pt>
                <c:pt idx="978">
                  <c:v>77.841759999999994</c:v>
                </c:pt>
                <c:pt idx="979">
                  <c:v>77.839690000000004</c:v>
                </c:pt>
                <c:pt idx="980">
                  <c:v>77.83587</c:v>
                </c:pt>
                <c:pt idx="981">
                  <c:v>77.811049999999994</c:v>
                </c:pt>
                <c:pt idx="982">
                  <c:v>77.811000000000007</c:v>
                </c:pt>
                <c:pt idx="983">
                  <c:v>77.799570000000003</c:v>
                </c:pt>
                <c:pt idx="984">
                  <c:v>77.788060000000002</c:v>
                </c:pt>
                <c:pt idx="985">
                  <c:v>77.780389999999997</c:v>
                </c:pt>
                <c:pt idx="986">
                  <c:v>77.768730000000005</c:v>
                </c:pt>
                <c:pt idx="987">
                  <c:v>77.741919999999993</c:v>
                </c:pt>
                <c:pt idx="988">
                  <c:v>77.74776</c:v>
                </c:pt>
                <c:pt idx="989">
                  <c:v>77.736159999999998</c:v>
                </c:pt>
                <c:pt idx="990">
                  <c:v>77.730440000000002</c:v>
                </c:pt>
                <c:pt idx="991">
                  <c:v>77.719070000000002</c:v>
                </c:pt>
                <c:pt idx="992">
                  <c:v>77.723020000000005</c:v>
                </c:pt>
                <c:pt idx="993">
                  <c:v>77.707419999999999</c:v>
                </c:pt>
                <c:pt idx="994">
                  <c:v>77.707490000000007</c:v>
                </c:pt>
                <c:pt idx="995">
                  <c:v>77.686359999999993</c:v>
                </c:pt>
                <c:pt idx="996">
                  <c:v>77.695930000000004</c:v>
                </c:pt>
                <c:pt idx="997">
                  <c:v>77.670969999999997</c:v>
                </c:pt>
                <c:pt idx="998">
                  <c:v>77.651719999999997</c:v>
                </c:pt>
                <c:pt idx="999">
                  <c:v>77.653679999999994</c:v>
                </c:pt>
                <c:pt idx="1000">
                  <c:v>77.634450000000001</c:v>
                </c:pt>
                <c:pt idx="1001">
                  <c:v>77.630570000000006</c:v>
                </c:pt>
                <c:pt idx="1002">
                  <c:v>77.627129999999994</c:v>
                </c:pt>
                <c:pt idx="1003">
                  <c:v>77.623050000000006</c:v>
                </c:pt>
                <c:pt idx="1004">
                  <c:v>77.611720000000005</c:v>
                </c:pt>
                <c:pt idx="1005">
                  <c:v>77.596239999999995</c:v>
                </c:pt>
                <c:pt idx="1006">
                  <c:v>77.599869999999996</c:v>
                </c:pt>
                <c:pt idx="1007">
                  <c:v>77.569339999999997</c:v>
                </c:pt>
                <c:pt idx="1008">
                  <c:v>77.567390000000003</c:v>
                </c:pt>
                <c:pt idx="1009">
                  <c:v>77.567509999999999</c:v>
                </c:pt>
                <c:pt idx="1010">
                  <c:v>77.557950000000005</c:v>
                </c:pt>
                <c:pt idx="1011">
                  <c:v>77.533090000000001</c:v>
                </c:pt>
                <c:pt idx="1012">
                  <c:v>77.527100000000004</c:v>
                </c:pt>
                <c:pt idx="1013">
                  <c:v>77.529340000000005</c:v>
                </c:pt>
                <c:pt idx="1014">
                  <c:v>77.519589999999994</c:v>
                </c:pt>
                <c:pt idx="1015">
                  <c:v>77.506140000000002</c:v>
                </c:pt>
                <c:pt idx="1016">
                  <c:v>77.502309999999994</c:v>
                </c:pt>
                <c:pt idx="1017">
                  <c:v>77.489000000000004</c:v>
                </c:pt>
                <c:pt idx="1018">
                  <c:v>77.486980000000003</c:v>
                </c:pt>
                <c:pt idx="1019">
                  <c:v>77.477310000000003</c:v>
                </c:pt>
                <c:pt idx="1020">
                  <c:v>77.465789999999998</c:v>
                </c:pt>
                <c:pt idx="1021">
                  <c:v>77.458299999999994</c:v>
                </c:pt>
                <c:pt idx="1022">
                  <c:v>77.452370000000002</c:v>
                </c:pt>
                <c:pt idx="1023">
                  <c:v>77.431179999999998</c:v>
                </c:pt>
                <c:pt idx="1024">
                  <c:v>77.429479999999998</c:v>
                </c:pt>
                <c:pt idx="1025">
                  <c:v>77.417950000000005</c:v>
                </c:pt>
                <c:pt idx="1026">
                  <c:v>77.419899999999998</c:v>
                </c:pt>
                <c:pt idx="1027">
                  <c:v>77.406379999999999</c:v>
                </c:pt>
                <c:pt idx="1028">
                  <c:v>77.408280000000005</c:v>
                </c:pt>
                <c:pt idx="1029">
                  <c:v>77.395020000000002</c:v>
                </c:pt>
                <c:pt idx="1030">
                  <c:v>77.372159999999994</c:v>
                </c:pt>
                <c:pt idx="1031">
                  <c:v>77.379509999999996</c:v>
                </c:pt>
                <c:pt idx="1032">
                  <c:v>77.370009999999994</c:v>
                </c:pt>
                <c:pt idx="1033">
                  <c:v>77.362219999999994</c:v>
                </c:pt>
                <c:pt idx="1034">
                  <c:v>77.350899999999996</c:v>
                </c:pt>
                <c:pt idx="1035">
                  <c:v>77.337410000000006</c:v>
                </c:pt>
                <c:pt idx="1036">
                  <c:v>77.337400000000002</c:v>
                </c:pt>
                <c:pt idx="1037">
                  <c:v>77.316190000000006</c:v>
                </c:pt>
                <c:pt idx="1038">
                  <c:v>77.30677</c:v>
                </c:pt>
                <c:pt idx="1039">
                  <c:v>77.304879999999997</c:v>
                </c:pt>
                <c:pt idx="1040">
                  <c:v>77.283850000000001</c:v>
                </c:pt>
                <c:pt idx="1041">
                  <c:v>77.281720000000007</c:v>
                </c:pt>
                <c:pt idx="1042">
                  <c:v>77.279960000000003</c:v>
                </c:pt>
                <c:pt idx="1043">
                  <c:v>77.264679999999998</c:v>
                </c:pt>
                <c:pt idx="1044">
                  <c:v>77.276030000000006</c:v>
                </c:pt>
                <c:pt idx="1045">
                  <c:v>77.243610000000004</c:v>
                </c:pt>
                <c:pt idx="1046">
                  <c:v>77.258719999999997</c:v>
                </c:pt>
                <c:pt idx="1047">
                  <c:v>77.235699999999994</c:v>
                </c:pt>
                <c:pt idx="1048">
                  <c:v>77.222440000000006</c:v>
                </c:pt>
                <c:pt idx="1049">
                  <c:v>77.224100000000007</c:v>
                </c:pt>
                <c:pt idx="1050">
                  <c:v>77.201210000000003</c:v>
                </c:pt>
                <c:pt idx="1051">
                  <c:v>77.21105</c:v>
                </c:pt>
                <c:pt idx="1052">
                  <c:v>77.205029999999994</c:v>
                </c:pt>
                <c:pt idx="1053">
                  <c:v>77.187939999999998</c:v>
                </c:pt>
                <c:pt idx="1054">
                  <c:v>77.158959999999993</c:v>
                </c:pt>
                <c:pt idx="1055">
                  <c:v>77.187719999999999</c:v>
                </c:pt>
                <c:pt idx="1056">
                  <c:v>77.149540000000002</c:v>
                </c:pt>
                <c:pt idx="1057">
                  <c:v>77.141760000000005</c:v>
                </c:pt>
                <c:pt idx="1058">
                  <c:v>77.137990000000002</c:v>
                </c:pt>
                <c:pt idx="1059">
                  <c:v>77.126509999999996</c:v>
                </c:pt>
                <c:pt idx="1060">
                  <c:v>77.114980000000003</c:v>
                </c:pt>
                <c:pt idx="1061">
                  <c:v>77.095780000000005</c:v>
                </c:pt>
                <c:pt idx="1062">
                  <c:v>77.092140000000001</c:v>
                </c:pt>
                <c:pt idx="1063">
                  <c:v>77.074579999999997</c:v>
                </c:pt>
                <c:pt idx="1064">
                  <c:v>77.074730000000002</c:v>
                </c:pt>
                <c:pt idx="1065">
                  <c:v>77.065119999999993</c:v>
                </c:pt>
                <c:pt idx="1066">
                  <c:v>77.070679999999996</c:v>
                </c:pt>
                <c:pt idx="1067">
                  <c:v>77.052049999999994</c:v>
                </c:pt>
                <c:pt idx="1068">
                  <c:v>77.063100000000006</c:v>
                </c:pt>
                <c:pt idx="1069">
                  <c:v>77.036479999999997</c:v>
                </c:pt>
                <c:pt idx="1070">
                  <c:v>77.026539999999997</c:v>
                </c:pt>
                <c:pt idx="1071">
                  <c:v>77.021060000000006</c:v>
                </c:pt>
                <c:pt idx="1072">
                  <c:v>77.009469999999993</c:v>
                </c:pt>
                <c:pt idx="1073">
                  <c:v>76.992270000000005</c:v>
                </c:pt>
                <c:pt idx="1074">
                  <c:v>76.997950000000003</c:v>
                </c:pt>
                <c:pt idx="1075">
                  <c:v>76.988630000000001</c:v>
                </c:pt>
                <c:pt idx="1076">
                  <c:v>76.984660000000005</c:v>
                </c:pt>
                <c:pt idx="1077">
                  <c:v>76.967479999999995</c:v>
                </c:pt>
                <c:pt idx="1078">
                  <c:v>76.948160000000001</c:v>
                </c:pt>
                <c:pt idx="1079">
                  <c:v>76.955730000000003</c:v>
                </c:pt>
                <c:pt idx="1080">
                  <c:v>76.938370000000006</c:v>
                </c:pt>
                <c:pt idx="1081">
                  <c:v>76.925079999999994</c:v>
                </c:pt>
                <c:pt idx="1082">
                  <c:v>76.931049999999999</c:v>
                </c:pt>
                <c:pt idx="1083">
                  <c:v>76.930869999999999</c:v>
                </c:pt>
                <c:pt idx="1084">
                  <c:v>76.928880000000007</c:v>
                </c:pt>
                <c:pt idx="1085">
                  <c:v>76.93074</c:v>
                </c:pt>
                <c:pt idx="1086">
                  <c:v>76.904160000000005</c:v>
                </c:pt>
                <c:pt idx="1087">
                  <c:v>76.892589999999998</c:v>
                </c:pt>
                <c:pt idx="1088">
                  <c:v>76.89058</c:v>
                </c:pt>
                <c:pt idx="1089">
                  <c:v>76.886880000000005</c:v>
                </c:pt>
                <c:pt idx="1090">
                  <c:v>76.869579999999999</c:v>
                </c:pt>
                <c:pt idx="1091">
                  <c:v>76.873459999999994</c:v>
                </c:pt>
                <c:pt idx="1092">
                  <c:v>76.869579999999999</c:v>
                </c:pt>
                <c:pt idx="1093">
                  <c:v>76.854050000000001</c:v>
                </c:pt>
                <c:pt idx="1094">
                  <c:v>76.834940000000003</c:v>
                </c:pt>
                <c:pt idx="1095">
                  <c:v>76.8446</c:v>
                </c:pt>
                <c:pt idx="1096">
                  <c:v>76.825469999999996</c:v>
                </c:pt>
                <c:pt idx="1097">
                  <c:v>76.812129999999996</c:v>
                </c:pt>
                <c:pt idx="1098">
                  <c:v>76.814040000000006</c:v>
                </c:pt>
                <c:pt idx="1099">
                  <c:v>76.813969999999998</c:v>
                </c:pt>
                <c:pt idx="1100">
                  <c:v>76.787149999999997</c:v>
                </c:pt>
                <c:pt idx="1101">
                  <c:v>76.788970000000006</c:v>
                </c:pt>
                <c:pt idx="1102">
                  <c:v>76.775549999999996</c:v>
                </c:pt>
                <c:pt idx="1103">
                  <c:v>76.783230000000003</c:v>
                </c:pt>
                <c:pt idx="1104">
                  <c:v>76.769729999999996</c:v>
                </c:pt>
                <c:pt idx="1105">
                  <c:v>76.773600000000002</c:v>
                </c:pt>
                <c:pt idx="1106">
                  <c:v>76.752430000000004</c:v>
                </c:pt>
                <c:pt idx="1107">
                  <c:v>76.733440000000002</c:v>
                </c:pt>
                <c:pt idx="1108">
                  <c:v>76.739090000000004</c:v>
                </c:pt>
                <c:pt idx="1109">
                  <c:v>76.731250000000003</c:v>
                </c:pt>
                <c:pt idx="1110">
                  <c:v>76.725629999999995</c:v>
                </c:pt>
                <c:pt idx="1111">
                  <c:v>76.704599999999999</c:v>
                </c:pt>
                <c:pt idx="1112">
                  <c:v>76.716089999999994</c:v>
                </c:pt>
                <c:pt idx="1113">
                  <c:v>76.69511</c:v>
                </c:pt>
                <c:pt idx="1114">
                  <c:v>76.685450000000003</c:v>
                </c:pt>
                <c:pt idx="1115">
                  <c:v>76.694980000000001</c:v>
                </c:pt>
                <c:pt idx="1116">
                  <c:v>76.697010000000006</c:v>
                </c:pt>
                <c:pt idx="1117">
                  <c:v>76.675659999999993</c:v>
                </c:pt>
                <c:pt idx="1118">
                  <c:v>76.666259999999994</c:v>
                </c:pt>
                <c:pt idx="1119">
                  <c:v>76.683509999999998</c:v>
                </c:pt>
                <c:pt idx="1120">
                  <c:v>76.67577</c:v>
                </c:pt>
                <c:pt idx="1121">
                  <c:v>76.67962</c:v>
                </c:pt>
                <c:pt idx="1122">
                  <c:v>76.654820000000001</c:v>
                </c:pt>
                <c:pt idx="1123">
                  <c:v>76.63194</c:v>
                </c:pt>
                <c:pt idx="1124">
                  <c:v>76.626109999999997</c:v>
                </c:pt>
                <c:pt idx="1125">
                  <c:v>76.643230000000003</c:v>
                </c:pt>
                <c:pt idx="1126">
                  <c:v>76.616609999999994</c:v>
                </c:pt>
                <c:pt idx="1127">
                  <c:v>76.622190000000003</c:v>
                </c:pt>
                <c:pt idx="1128">
                  <c:v>76.627949999999998</c:v>
                </c:pt>
                <c:pt idx="1129">
                  <c:v>76.610680000000002</c:v>
                </c:pt>
                <c:pt idx="1130">
                  <c:v>76.610609999999994</c:v>
                </c:pt>
                <c:pt idx="1131">
                  <c:v>76.602850000000004</c:v>
                </c:pt>
                <c:pt idx="1132">
                  <c:v>76.593170000000001</c:v>
                </c:pt>
                <c:pt idx="1133">
                  <c:v>76.58587</c:v>
                </c:pt>
                <c:pt idx="1134">
                  <c:v>76.570490000000007</c:v>
                </c:pt>
                <c:pt idx="1135">
                  <c:v>76.55874</c:v>
                </c:pt>
                <c:pt idx="1136">
                  <c:v>76.553299999999993</c:v>
                </c:pt>
                <c:pt idx="1137">
                  <c:v>76.566400000000002</c:v>
                </c:pt>
                <c:pt idx="1138">
                  <c:v>76.535910000000001</c:v>
                </c:pt>
                <c:pt idx="1139">
                  <c:v>76.537760000000006</c:v>
                </c:pt>
                <c:pt idx="1140">
                  <c:v>76.545500000000004</c:v>
                </c:pt>
                <c:pt idx="1141">
                  <c:v>76.532020000000003</c:v>
                </c:pt>
                <c:pt idx="1142">
                  <c:v>76.518839999999997</c:v>
                </c:pt>
                <c:pt idx="1143">
                  <c:v>76.518550000000005</c:v>
                </c:pt>
                <c:pt idx="1144">
                  <c:v>76.50703</c:v>
                </c:pt>
                <c:pt idx="1145">
                  <c:v>76.509029999999996</c:v>
                </c:pt>
                <c:pt idx="1146">
                  <c:v>76.499600000000001</c:v>
                </c:pt>
                <c:pt idx="1147">
                  <c:v>76.486050000000006</c:v>
                </c:pt>
                <c:pt idx="1148">
                  <c:v>76.490009999999998</c:v>
                </c:pt>
                <c:pt idx="1149">
                  <c:v>76.459149999999994</c:v>
                </c:pt>
                <c:pt idx="1150">
                  <c:v>76.487909999999999</c:v>
                </c:pt>
                <c:pt idx="1151">
                  <c:v>76.445750000000004</c:v>
                </c:pt>
                <c:pt idx="1152">
                  <c:v>76.449640000000002</c:v>
                </c:pt>
                <c:pt idx="1153">
                  <c:v>76.447919999999996</c:v>
                </c:pt>
                <c:pt idx="1154">
                  <c:v>76.417019999999994</c:v>
                </c:pt>
                <c:pt idx="1155">
                  <c:v>76.422569999999993</c:v>
                </c:pt>
                <c:pt idx="1156">
                  <c:v>76.430520000000001</c:v>
                </c:pt>
                <c:pt idx="1157">
                  <c:v>76.407449999999997</c:v>
                </c:pt>
                <c:pt idx="1158">
                  <c:v>76.43047</c:v>
                </c:pt>
                <c:pt idx="1159">
                  <c:v>76.426599999999993</c:v>
                </c:pt>
                <c:pt idx="1160">
                  <c:v>76.409360000000007</c:v>
                </c:pt>
                <c:pt idx="1161">
                  <c:v>76.399609999999996</c:v>
                </c:pt>
                <c:pt idx="1162">
                  <c:v>76.411370000000005</c:v>
                </c:pt>
                <c:pt idx="1163">
                  <c:v>76.382559999999998</c:v>
                </c:pt>
                <c:pt idx="1164">
                  <c:v>76.384450000000001</c:v>
                </c:pt>
                <c:pt idx="1165">
                  <c:v>76.376760000000004</c:v>
                </c:pt>
                <c:pt idx="1166">
                  <c:v>76.365319999999997</c:v>
                </c:pt>
                <c:pt idx="1167">
                  <c:v>76.361350000000002</c:v>
                </c:pt>
                <c:pt idx="1168">
                  <c:v>76.35942</c:v>
                </c:pt>
                <c:pt idx="1169">
                  <c:v>76.330680000000001</c:v>
                </c:pt>
                <c:pt idx="1170">
                  <c:v>76.351900000000001</c:v>
                </c:pt>
                <c:pt idx="1171">
                  <c:v>76.326759999999993</c:v>
                </c:pt>
                <c:pt idx="1172">
                  <c:v>76.323030000000003</c:v>
                </c:pt>
                <c:pt idx="1173">
                  <c:v>76.326819999999998</c:v>
                </c:pt>
                <c:pt idx="1174">
                  <c:v>76.319239999999994</c:v>
                </c:pt>
                <c:pt idx="1175">
                  <c:v>76.319220000000001</c:v>
                </c:pt>
                <c:pt idx="1176">
                  <c:v>76.303870000000003</c:v>
                </c:pt>
                <c:pt idx="1177">
                  <c:v>76.303970000000007</c:v>
                </c:pt>
                <c:pt idx="1178">
                  <c:v>76.286730000000006</c:v>
                </c:pt>
                <c:pt idx="1179">
                  <c:v>76.307630000000003</c:v>
                </c:pt>
                <c:pt idx="1180">
                  <c:v>76.284800000000004</c:v>
                </c:pt>
                <c:pt idx="1181">
                  <c:v>76.275009999999995</c:v>
                </c:pt>
                <c:pt idx="1182">
                  <c:v>76.286569999999998</c:v>
                </c:pt>
                <c:pt idx="1183">
                  <c:v>76.273060000000001</c:v>
                </c:pt>
                <c:pt idx="1184">
                  <c:v>76.261510000000001</c:v>
                </c:pt>
                <c:pt idx="1185">
                  <c:v>76.250259999999997</c:v>
                </c:pt>
                <c:pt idx="1186">
                  <c:v>76.221729999999994</c:v>
                </c:pt>
                <c:pt idx="1187">
                  <c:v>76.248329999999996</c:v>
                </c:pt>
                <c:pt idx="1188">
                  <c:v>76.219480000000004</c:v>
                </c:pt>
                <c:pt idx="1189">
                  <c:v>76.22148</c:v>
                </c:pt>
                <c:pt idx="1190">
                  <c:v>76.200400000000002</c:v>
                </c:pt>
                <c:pt idx="1191">
                  <c:v>76.202259999999995</c:v>
                </c:pt>
                <c:pt idx="1192">
                  <c:v>76.190659999999994</c:v>
                </c:pt>
                <c:pt idx="1193">
                  <c:v>76.194509999999994</c:v>
                </c:pt>
                <c:pt idx="1194">
                  <c:v>76.171729999999997</c:v>
                </c:pt>
                <c:pt idx="1195">
                  <c:v>76.177300000000002</c:v>
                </c:pt>
                <c:pt idx="1196">
                  <c:v>76.152559999999994</c:v>
                </c:pt>
                <c:pt idx="1197">
                  <c:v>76.160079999999994</c:v>
                </c:pt>
                <c:pt idx="1198">
                  <c:v>76.152460000000005</c:v>
                </c:pt>
                <c:pt idx="1199">
                  <c:v>76.144620000000003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05-134C-943C-2EE21D924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648"/>
        <c:axId val="365360"/>
      </c:lineChart>
      <c:catAx>
        <c:axId val="3636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65360"/>
        <c:crosses val="autoZero"/>
        <c:auto val="1"/>
        <c:lblAlgn val="ctr"/>
        <c:lblOffset val="100"/>
        <c:noMultiLvlLbl val="0"/>
      </c:catAx>
      <c:valAx>
        <c:axId val="36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63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44</xdr:row>
      <xdr:rowOff>0</xdr:rowOff>
    </xdr:from>
    <xdr:to>
      <xdr:col>18</xdr:col>
      <xdr:colOff>444500</xdr:colOff>
      <xdr:row>60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212396-C805-C548-B2EC-A1DC9948CF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812800</xdr:colOff>
      <xdr:row>44</xdr:row>
      <xdr:rowOff>0</xdr:rowOff>
    </xdr:from>
    <xdr:to>
      <xdr:col>6</xdr:col>
      <xdr:colOff>431800</xdr:colOff>
      <xdr:row>60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B1054E-1CFF-3C40-8F30-2A765AE910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44</xdr:row>
      <xdr:rowOff>0</xdr:rowOff>
    </xdr:from>
    <xdr:to>
      <xdr:col>12</xdr:col>
      <xdr:colOff>444500</xdr:colOff>
      <xdr:row>60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557A8B-C7D4-924D-BF8E-AA0BFC3DD5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21</xdr:row>
      <xdr:rowOff>25400</xdr:rowOff>
    </xdr:from>
    <xdr:to>
      <xdr:col>6</xdr:col>
      <xdr:colOff>444500</xdr:colOff>
      <xdr:row>37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85BDD0E-3A16-2843-9086-BE54AE9D1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12</xdr:col>
      <xdr:colOff>444500</xdr:colOff>
      <xdr:row>37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68FD16E-7930-9A4C-AFAD-1F7A85B95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21</xdr:row>
      <xdr:rowOff>12700</xdr:rowOff>
    </xdr:from>
    <xdr:to>
      <xdr:col>18</xdr:col>
      <xdr:colOff>444500</xdr:colOff>
      <xdr:row>37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45EDB2A-E129-0B4E-82E0-B8C2D1386F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25400</xdr:colOff>
      <xdr:row>2</xdr:row>
      <xdr:rowOff>12700</xdr:rowOff>
    </xdr:from>
    <xdr:to>
      <xdr:col>6</xdr:col>
      <xdr:colOff>469900</xdr:colOff>
      <xdr:row>18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8179088-7757-5E4C-8898-B5B45703B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147320</xdr:colOff>
      <xdr:row>10</xdr:row>
      <xdr:rowOff>93980</xdr:rowOff>
    </xdr:from>
    <xdr:to>
      <xdr:col>13</xdr:col>
      <xdr:colOff>147320</xdr:colOff>
      <xdr:row>27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C2A153-FF47-C4C8-7C73-7C59500755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247650</xdr:colOff>
      <xdr:row>141</xdr:row>
      <xdr:rowOff>76200</xdr:rowOff>
    </xdr:from>
    <xdr:to>
      <xdr:col>19</xdr:col>
      <xdr:colOff>673100</xdr:colOff>
      <xdr:row>168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9F6510-DFE3-7535-03A9-C7F2C8DFAB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913705</xdr:colOff>
      <xdr:row>45</xdr:row>
      <xdr:rowOff>68967</xdr:rowOff>
    </xdr:from>
    <xdr:to>
      <xdr:col>17</xdr:col>
      <xdr:colOff>913707</xdr:colOff>
      <xdr:row>62</xdr:row>
      <xdr:rowOff>6214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FF3F62-E9A0-5C7A-D8E0-0FFD37ACB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59765</xdr:colOff>
      <xdr:row>9</xdr:row>
      <xdr:rowOff>129988</xdr:rowOff>
    </xdr:from>
    <xdr:to>
      <xdr:col>17</xdr:col>
      <xdr:colOff>74706</xdr:colOff>
      <xdr:row>26</xdr:row>
      <xdr:rowOff>79188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5C7835-784C-A804-3798-3971CCEC36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209791</xdr:colOff>
      <xdr:row>28</xdr:row>
      <xdr:rowOff>6913</xdr:rowOff>
    </xdr:from>
    <xdr:to>
      <xdr:col>11</xdr:col>
      <xdr:colOff>200146</xdr:colOff>
      <xdr:row>44</xdr:row>
      <xdr:rowOff>49353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E9F5D9-7D89-11B4-6AAB-C1B37026FA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26</xdr:row>
      <xdr:rowOff>76200</xdr:rowOff>
    </xdr:from>
    <xdr:to>
      <xdr:col>15</xdr:col>
      <xdr:colOff>19050</xdr:colOff>
      <xdr:row>43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0ADA29-D6FC-0252-5C3A-728A752043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37" headerRowCount="0" totalsRowShown="0">
  <tableColumns count="2">
    <tableColumn id="1" xr3:uid="{00000000-0010-0000-0000-000001000000}" name="Column0"/>
    <tableColumn id="2" xr3:uid="{00000000-0010-0000-0000-000002000000}" name="Column1"/>
  </tableColumns>
  <tableStyleInfo name="Netzsch Table Style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9:I620" totalsRowShown="0">
  <autoFilter ref="A39:I620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0000000-0010-0000-0100-000001000000}" name="##Temp./°C"/>
    <tableColumn id="2" xr3:uid="{00000000-0010-0000-0100-000002000000}" name="Time/min"/>
    <tableColumn id="3" xr3:uid="{00000000-0010-0000-0100-000003000000}" name="DSC/(uV/mg)"/>
    <tableColumn id="4" xr3:uid="{00000000-0010-0000-0100-000004000000}" name="Mass/%"/>
    <tableColumn id="5" xr3:uid="{00000000-0010-0000-0100-000005000000}" name="Gas Flow(purge1)/(ml/min)"/>
    <tableColumn id="6" xr3:uid="{00000000-0010-0000-0100-000006000000}" name="Gas Flow(protective)/(ml/min)"/>
    <tableColumn id="7" xr3:uid="{00000000-0010-0000-0100-000007000000}" name="Sensit./(uV/mW)"/>
    <tableColumn id="8" xr3:uid="{00000000-0010-0000-0100-000008000000}" name="Segment"/>
    <tableColumn id="9" xr3:uid="{E6D23AFF-7C03-D042-96B6-012ADC6E20AB}" name="X_C"/>
  </tableColumns>
  <tableStyleInfo name="Netzsch Table Style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CC141A-C7D0-CC43-AB7C-5BF675004513}" name="Table14" displayName="Table14" ref="A1:B29" headerRowCount="0" totalsRowShown="0">
  <tableColumns count="2">
    <tableColumn id="1" xr3:uid="{AB216465-15AB-444A-BC45-ABB0EC7F6200}" name="Column0"/>
    <tableColumn id="2" xr3:uid="{01FDC563-A66E-5047-BF8B-63CDD63F1BD6}" name="Column1"/>
  </tableColumns>
  <tableStyleInfo name="Netzsch Table Style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9212EA-9659-ED4B-8802-4CB164F422E2}" name="Table25" displayName="Table25" ref="A31:E684" totalsRowShown="0">
  <autoFilter ref="A31:E684" xr:uid="{449212EA-9659-ED4B-8802-4CB164F422E2}"/>
  <tableColumns count="5">
    <tableColumn id="1" xr3:uid="{7A09B8CA-E0BE-7641-BAB0-FFE075C6D264}" name="##Temp./°C"/>
    <tableColumn id="2" xr3:uid="{D835435C-88C7-414B-92A7-8363EE9856FB}" name="Time/min"/>
    <tableColumn id="3" xr3:uid="{6772CD75-F1B5-1947-BA86-D5A4C7CB5358}" name="Mass/%"/>
    <tableColumn id="4" xr3:uid="{CCD3349D-FAD4-014F-A2B5-9B3C54B60777}" name="Segment"/>
    <tableColumn id="5" xr3:uid="{447FC43E-545E-A648-8E61-2A240A1A4013}" name="X_C" dataDxfId="0">
      <calculatedColumnFormula>($C$216-C32)/$G$216</calculatedColumnFormula>
    </tableColumn>
  </tableColumns>
  <tableStyleInfo name="Netzsch Table Style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52A03E6-C5D6-9D4D-B30F-2D8BE638FB4F}" name="Table18" displayName="Table18" ref="A1:B37" headerRowCount="0" totalsRowShown="0">
  <tableColumns count="2">
    <tableColumn id="1" xr3:uid="{93FA1C59-7AA0-BF42-A985-424374B902B6}" name="Column0"/>
    <tableColumn id="2" xr3:uid="{C3AB1D04-51FB-FB48-A2D4-9F3B8F9E04F1}" name="Column1"/>
  </tableColumns>
  <tableStyleInfo name="Netzsch Table Style"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B3C0E3C-C0DD-AF4B-B99B-56BB04541401}" name="Table29" displayName="Table29" ref="A39:H630" totalsRowShown="0">
  <autoFilter ref="A39:H630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CE20A38-8D4A-DA40-BAC1-5FC030DA2A17}" name="##Temp./°C"/>
    <tableColumn id="2" xr3:uid="{76C53D5B-9719-144A-955D-1074867C7976}" name="Time/min"/>
    <tableColumn id="3" xr3:uid="{45A0CA2D-8318-5C40-B8B5-5EA9F44B09B0}" name="DSC/(uV/mg)"/>
    <tableColumn id="4" xr3:uid="{4E8AF690-1379-3645-B2D2-4753606DB5A1}" name="Mass/%"/>
    <tableColumn id="5" xr3:uid="{4216458E-BA55-9C4B-BA7C-886565992FEF}" name="Gas Flow(purge1)/(ml/min)"/>
    <tableColumn id="6" xr3:uid="{61087133-2E4F-904C-BAC9-953228EDB670}" name="Gas Flow(protective)/(ml/min)"/>
    <tableColumn id="7" xr3:uid="{A8FD8A34-DEAE-0549-B2C0-D4D0332DCA7E}" name="Sensit./(uV/mW)"/>
    <tableColumn id="8" xr3:uid="{31F7F045-5B86-714E-9E85-72B45CB50BB5}" name="Segment"/>
  </tableColumns>
  <tableStyleInfo name="Netzsch Table Style"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A05AB44-31F0-BF4F-9B52-86317212E94D}" name="Table16" displayName="Table16" ref="A1:B29" headerRowCount="0" totalsRowShown="0">
  <tableColumns count="2">
    <tableColumn id="1" xr3:uid="{A30EBC7F-1983-CA43-9600-97290E35D545}" name="Column0"/>
    <tableColumn id="2" xr3:uid="{F90E65B6-468B-8147-BBD0-1BB264101091}" name="Column1"/>
  </tableColumns>
  <tableStyleInfo name="Netzsch Table Style"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690F58F-32B6-6A4F-AC94-DEF3EE94BC1C}" name="Table27" displayName="Table27" ref="A31:E1411" totalsRowShown="0">
  <autoFilter ref="A31:E1411" xr:uid="{B690F58F-32B6-6A4F-AC94-DEF3EE94BC1C}"/>
  <tableColumns count="5">
    <tableColumn id="1" xr3:uid="{2BC6284F-C4CC-7744-A060-A5345022C078}" name="##Temp./°C"/>
    <tableColumn id="2" xr3:uid="{BD63A779-8F4F-034F-A106-0E45E4A272B4}" name="Time/min"/>
    <tableColumn id="3" xr3:uid="{C605AB78-2E3A-4449-92C5-B91C1185D82A}" name="Mass/%"/>
    <tableColumn id="4" xr3:uid="{BCEDA512-ED93-4B4D-8E78-84108AE48989}" name="Segment"/>
    <tableColumn id="5" xr3:uid="{3F5B6835-4564-804D-A3AE-100FA5B969AB}" name="X_C"/>
  </tableColumns>
  <tableStyleInfo name="Netzsch Table Style"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D95C3BA-C371-EB48-847F-199DA467CD1D}" name="Table110" displayName="Table110" ref="A1:B38" headerRowCount="0" totalsRowShown="0">
  <tableColumns count="2">
    <tableColumn id="1" xr3:uid="{D31B8699-3994-7944-8B8A-251FCCA3B125}" name="Column0"/>
    <tableColumn id="2" xr3:uid="{D18D5177-A092-7C43-A372-0C1B2A5D2B43}" name="Column1"/>
  </tableColumns>
  <tableStyleInfo name="Netzsch Table Style"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ECC3B69-4BA5-5D46-A0DD-B5152F561AE5}" name="Table211" displayName="Table211" ref="A40:H1420" totalsRowShown="0">
  <autoFilter ref="A40:H1420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0CA03BE-1AE8-754A-B920-2D9EC55365D6}" name="##Temp./°C"/>
    <tableColumn id="2" xr3:uid="{BC9C6A76-DBD3-7F4C-B16E-82FC0FDA1F7D}" name="Time/min"/>
    <tableColumn id="3" xr3:uid="{2E4AAB8F-07F6-1740-8F77-BDB6B9B0876F}" name="DSC/(uV/mg)"/>
    <tableColumn id="4" xr3:uid="{C09204FF-680F-BE4E-BEBB-EC2E3CA27D2C}" name="Mass/%"/>
    <tableColumn id="5" xr3:uid="{06B28EBD-9D7C-0F43-923D-5B16F0DAAA4E}" name="Gas Flow(purge1)/(ml/min)"/>
    <tableColumn id="6" xr3:uid="{8FC820C5-E800-F148-860D-774B0D9CAEBF}" name="Gas Flow(protective)/(ml/min)"/>
    <tableColumn id="7" xr3:uid="{1B21C9D1-6655-AB44-B2F5-39DB134410E6}" name="Sensit./(uV/mW)"/>
    <tableColumn id="8" xr3:uid="{FCD98C35-8538-364F-9711-141C2A4DFB85}" name="Segment"/>
  </tableColumns>
  <tableStyleInfo name="Netzsch Table Style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0C2F0-A40B-8F4D-BD7A-025F689F02B0}">
  <dimension ref="B2:AH1203"/>
  <sheetViews>
    <sheetView topLeftCell="A139" workbookViewId="0">
      <selection activeCell="E4" sqref="E4"/>
    </sheetView>
  </sheetViews>
  <sheetFormatPr baseColWidth="10" defaultRowHeight="13" x14ac:dyDescent="0.15"/>
  <sheetData>
    <row r="2" spans="2:34" x14ac:dyDescent="0.15">
      <c r="C2" s="8" t="s">
        <v>127</v>
      </c>
      <c r="J2" s="8" t="s">
        <v>128</v>
      </c>
      <c r="Q2" s="8" t="s">
        <v>129</v>
      </c>
      <c r="X2" s="8" t="s">
        <v>130</v>
      </c>
      <c r="AE2" s="8" t="s">
        <v>131</v>
      </c>
    </row>
    <row r="3" spans="2:34" x14ac:dyDescent="0.15">
      <c r="B3" s="8" t="s">
        <v>122</v>
      </c>
      <c r="C3" s="8" t="s">
        <v>123</v>
      </c>
      <c r="D3" s="8" t="s">
        <v>124</v>
      </c>
      <c r="E3" s="8" t="s">
        <v>125</v>
      </c>
      <c r="F3" s="8" t="s">
        <v>126</v>
      </c>
      <c r="I3" s="8" t="s">
        <v>122</v>
      </c>
      <c r="J3" s="8" t="s">
        <v>123</v>
      </c>
      <c r="K3" s="8" t="s">
        <v>124</v>
      </c>
      <c r="L3" s="8" t="s">
        <v>125</v>
      </c>
      <c r="M3" s="8" t="s">
        <v>126</v>
      </c>
      <c r="P3" s="8" t="s">
        <v>122</v>
      </c>
      <c r="Q3" s="8" t="s">
        <v>123</v>
      </c>
      <c r="R3" s="8" t="s">
        <v>124</v>
      </c>
      <c r="S3" s="8" t="s">
        <v>125</v>
      </c>
      <c r="T3" s="8" t="s">
        <v>126</v>
      </c>
      <c r="W3" s="8" t="s">
        <v>122</v>
      </c>
      <c r="X3" s="8" t="s">
        <v>123</v>
      </c>
      <c r="Y3" s="8" t="s">
        <v>124</v>
      </c>
      <c r="Z3" s="8" t="s">
        <v>125</v>
      </c>
      <c r="AA3" s="8" t="s">
        <v>126</v>
      </c>
      <c r="AD3" s="8" t="s">
        <v>122</v>
      </c>
      <c r="AE3" s="8" t="s">
        <v>123</v>
      </c>
      <c r="AF3" s="8" t="s">
        <v>124</v>
      </c>
      <c r="AG3" s="8" t="s">
        <v>125</v>
      </c>
      <c r="AH3" s="8" t="s">
        <v>126</v>
      </c>
    </row>
    <row r="4" spans="2:34" x14ac:dyDescent="0.15">
      <c r="B4" s="22">
        <v>200.11103</v>
      </c>
      <c r="C4">
        <v>0</v>
      </c>
      <c r="D4" s="4">
        <v>98.873559999999998</v>
      </c>
      <c r="E4" s="4">
        <f>100-($D$4-D4)</f>
        <v>100</v>
      </c>
      <c r="I4" s="22">
        <v>225.00028</v>
      </c>
      <c r="J4">
        <v>0</v>
      </c>
      <c r="K4" s="4">
        <v>96.412930000000003</v>
      </c>
      <c r="L4" s="4">
        <f>100-($K$4-K4)</f>
        <v>100</v>
      </c>
      <c r="P4" s="24">
        <v>224.99323000000001</v>
      </c>
      <c r="Q4">
        <v>0</v>
      </c>
      <c r="R4" s="19">
        <v>100.07581999999999</v>
      </c>
      <c r="S4" s="4">
        <f>100-($R$4-R4)</f>
        <v>100</v>
      </c>
      <c r="W4" s="22">
        <v>250.00303</v>
      </c>
      <c r="X4">
        <v>0</v>
      </c>
      <c r="Y4" s="23">
        <v>94.559169999999995</v>
      </c>
      <c r="Z4" s="4">
        <f>100-($Y$4-Y4)</f>
        <v>100</v>
      </c>
      <c r="AD4" s="24">
        <v>250.02995000000001</v>
      </c>
      <c r="AE4">
        <v>0</v>
      </c>
      <c r="AF4" s="25">
        <v>99.738510000000005</v>
      </c>
      <c r="AG4" s="4">
        <f>100-($AF$4-AF4)</f>
        <v>100</v>
      </c>
    </row>
    <row r="5" spans="2:34" x14ac:dyDescent="0.15">
      <c r="B5" s="22">
        <v>202.31092000000001</v>
      </c>
      <c r="C5">
        <v>0.5</v>
      </c>
      <c r="D5" s="23">
        <v>98.940370000000001</v>
      </c>
      <c r="E5" s="4">
        <f t="shared" ref="E5:E68" si="0">100-($D$4-D5)</f>
        <v>100.06681</v>
      </c>
      <c r="I5" s="22">
        <v>225.21154999999999</v>
      </c>
      <c r="J5">
        <v>0.5</v>
      </c>
      <c r="K5" s="23">
        <v>96.48939</v>
      </c>
      <c r="L5" s="4">
        <f t="shared" ref="L5:L68" si="1">100-($K$4-K5)</f>
        <v>100.07646</v>
      </c>
      <c r="P5" s="24">
        <v>227.11912000000001</v>
      </c>
      <c r="Q5">
        <v>0.5</v>
      </c>
      <c r="R5" s="25">
        <v>99.771339999999995</v>
      </c>
      <c r="S5" s="4">
        <f t="shared" ref="S5:S68" si="2">100-($R$4-R5)</f>
        <v>99.695520000000002</v>
      </c>
      <c r="W5" s="22">
        <v>250.27969999999999</v>
      </c>
      <c r="X5">
        <v>0.5</v>
      </c>
      <c r="Y5" s="4">
        <v>94.692850000000007</v>
      </c>
      <c r="Z5" s="4">
        <f t="shared" ref="Z5:Z68" si="3">100-($Y$4-Y5)</f>
        <v>100.13368000000001</v>
      </c>
      <c r="AD5" s="24">
        <v>250.07247000000001</v>
      </c>
      <c r="AE5">
        <v>0.5</v>
      </c>
      <c r="AF5" s="19">
        <v>99.905969999999996</v>
      </c>
      <c r="AG5" s="4">
        <f t="shared" ref="AG5:AG68" si="4">100-($AF$4-AF5)</f>
        <v>100.16745999999999</v>
      </c>
    </row>
    <row r="6" spans="2:34" x14ac:dyDescent="0.15">
      <c r="B6" s="22">
        <v>204.03914</v>
      </c>
      <c r="C6">
        <v>1</v>
      </c>
      <c r="D6" s="4">
        <v>99.043530000000004</v>
      </c>
      <c r="E6" s="4">
        <f t="shared" si="0"/>
        <v>100.16997000000001</v>
      </c>
      <c r="I6" s="22">
        <v>225.37519</v>
      </c>
      <c r="J6">
        <v>1</v>
      </c>
      <c r="K6" s="4">
        <v>96.643860000000004</v>
      </c>
      <c r="L6" s="4">
        <f t="shared" si="1"/>
        <v>100.23093</v>
      </c>
      <c r="P6" s="24">
        <v>228.69852</v>
      </c>
      <c r="Q6">
        <v>1</v>
      </c>
      <c r="R6" s="19">
        <v>100.08382</v>
      </c>
      <c r="S6" s="4">
        <f t="shared" si="2"/>
        <v>100.00800000000001</v>
      </c>
      <c r="W6" s="22">
        <v>250.52506</v>
      </c>
      <c r="X6">
        <v>1</v>
      </c>
      <c r="Y6" s="23">
        <v>94.857519999999994</v>
      </c>
      <c r="Z6" s="4">
        <f t="shared" si="3"/>
        <v>100.29835</v>
      </c>
      <c r="AD6" s="24">
        <v>250.14171999999999</v>
      </c>
      <c r="AE6">
        <v>1</v>
      </c>
      <c r="AF6" s="25">
        <v>100.12372999999999</v>
      </c>
      <c r="AG6" s="4">
        <f t="shared" si="4"/>
        <v>100.38521999999999</v>
      </c>
    </row>
    <row r="7" spans="2:34" x14ac:dyDescent="0.15">
      <c r="B7" s="22">
        <v>205.16368</v>
      </c>
      <c r="C7">
        <v>1.5</v>
      </c>
      <c r="D7" s="23">
        <v>99.101200000000006</v>
      </c>
      <c r="E7" s="4">
        <f t="shared" si="0"/>
        <v>100.22764000000001</v>
      </c>
      <c r="I7" s="22">
        <v>225.34948</v>
      </c>
      <c r="J7">
        <v>1.5</v>
      </c>
      <c r="K7" s="23">
        <v>96.727270000000004</v>
      </c>
      <c r="L7" s="4">
        <f t="shared" si="1"/>
        <v>100.31434</v>
      </c>
      <c r="P7" s="24">
        <v>229.64313999999999</v>
      </c>
      <c r="Q7">
        <v>1.5</v>
      </c>
      <c r="R7" s="25">
        <v>100.08121</v>
      </c>
      <c r="S7" s="4">
        <f t="shared" si="2"/>
        <v>100.00539000000001</v>
      </c>
      <c r="W7" s="22">
        <v>250.48582999999999</v>
      </c>
      <c r="X7">
        <v>1.5</v>
      </c>
      <c r="Y7" s="4">
        <v>94.961079999999995</v>
      </c>
      <c r="Z7" s="4">
        <f t="shared" si="3"/>
        <v>100.40191</v>
      </c>
      <c r="AD7" s="24">
        <v>250.17527000000001</v>
      </c>
      <c r="AE7">
        <v>1.5</v>
      </c>
      <c r="AF7" s="19">
        <v>100.19843</v>
      </c>
      <c r="AG7" s="4">
        <f t="shared" si="4"/>
        <v>100.45992</v>
      </c>
    </row>
    <row r="8" spans="2:34" x14ac:dyDescent="0.15">
      <c r="B8" s="22">
        <v>205.76915</v>
      </c>
      <c r="C8">
        <v>2</v>
      </c>
      <c r="D8" s="4">
        <v>99.165700000000001</v>
      </c>
      <c r="E8" s="4">
        <f t="shared" si="0"/>
        <v>100.29214</v>
      </c>
      <c r="I8" s="22">
        <v>225.25546</v>
      </c>
      <c r="J8">
        <v>2</v>
      </c>
      <c r="K8" s="4">
        <v>96.804040000000001</v>
      </c>
      <c r="L8" s="4">
        <f t="shared" si="1"/>
        <v>100.39111</v>
      </c>
      <c r="P8" s="24">
        <v>230.09608</v>
      </c>
      <c r="Q8">
        <v>2</v>
      </c>
      <c r="R8" s="19">
        <v>100.06466</v>
      </c>
      <c r="S8" s="4">
        <f t="shared" si="2"/>
        <v>99.98884000000001</v>
      </c>
      <c r="W8" s="22">
        <v>250.35082</v>
      </c>
      <c r="X8">
        <v>2</v>
      </c>
      <c r="Y8" s="23">
        <v>95.031899999999993</v>
      </c>
      <c r="Z8" s="4">
        <f t="shared" si="3"/>
        <v>100.47273</v>
      </c>
      <c r="AD8" s="24">
        <v>250.16636</v>
      </c>
      <c r="AE8">
        <v>2</v>
      </c>
      <c r="AF8" s="25">
        <v>100.15464</v>
      </c>
      <c r="AG8" s="4">
        <f t="shared" si="4"/>
        <v>100.41613</v>
      </c>
    </row>
    <row r="9" spans="2:34" x14ac:dyDescent="0.15">
      <c r="B9" s="22">
        <v>206.02691999999999</v>
      </c>
      <c r="C9">
        <v>2.5</v>
      </c>
      <c r="D9" s="23">
        <v>99.207440000000005</v>
      </c>
      <c r="E9" s="4">
        <f t="shared" si="0"/>
        <v>100.33388000000001</v>
      </c>
      <c r="I9" s="22">
        <v>225.15756999999999</v>
      </c>
      <c r="J9">
        <v>2.5</v>
      </c>
      <c r="K9" s="23">
        <v>96.834879999999998</v>
      </c>
      <c r="L9" s="4">
        <f t="shared" si="1"/>
        <v>100.42195</v>
      </c>
      <c r="P9" s="24">
        <v>230.26029</v>
      </c>
      <c r="Q9">
        <v>2.5</v>
      </c>
      <c r="R9" s="25">
        <v>100.14502</v>
      </c>
      <c r="S9" s="4">
        <f t="shared" si="2"/>
        <v>100.06920000000001</v>
      </c>
      <c r="W9" s="22">
        <v>250.21381</v>
      </c>
      <c r="X9">
        <v>2.5</v>
      </c>
      <c r="Y9" s="4">
        <v>95.045370000000005</v>
      </c>
      <c r="Z9" s="4">
        <f t="shared" si="3"/>
        <v>100.48620000000001</v>
      </c>
      <c r="AD9" s="24">
        <v>250.13444999999999</v>
      </c>
      <c r="AE9">
        <v>2.5</v>
      </c>
      <c r="AF9" s="19">
        <v>100.26729</v>
      </c>
      <c r="AG9" s="4">
        <f t="shared" si="4"/>
        <v>100.52878</v>
      </c>
    </row>
    <row r="10" spans="2:34" x14ac:dyDescent="0.15">
      <c r="B10" s="22">
        <v>206.08526000000001</v>
      </c>
      <c r="C10">
        <v>3</v>
      </c>
      <c r="D10" s="4">
        <v>99.292959999999994</v>
      </c>
      <c r="E10" s="4">
        <f t="shared" si="0"/>
        <v>100.4194</v>
      </c>
      <c r="I10" s="22">
        <v>225.07776999999999</v>
      </c>
      <c r="J10">
        <v>3</v>
      </c>
      <c r="K10" s="4">
        <v>96.838570000000004</v>
      </c>
      <c r="L10" s="4">
        <f t="shared" si="1"/>
        <v>100.42564</v>
      </c>
      <c r="P10" s="24">
        <v>230.29175000000001</v>
      </c>
      <c r="Q10">
        <v>3</v>
      </c>
      <c r="R10" s="19">
        <v>100.17519</v>
      </c>
      <c r="S10" s="4">
        <f t="shared" si="2"/>
        <v>100.09937000000001</v>
      </c>
      <c r="W10" s="22">
        <v>250.10078999999999</v>
      </c>
      <c r="X10">
        <v>3</v>
      </c>
      <c r="Y10" s="23">
        <v>95.060559999999995</v>
      </c>
      <c r="Z10" s="4">
        <f t="shared" si="3"/>
        <v>100.50139</v>
      </c>
      <c r="AD10" s="24">
        <v>250.10865999999999</v>
      </c>
      <c r="AE10">
        <v>3</v>
      </c>
      <c r="AF10" s="25">
        <v>100.10890999999999</v>
      </c>
      <c r="AG10" s="4">
        <f t="shared" si="4"/>
        <v>100.37039999999999</v>
      </c>
    </row>
    <row r="11" spans="2:34" x14ac:dyDescent="0.15">
      <c r="B11" s="22">
        <v>206.03245999999999</v>
      </c>
      <c r="C11">
        <v>3.5</v>
      </c>
      <c r="D11" s="23">
        <v>99.256929999999997</v>
      </c>
      <c r="E11" s="4">
        <f t="shared" si="0"/>
        <v>100.38337</v>
      </c>
      <c r="I11" s="22">
        <v>225.02271999999999</v>
      </c>
      <c r="J11">
        <v>3.5</v>
      </c>
      <c r="K11" s="23">
        <v>96.886449999999996</v>
      </c>
      <c r="L11" s="4">
        <f t="shared" si="1"/>
        <v>100.47351999999999</v>
      </c>
      <c r="P11" s="24">
        <v>230.26491999999999</v>
      </c>
      <c r="Q11">
        <v>3.5</v>
      </c>
      <c r="R11" s="25">
        <v>100.1371</v>
      </c>
      <c r="S11" s="4">
        <f t="shared" si="2"/>
        <v>100.06128000000001</v>
      </c>
      <c r="W11" s="9">
        <v>250.01891000000001</v>
      </c>
      <c r="X11">
        <v>3.5</v>
      </c>
      <c r="Y11" s="9">
        <v>95.06653</v>
      </c>
      <c r="Z11" s="4">
        <f t="shared" si="3"/>
        <v>100.50736000000001</v>
      </c>
      <c r="AD11" s="24">
        <v>250.09214</v>
      </c>
      <c r="AE11">
        <v>3.5</v>
      </c>
      <c r="AF11" s="19">
        <v>100.14182</v>
      </c>
      <c r="AG11" s="4">
        <f t="shared" si="4"/>
        <v>100.40330999999999</v>
      </c>
    </row>
    <row r="12" spans="2:34" x14ac:dyDescent="0.15">
      <c r="B12" s="22">
        <v>205.90749</v>
      </c>
      <c r="C12">
        <v>4</v>
      </c>
      <c r="D12" s="4">
        <v>99.285420000000002</v>
      </c>
      <c r="E12" s="4">
        <f t="shared" si="0"/>
        <v>100.41186</v>
      </c>
      <c r="I12" s="22">
        <v>224.98786000000001</v>
      </c>
      <c r="J12">
        <v>4</v>
      </c>
      <c r="K12" s="4">
        <v>96.906019999999998</v>
      </c>
      <c r="L12" s="4">
        <f t="shared" si="1"/>
        <v>100.49309</v>
      </c>
      <c r="P12" s="24">
        <v>230.19832</v>
      </c>
      <c r="Q12">
        <v>4</v>
      </c>
      <c r="R12" s="19">
        <v>100.13039999999999</v>
      </c>
      <c r="S12" s="4">
        <f t="shared" si="2"/>
        <v>100.05458</v>
      </c>
      <c r="W12" s="22">
        <v>249.96587</v>
      </c>
      <c r="X12">
        <v>4</v>
      </c>
      <c r="Y12" s="23">
        <v>95.064329999999998</v>
      </c>
      <c r="Z12" s="4">
        <f t="shared" si="3"/>
        <v>100.50516</v>
      </c>
      <c r="AD12" s="24">
        <v>250.07830999999999</v>
      </c>
      <c r="AE12">
        <v>4</v>
      </c>
      <c r="AF12" s="25">
        <v>100.25499000000001</v>
      </c>
      <c r="AG12" s="4">
        <f t="shared" si="4"/>
        <v>100.51648</v>
      </c>
    </row>
    <row r="13" spans="2:34" x14ac:dyDescent="0.15">
      <c r="B13" s="22">
        <v>205.72273000000001</v>
      </c>
      <c r="C13">
        <v>4.5</v>
      </c>
      <c r="D13" s="23">
        <v>99.211240000000004</v>
      </c>
      <c r="E13" s="4">
        <f t="shared" si="0"/>
        <v>100.33768000000001</v>
      </c>
      <c r="I13" s="22">
        <v>224.96079</v>
      </c>
      <c r="J13">
        <v>4.5</v>
      </c>
      <c r="K13" s="23">
        <v>96.900170000000003</v>
      </c>
      <c r="L13" s="4">
        <f t="shared" si="1"/>
        <v>100.48724</v>
      </c>
      <c r="P13" s="24">
        <v>230.06881000000001</v>
      </c>
      <c r="Q13">
        <v>4.5</v>
      </c>
      <c r="R13" s="25">
        <v>100.24339000000001</v>
      </c>
      <c r="S13" s="4">
        <f t="shared" si="2"/>
        <v>100.16757000000001</v>
      </c>
      <c r="W13" s="22">
        <v>249.94198</v>
      </c>
      <c r="X13">
        <v>4.5</v>
      </c>
      <c r="Y13" s="4">
        <v>95.052710000000005</v>
      </c>
      <c r="Z13" s="4">
        <f t="shared" si="3"/>
        <v>100.49354000000001</v>
      </c>
      <c r="AD13" s="24">
        <v>250.07071999999999</v>
      </c>
      <c r="AE13">
        <v>4.5</v>
      </c>
      <c r="AF13" s="19">
        <v>100.13798</v>
      </c>
      <c r="AG13" s="4">
        <f t="shared" si="4"/>
        <v>100.39946999999999</v>
      </c>
    </row>
    <row r="14" spans="2:34" x14ac:dyDescent="0.15">
      <c r="B14" s="22">
        <v>205.48319000000001</v>
      </c>
      <c r="C14">
        <v>5</v>
      </c>
      <c r="D14" s="4">
        <v>99.246899999999997</v>
      </c>
      <c r="E14" s="4">
        <f t="shared" si="0"/>
        <v>100.37334</v>
      </c>
      <c r="I14" s="22">
        <v>224.95097000000001</v>
      </c>
      <c r="J14">
        <v>5</v>
      </c>
      <c r="K14" s="4">
        <v>96.902519999999996</v>
      </c>
      <c r="L14" s="4">
        <f t="shared" si="1"/>
        <v>100.48958999999999</v>
      </c>
      <c r="P14" s="24">
        <v>229.86067</v>
      </c>
      <c r="Q14">
        <v>5</v>
      </c>
      <c r="R14" s="19">
        <v>99.962789999999998</v>
      </c>
      <c r="S14" s="4">
        <f t="shared" si="2"/>
        <v>99.886970000000005</v>
      </c>
      <c r="W14" s="22">
        <v>249.93098000000001</v>
      </c>
      <c r="X14">
        <v>5</v>
      </c>
      <c r="Y14" s="23">
        <v>95.031620000000004</v>
      </c>
      <c r="Z14" s="4">
        <f t="shared" si="3"/>
        <v>100.47245000000001</v>
      </c>
      <c r="AD14" s="24">
        <v>250.05874</v>
      </c>
      <c r="AE14">
        <v>5</v>
      </c>
      <c r="AF14" s="25">
        <v>100.17148</v>
      </c>
      <c r="AG14" s="4">
        <f t="shared" si="4"/>
        <v>100.43297</v>
      </c>
    </row>
    <row r="15" spans="2:34" x14ac:dyDescent="0.15">
      <c r="B15" s="22">
        <v>205.18277</v>
      </c>
      <c r="C15">
        <v>5.5</v>
      </c>
      <c r="D15" s="23">
        <v>99.179010000000005</v>
      </c>
      <c r="E15" s="4">
        <f t="shared" si="0"/>
        <v>100.30545000000001</v>
      </c>
      <c r="I15" s="9">
        <v>224.94900000000001</v>
      </c>
      <c r="J15">
        <v>5.5</v>
      </c>
      <c r="K15" s="9">
        <v>96.930459999999997</v>
      </c>
      <c r="L15" s="4">
        <f t="shared" si="1"/>
        <v>100.51752999999999</v>
      </c>
      <c r="P15" s="24">
        <v>229.58063000000001</v>
      </c>
      <c r="Q15">
        <v>5.5</v>
      </c>
      <c r="R15" s="25">
        <v>100.04909000000001</v>
      </c>
      <c r="S15" s="4">
        <f t="shared" si="2"/>
        <v>99.973270000000014</v>
      </c>
      <c r="W15" s="22">
        <v>249.92099999999999</v>
      </c>
      <c r="X15">
        <v>5.5</v>
      </c>
      <c r="Y15" s="4">
        <v>95.012730000000005</v>
      </c>
      <c r="Z15" s="4">
        <f t="shared" si="3"/>
        <v>100.45356000000001</v>
      </c>
      <c r="AD15" s="24">
        <v>250.04786999999999</v>
      </c>
      <c r="AE15">
        <v>5.5</v>
      </c>
      <c r="AF15" s="19">
        <v>100.15102</v>
      </c>
      <c r="AG15" s="4">
        <f t="shared" si="4"/>
        <v>100.41251</v>
      </c>
    </row>
    <row r="16" spans="2:34" x14ac:dyDescent="0.15">
      <c r="B16" s="22">
        <v>204.8312</v>
      </c>
      <c r="C16">
        <v>6</v>
      </c>
      <c r="D16" s="4">
        <v>99.221379999999996</v>
      </c>
      <c r="E16" s="4">
        <f t="shared" si="0"/>
        <v>100.34782</v>
      </c>
      <c r="I16" s="22">
        <v>224.95199</v>
      </c>
      <c r="J16">
        <v>6</v>
      </c>
      <c r="K16" s="4">
        <v>96.907830000000004</v>
      </c>
      <c r="L16" s="4">
        <f t="shared" si="1"/>
        <v>100.4949</v>
      </c>
      <c r="P16" s="24">
        <v>229.24638999999999</v>
      </c>
      <c r="Q16">
        <v>6</v>
      </c>
      <c r="R16" s="19">
        <v>100.13445</v>
      </c>
      <c r="S16" s="4">
        <f t="shared" si="2"/>
        <v>100.05863000000001</v>
      </c>
      <c r="W16" s="22">
        <v>249.92001999999999</v>
      </c>
      <c r="X16">
        <v>6</v>
      </c>
      <c r="Y16" s="23">
        <v>94.991669999999999</v>
      </c>
      <c r="Z16" s="4">
        <f t="shared" si="3"/>
        <v>100.4325</v>
      </c>
      <c r="AD16" s="24">
        <v>250.03592</v>
      </c>
      <c r="AE16">
        <v>6</v>
      </c>
      <c r="AF16" s="25">
        <v>100.0791</v>
      </c>
      <c r="AG16" s="4">
        <f t="shared" si="4"/>
        <v>100.34058999999999</v>
      </c>
    </row>
    <row r="17" spans="2:33" x14ac:dyDescent="0.15">
      <c r="B17" s="22">
        <v>204.44404</v>
      </c>
      <c r="C17">
        <v>6.5</v>
      </c>
      <c r="D17" s="23">
        <v>99.278469999999999</v>
      </c>
      <c r="E17" s="4">
        <f t="shared" si="0"/>
        <v>100.40491</v>
      </c>
      <c r="I17" s="22">
        <v>224.95696000000001</v>
      </c>
      <c r="J17">
        <v>6.5</v>
      </c>
      <c r="K17" s="23">
        <v>96.891589999999994</v>
      </c>
      <c r="L17" s="4">
        <f t="shared" si="1"/>
        <v>100.47865999999999</v>
      </c>
      <c r="P17" s="24">
        <v>228.88247999999999</v>
      </c>
      <c r="Q17">
        <v>6.5</v>
      </c>
      <c r="R17" s="25">
        <v>100.00054</v>
      </c>
      <c r="S17" s="4">
        <f t="shared" si="2"/>
        <v>99.924720000000008</v>
      </c>
      <c r="W17" s="22">
        <v>249.93305000000001</v>
      </c>
      <c r="X17">
        <v>6.5</v>
      </c>
      <c r="Y17" s="4">
        <v>94.961010000000002</v>
      </c>
      <c r="Z17" s="4">
        <f t="shared" si="3"/>
        <v>100.40184000000001</v>
      </c>
      <c r="AD17" s="24">
        <v>250.02594999999999</v>
      </c>
      <c r="AE17">
        <v>6.5</v>
      </c>
      <c r="AF17" s="19">
        <v>100.20910000000001</v>
      </c>
      <c r="AG17" s="4">
        <f t="shared" si="4"/>
        <v>100.47059</v>
      </c>
    </row>
    <row r="18" spans="2:33" x14ac:dyDescent="0.15">
      <c r="B18" s="22">
        <v>204.04245</v>
      </c>
      <c r="C18">
        <v>7</v>
      </c>
      <c r="D18" s="4">
        <v>99.30095</v>
      </c>
      <c r="E18" s="4">
        <f t="shared" si="0"/>
        <v>100.42739</v>
      </c>
      <c r="I18" s="22">
        <v>224.96493000000001</v>
      </c>
      <c r="J18">
        <v>7</v>
      </c>
      <c r="K18" s="4">
        <v>96.924440000000004</v>
      </c>
      <c r="L18" s="4">
        <f t="shared" si="1"/>
        <v>100.51151</v>
      </c>
      <c r="P18" s="24">
        <v>228.51752999999999</v>
      </c>
      <c r="Q18">
        <v>7</v>
      </c>
      <c r="R18" s="19">
        <v>100.19450000000001</v>
      </c>
      <c r="S18" s="4">
        <f t="shared" si="2"/>
        <v>100.11868000000001</v>
      </c>
      <c r="W18" s="22">
        <v>249.93805</v>
      </c>
      <c r="X18">
        <v>7</v>
      </c>
      <c r="Y18" s="23">
        <v>94.955100000000002</v>
      </c>
      <c r="Z18" s="4">
        <f t="shared" si="3"/>
        <v>100.39593000000001</v>
      </c>
      <c r="AD18" s="24">
        <v>250.02296999999999</v>
      </c>
      <c r="AE18">
        <v>7</v>
      </c>
      <c r="AF18" s="25">
        <v>100.06921</v>
      </c>
      <c r="AG18" s="4">
        <f t="shared" si="4"/>
        <v>100.33069999999999</v>
      </c>
    </row>
    <row r="19" spans="2:33" x14ac:dyDescent="0.15">
      <c r="B19" s="22">
        <v>203.64420000000001</v>
      </c>
      <c r="C19">
        <v>7.5</v>
      </c>
      <c r="D19" s="23">
        <v>99.320269999999994</v>
      </c>
      <c r="E19" s="4">
        <f t="shared" si="0"/>
        <v>100.44671</v>
      </c>
      <c r="I19" s="22">
        <v>224.96706</v>
      </c>
      <c r="J19">
        <v>7.5</v>
      </c>
      <c r="K19" s="23">
        <v>96.902780000000007</v>
      </c>
      <c r="L19" s="4">
        <f t="shared" si="1"/>
        <v>100.48985</v>
      </c>
      <c r="P19" s="24">
        <v>228.17219</v>
      </c>
      <c r="Q19">
        <v>7.5</v>
      </c>
      <c r="R19" s="25">
        <v>100.10457</v>
      </c>
      <c r="S19" s="4">
        <f t="shared" si="2"/>
        <v>100.02875</v>
      </c>
      <c r="W19" s="22">
        <v>249.94702000000001</v>
      </c>
      <c r="X19">
        <v>7.5</v>
      </c>
      <c r="Y19" s="4">
        <v>94.935929999999999</v>
      </c>
      <c r="Z19" s="4">
        <f t="shared" si="3"/>
        <v>100.37676</v>
      </c>
      <c r="AD19" s="24">
        <v>250.01794000000001</v>
      </c>
      <c r="AE19">
        <v>7.5</v>
      </c>
      <c r="AF19" s="19">
        <v>100.11503</v>
      </c>
      <c r="AG19" s="4">
        <f t="shared" si="4"/>
        <v>100.37652</v>
      </c>
    </row>
    <row r="20" spans="2:33" x14ac:dyDescent="0.15">
      <c r="B20" s="22">
        <v>203.27386000000001</v>
      </c>
      <c r="C20">
        <v>8</v>
      </c>
      <c r="D20" s="4">
        <v>99.373320000000007</v>
      </c>
      <c r="E20" s="4">
        <f t="shared" si="0"/>
        <v>100.49976000000001</v>
      </c>
      <c r="I20" s="22">
        <v>224.97107</v>
      </c>
      <c r="J20">
        <v>8</v>
      </c>
      <c r="K20" s="4">
        <v>96.896640000000005</v>
      </c>
      <c r="L20" s="4">
        <f t="shared" si="1"/>
        <v>100.48371</v>
      </c>
      <c r="P20" s="24">
        <v>227.84817000000001</v>
      </c>
      <c r="Q20">
        <v>8</v>
      </c>
      <c r="R20" s="19">
        <v>99.995819999999995</v>
      </c>
      <c r="S20" s="4">
        <f t="shared" si="2"/>
        <v>99.92</v>
      </c>
      <c r="W20" s="22">
        <v>249.95301000000001</v>
      </c>
      <c r="X20">
        <v>8</v>
      </c>
      <c r="Y20" s="23">
        <v>94.90531</v>
      </c>
      <c r="Z20" s="4">
        <f t="shared" si="3"/>
        <v>100.34614000000001</v>
      </c>
      <c r="AD20" s="24">
        <v>250.00979000000001</v>
      </c>
      <c r="AE20">
        <v>8</v>
      </c>
      <c r="AF20" s="25">
        <v>100.11665000000001</v>
      </c>
      <c r="AG20" s="4">
        <f t="shared" si="4"/>
        <v>100.37814</v>
      </c>
    </row>
    <row r="21" spans="2:33" x14ac:dyDescent="0.15">
      <c r="B21" s="22">
        <v>202.93733</v>
      </c>
      <c r="C21">
        <v>8.5</v>
      </c>
      <c r="D21" s="23">
        <v>99.367339999999999</v>
      </c>
      <c r="E21" s="4">
        <f t="shared" si="0"/>
        <v>100.49378</v>
      </c>
      <c r="I21" s="22">
        <v>224.97413</v>
      </c>
      <c r="J21">
        <v>8.5</v>
      </c>
      <c r="K21" s="23">
        <v>96.869860000000003</v>
      </c>
      <c r="L21" s="4">
        <f t="shared" si="1"/>
        <v>100.45693</v>
      </c>
      <c r="P21" s="24">
        <v>227.54401999999999</v>
      </c>
      <c r="Q21">
        <v>8.5</v>
      </c>
      <c r="R21" s="25">
        <v>99.978070000000002</v>
      </c>
      <c r="S21" s="4">
        <f t="shared" si="2"/>
        <v>99.902250000000009</v>
      </c>
      <c r="W21" s="22">
        <v>249.95797999999999</v>
      </c>
      <c r="X21">
        <v>8.5</v>
      </c>
      <c r="Y21" s="4">
        <v>94.886099999999999</v>
      </c>
      <c r="Z21" s="4">
        <f t="shared" si="3"/>
        <v>100.32693</v>
      </c>
      <c r="AD21" s="24">
        <v>250.01222999999999</v>
      </c>
      <c r="AE21">
        <v>8.5</v>
      </c>
      <c r="AF21" s="19">
        <v>100.03751</v>
      </c>
      <c r="AG21" s="4">
        <f t="shared" si="4"/>
        <v>100.29899999999999</v>
      </c>
    </row>
    <row r="22" spans="2:33" x14ac:dyDescent="0.15">
      <c r="B22" s="22">
        <v>202.62302</v>
      </c>
      <c r="C22">
        <v>9</v>
      </c>
      <c r="D22" s="4">
        <v>99.299300000000002</v>
      </c>
      <c r="E22" s="4">
        <f t="shared" si="0"/>
        <v>100.42574</v>
      </c>
      <c r="I22" s="22">
        <v>224.98101</v>
      </c>
      <c r="J22">
        <v>9</v>
      </c>
      <c r="K22" s="4">
        <v>96.886080000000007</v>
      </c>
      <c r="L22" s="4">
        <f t="shared" si="1"/>
        <v>100.47315</v>
      </c>
      <c r="P22" s="24">
        <v>227.26118</v>
      </c>
      <c r="Q22">
        <v>9</v>
      </c>
      <c r="R22" s="19">
        <v>100.00991999999999</v>
      </c>
      <c r="S22" s="4">
        <f t="shared" si="2"/>
        <v>99.934100000000001</v>
      </c>
      <c r="W22" s="22">
        <v>249.964</v>
      </c>
      <c r="X22">
        <v>9</v>
      </c>
      <c r="Y22" s="23">
        <v>94.841999999999999</v>
      </c>
      <c r="Z22" s="4">
        <f t="shared" si="3"/>
        <v>100.28283</v>
      </c>
      <c r="AD22" s="24">
        <v>250.01089999999999</v>
      </c>
      <c r="AE22">
        <v>9</v>
      </c>
      <c r="AF22" s="25">
        <v>100.12275</v>
      </c>
      <c r="AG22" s="4">
        <f t="shared" si="4"/>
        <v>100.38423999999999</v>
      </c>
    </row>
    <row r="23" spans="2:33" x14ac:dyDescent="0.15">
      <c r="B23" s="22">
        <v>202.31540000000001</v>
      </c>
      <c r="C23">
        <v>9.5</v>
      </c>
      <c r="D23" s="23">
        <v>99.348929999999996</v>
      </c>
      <c r="E23" s="4">
        <f t="shared" si="0"/>
        <v>100.47537</v>
      </c>
      <c r="I23" s="22">
        <v>224.98102</v>
      </c>
      <c r="J23">
        <v>9.5</v>
      </c>
      <c r="K23" s="23">
        <v>96.845849999999999</v>
      </c>
      <c r="L23" s="4">
        <f t="shared" si="1"/>
        <v>100.43292</v>
      </c>
      <c r="P23" s="24">
        <v>226.99897000000001</v>
      </c>
      <c r="Q23">
        <v>9.5</v>
      </c>
      <c r="R23" s="25">
        <v>99.967010000000002</v>
      </c>
      <c r="S23" s="4">
        <f t="shared" si="2"/>
        <v>99.891190000000009</v>
      </c>
      <c r="W23" s="22">
        <v>249.96902</v>
      </c>
      <c r="X23">
        <v>9.5</v>
      </c>
      <c r="Y23" s="4">
        <v>94.830520000000007</v>
      </c>
      <c r="Z23" s="4">
        <f t="shared" si="3"/>
        <v>100.27135000000001</v>
      </c>
      <c r="AD23" s="24">
        <v>250.01214999999999</v>
      </c>
      <c r="AE23">
        <v>9.5</v>
      </c>
      <c r="AF23" s="19">
        <v>100.08249000000001</v>
      </c>
      <c r="AG23" s="4">
        <f t="shared" si="4"/>
        <v>100.34398</v>
      </c>
    </row>
    <row r="24" spans="2:33" x14ac:dyDescent="0.15">
      <c r="B24" s="22">
        <v>202.00353999999999</v>
      </c>
      <c r="C24">
        <v>10</v>
      </c>
      <c r="D24" s="4">
        <v>99.337310000000002</v>
      </c>
      <c r="E24" s="4">
        <f t="shared" si="0"/>
        <v>100.46375</v>
      </c>
      <c r="I24" s="22">
        <v>224.98217</v>
      </c>
      <c r="J24">
        <v>10</v>
      </c>
      <c r="K24" s="4">
        <v>96.848370000000003</v>
      </c>
      <c r="L24" s="4">
        <f t="shared" si="1"/>
        <v>100.43544</v>
      </c>
      <c r="P24" s="24">
        <v>226.75583</v>
      </c>
      <c r="Q24">
        <v>10</v>
      </c>
      <c r="R24" s="19">
        <v>100.15365</v>
      </c>
      <c r="S24" s="4">
        <f t="shared" si="2"/>
        <v>100.07783000000001</v>
      </c>
      <c r="W24" s="22">
        <v>249.97202999999999</v>
      </c>
      <c r="X24">
        <v>10</v>
      </c>
      <c r="Y24" s="23">
        <v>94.788309999999996</v>
      </c>
      <c r="Z24" s="4">
        <f t="shared" si="3"/>
        <v>100.22914</v>
      </c>
      <c r="AD24" s="24">
        <v>250.00521000000001</v>
      </c>
      <c r="AE24">
        <v>10</v>
      </c>
      <c r="AF24" s="25">
        <v>99.991519999999994</v>
      </c>
      <c r="AG24" s="4">
        <f t="shared" si="4"/>
        <v>100.25300999999999</v>
      </c>
    </row>
    <row r="25" spans="2:33" x14ac:dyDescent="0.15">
      <c r="B25" s="22">
        <v>201.69973999999999</v>
      </c>
      <c r="C25">
        <v>10.5</v>
      </c>
      <c r="D25" s="23">
        <v>99.421509999999998</v>
      </c>
      <c r="E25" s="4">
        <f t="shared" si="0"/>
        <v>100.54795</v>
      </c>
      <c r="I25" s="22">
        <v>224.98204000000001</v>
      </c>
      <c r="J25">
        <v>10.5</v>
      </c>
      <c r="K25" s="23">
        <v>96.837040000000002</v>
      </c>
      <c r="L25" s="4">
        <f t="shared" si="1"/>
        <v>100.42411</v>
      </c>
      <c r="P25" s="24">
        <v>226.5316</v>
      </c>
      <c r="Q25">
        <v>10.5</v>
      </c>
      <c r="R25" s="25">
        <v>100.02082</v>
      </c>
      <c r="S25" s="4">
        <f t="shared" si="2"/>
        <v>99.945000000000007</v>
      </c>
      <c r="W25" s="22">
        <v>249.97400999999999</v>
      </c>
      <c r="X25">
        <v>10.5</v>
      </c>
      <c r="Y25" s="4">
        <v>94.770960000000002</v>
      </c>
      <c r="Z25" s="4">
        <f t="shared" si="3"/>
        <v>100.21179000000001</v>
      </c>
      <c r="AD25" s="24">
        <v>250.00295</v>
      </c>
      <c r="AE25">
        <v>10.5</v>
      </c>
      <c r="AF25" s="19">
        <v>100.05369</v>
      </c>
      <c r="AG25" s="4">
        <f t="shared" si="4"/>
        <v>100.31518</v>
      </c>
    </row>
    <row r="26" spans="2:33" x14ac:dyDescent="0.15">
      <c r="B26" s="22">
        <v>201.42119</v>
      </c>
      <c r="C26">
        <v>11</v>
      </c>
      <c r="D26" s="4">
        <v>99.443849999999998</v>
      </c>
      <c r="E26" s="4">
        <f t="shared" si="0"/>
        <v>100.57029</v>
      </c>
      <c r="I26" s="22">
        <v>224.98598999999999</v>
      </c>
      <c r="J26">
        <v>11</v>
      </c>
      <c r="K26" s="4">
        <v>96.825190000000006</v>
      </c>
      <c r="L26" s="4">
        <f t="shared" si="1"/>
        <v>100.41226</v>
      </c>
      <c r="P26" s="24">
        <v>226.32705000000001</v>
      </c>
      <c r="Q26">
        <v>11</v>
      </c>
      <c r="R26" s="19">
        <v>99.988169999999997</v>
      </c>
      <c r="S26" s="4">
        <f t="shared" si="2"/>
        <v>99.912350000000004</v>
      </c>
      <c r="W26" s="22">
        <v>249.98004</v>
      </c>
      <c r="X26">
        <v>11</v>
      </c>
      <c r="Y26" s="23">
        <v>94.74427</v>
      </c>
      <c r="Z26" s="4">
        <f t="shared" si="3"/>
        <v>100.18510000000001</v>
      </c>
      <c r="AD26" s="24">
        <v>250.00106</v>
      </c>
      <c r="AE26">
        <v>11</v>
      </c>
      <c r="AF26" s="25">
        <v>100.01926</v>
      </c>
      <c r="AG26" s="4">
        <f t="shared" si="4"/>
        <v>100.28075</v>
      </c>
    </row>
    <row r="27" spans="2:33" x14ac:dyDescent="0.15">
      <c r="B27" s="22">
        <v>201.18457000000001</v>
      </c>
      <c r="C27">
        <v>11.5</v>
      </c>
      <c r="D27" s="23">
        <v>99.485110000000006</v>
      </c>
      <c r="E27" s="4">
        <f t="shared" si="0"/>
        <v>100.61155000000001</v>
      </c>
      <c r="I27" s="22">
        <v>224.99007</v>
      </c>
      <c r="J27">
        <v>11.5</v>
      </c>
      <c r="K27" s="23">
        <v>96.807100000000005</v>
      </c>
      <c r="L27" s="4">
        <f t="shared" si="1"/>
        <v>100.39417</v>
      </c>
      <c r="P27" s="24">
        <v>226.14424</v>
      </c>
      <c r="Q27">
        <v>11.5</v>
      </c>
      <c r="R27" s="25">
        <v>100.19926</v>
      </c>
      <c r="S27" s="4">
        <f t="shared" si="2"/>
        <v>100.12344</v>
      </c>
      <c r="W27" s="22">
        <v>249.98193000000001</v>
      </c>
      <c r="X27">
        <v>11.5</v>
      </c>
      <c r="Y27" s="4">
        <v>94.705439999999996</v>
      </c>
      <c r="Z27" s="4">
        <f t="shared" si="3"/>
        <v>100.14627</v>
      </c>
      <c r="AD27" s="24">
        <v>250.00067000000001</v>
      </c>
      <c r="AE27">
        <v>11.5</v>
      </c>
      <c r="AF27" s="19">
        <v>100.05103</v>
      </c>
      <c r="AG27" s="4">
        <f t="shared" si="4"/>
        <v>100.31251999999999</v>
      </c>
    </row>
    <row r="28" spans="2:33" x14ac:dyDescent="0.15">
      <c r="B28" s="22">
        <v>200.98356999999999</v>
      </c>
      <c r="C28">
        <v>12</v>
      </c>
      <c r="D28" s="4">
        <v>99.271209999999996</v>
      </c>
      <c r="E28" s="4">
        <f t="shared" si="0"/>
        <v>100.39765</v>
      </c>
      <c r="I28" s="22">
        <v>224.98903999999999</v>
      </c>
      <c r="J28">
        <v>12</v>
      </c>
      <c r="K28" s="4">
        <v>96.778019999999998</v>
      </c>
      <c r="L28" s="4">
        <f t="shared" si="1"/>
        <v>100.36509</v>
      </c>
      <c r="P28" s="24">
        <v>225.98161999999999</v>
      </c>
      <c r="Q28">
        <v>12</v>
      </c>
      <c r="R28" s="19">
        <v>100.10898</v>
      </c>
      <c r="S28" s="4">
        <f t="shared" si="2"/>
        <v>100.03316000000001</v>
      </c>
      <c r="W28" s="22">
        <v>249.98602</v>
      </c>
      <c r="X28">
        <v>12</v>
      </c>
      <c r="Y28" s="23">
        <v>94.694280000000006</v>
      </c>
      <c r="Z28" s="4">
        <f t="shared" si="3"/>
        <v>100.13511000000001</v>
      </c>
      <c r="AD28" s="24">
        <v>250.00003000000001</v>
      </c>
      <c r="AE28">
        <v>12</v>
      </c>
      <c r="AF28" s="25">
        <v>99.880700000000004</v>
      </c>
      <c r="AG28" s="4">
        <f t="shared" si="4"/>
        <v>100.14219</v>
      </c>
    </row>
    <row r="29" spans="2:33" x14ac:dyDescent="0.15">
      <c r="B29" s="22">
        <v>200.80101999999999</v>
      </c>
      <c r="C29">
        <v>12.5</v>
      </c>
      <c r="D29" s="23">
        <v>99.395870000000002</v>
      </c>
      <c r="E29" s="4">
        <f t="shared" si="0"/>
        <v>100.52231</v>
      </c>
      <c r="I29" s="22">
        <v>224.98989</v>
      </c>
      <c r="J29">
        <v>12.5</v>
      </c>
      <c r="K29" s="23">
        <v>96.775109999999998</v>
      </c>
      <c r="L29" s="4">
        <f t="shared" si="1"/>
        <v>100.36218</v>
      </c>
      <c r="P29" s="24">
        <v>225.84359000000001</v>
      </c>
      <c r="Q29">
        <v>12.5</v>
      </c>
      <c r="R29" s="25">
        <v>99.999369999999999</v>
      </c>
      <c r="S29" s="4">
        <f t="shared" si="2"/>
        <v>99.923550000000006</v>
      </c>
      <c r="W29" s="22">
        <v>249.98502999999999</v>
      </c>
      <c r="X29">
        <v>12.5</v>
      </c>
      <c r="Y29" s="4">
        <v>94.669460000000001</v>
      </c>
      <c r="Z29" s="4">
        <f t="shared" si="3"/>
        <v>100.11029000000001</v>
      </c>
      <c r="AD29" s="24">
        <v>249.99850000000001</v>
      </c>
      <c r="AE29">
        <v>12.5</v>
      </c>
      <c r="AF29" s="19">
        <v>99.968389999999999</v>
      </c>
      <c r="AG29" s="4">
        <f t="shared" si="4"/>
        <v>100.22987999999999</v>
      </c>
    </row>
    <row r="30" spans="2:33" x14ac:dyDescent="0.15">
      <c r="B30" s="22">
        <v>200.63310999999999</v>
      </c>
      <c r="C30">
        <v>13</v>
      </c>
      <c r="D30" s="4">
        <v>99.416079999999994</v>
      </c>
      <c r="E30" s="4">
        <f t="shared" si="0"/>
        <v>100.54252</v>
      </c>
      <c r="I30" s="22">
        <v>224.99293</v>
      </c>
      <c r="J30">
        <v>13</v>
      </c>
      <c r="K30" s="4">
        <v>96.754300000000001</v>
      </c>
      <c r="L30" s="4">
        <f t="shared" si="1"/>
        <v>100.34137</v>
      </c>
      <c r="P30" s="24">
        <v>225.71887000000001</v>
      </c>
      <c r="Q30">
        <v>13</v>
      </c>
      <c r="R30" s="19">
        <v>99.898430000000005</v>
      </c>
      <c r="S30" s="4">
        <f t="shared" si="2"/>
        <v>99.822610000000012</v>
      </c>
      <c r="W30" s="22">
        <v>249.98804000000001</v>
      </c>
      <c r="X30">
        <v>13</v>
      </c>
      <c r="Y30" s="23">
        <v>94.632930000000002</v>
      </c>
      <c r="Z30" s="4">
        <f t="shared" si="3"/>
        <v>100.07376000000001</v>
      </c>
      <c r="AD30" s="24">
        <v>250.00361000000001</v>
      </c>
      <c r="AE30">
        <v>13</v>
      </c>
      <c r="AF30" s="25">
        <v>99.920860000000005</v>
      </c>
      <c r="AG30" s="4">
        <f t="shared" si="4"/>
        <v>100.18235</v>
      </c>
    </row>
    <row r="31" spans="2:33" x14ac:dyDescent="0.15">
      <c r="B31" s="22">
        <v>200.49079</v>
      </c>
      <c r="C31">
        <v>13.5</v>
      </c>
      <c r="D31" s="23">
        <v>99.38409</v>
      </c>
      <c r="E31" s="4">
        <f t="shared" si="0"/>
        <v>100.51053</v>
      </c>
      <c r="I31" s="22">
        <v>224.99489</v>
      </c>
      <c r="J31">
        <v>13.5</v>
      </c>
      <c r="K31" s="23">
        <v>96.763620000000003</v>
      </c>
      <c r="L31" s="4">
        <f t="shared" si="1"/>
        <v>100.35069</v>
      </c>
      <c r="P31" s="24">
        <v>225.60541000000001</v>
      </c>
      <c r="Q31">
        <v>13.5</v>
      </c>
      <c r="R31" s="25">
        <v>100.0784</v>
      </c>
      <c r="S31" s="4">
        <f t="shared" si="2"/>
        <v>100.00258000000001</v>
      </c>
      <c r="W31" s="22">
        <v>249.98795999999999</v>
      </c>
      <c r="X31">
        <v>13.5</v>
      </c>
      <c r="Y31" s="4">
        <v>94.611739999999998</v>
      </c>
      <c r="Z31" s="4">
        <f t="shared" si="3"/>
        <v>100.05257</v>
      </c>
      <c r="AD31" s="24">
        <v>250.00814</v>
      </c>
      <c r="AE31">
        <v>13.5</v>
      </c>
      <c r="AF31" s="19">
        <v>99.922830000000005</v>
      </c>
      <c r="AG31" s="4">
        <f t="shared" si="4"/>
        <v>100.18432</v>
      </c>
    </row>
    <row r="32" spans="2:33" x14ac:dyDescent="0.15">
      <c r="B32" s="22">
        <v>200.37730999999999</v>
      </c>
      <c r="C32">
        <v>14</v>
      </c>
      <c r="D32" s="4">
        <v>99.375500000000002</v>
      </c>
      <c r="E32" s="4">
        <f t="shared" si="0"/>
        <v>100.50194</v>
      </c>
      <c r="I32" s="22">
        <v>224.99395000000001</v>
      </c>
      <c r="J32">
        <v>14</v>
      </c>
      <c r="K32" s="4">
        <v>96.756190000000004</v>
      </c>
      <c r="L32" s="4">
        <f t="shared" si="1"/>
        <v>100.34326</v>
      </c>
      <c r="P32" s="24">
        <v>225.50656000000001</v>
      </c>
      <c r="Q32">
        <v>14</v>
      </c>
      <c r="R32" s="19">
        <v>100.06959999999999</v>
      </c>
      <c r="S32" s="4">
        <f t="shared" si="2"/>
        <v>99.993780000000001</v>
      </c>
      <c r="W32" s="22">
        <v>249.99301</v>
      </c>
      <c r="X32">
        <v>14</v>
      </c>
      <c r="Y32" s="23">
        <v>94.575699999999998</v>
      </c>
      <c r="Z32" s="4">
        <f t="shared" si="3"/>
        <v>100.01653</v>
      </c>
      <c r="AD32" s="24">
        <v>250.00530000000001</v>
      </c>
      <c r="AE32">
        <v>14</v>
      </c>
      <c r="AF32" s="25">
        <v>99.962909999999994</v>
      </c>
      <c r="AG32" s="4">
        <f t="shared" si="4"/>
        <v>100.22439999999999</v>
      </c>
    </row>
    <row r="33" spans="2:33" x14ac:dyDescent="0.15">
      <c r="B33" s="22">
        <v>200.30010999999999</v>
      </c>
      <c r="C33">
        <v>14.5</v>
      </c>
      <c r="D33" s="23">
        <v>99.478369999999998</v>
      </c>
      <c r="E33" s="4">
        <f t="shared" si="0"/>
        <v>100.60481</v>
      </c>
      <c r="I33" s="22">
        <v>224.99408</v>
      </c>
      <c r="J33">
        <v>14.5</v>
      </c>
      <c r="K33" s="23">
        <v>96.718239999999994</v>
      </c>
      <c r="L33" s="4">
        <f t="shared" si="1"/>
        <v>100.30530999999999</v>
      </c>
      <c r="P33" s="24">
        <v>225.42752999999999</v>
      </c>
      <c r="Q33">
        <v>14.5</v>
      </c>
      <c r="R33" s="25">
        <v>99.837159999999997</v>
      </c>
      <c r="S33" s="4">
        <f t="shared" si="2"/>
        <v>99.761340000000004</v>
      </c>
      <c r="W33" s="22">
        <v>249.98902000000001</v>
      </c>
      <c r="X33">
        <v>14.5</v>
      </c>
      <c r="Y33" s="4">
        <v>94.552629999999994</v>
      </c>
      <c r="Z33" s="4">
        <f t="shared" si="3"/>
        <v>99.993459999999999</v>
      </c>
      <c r="AD33" s="24">
        <v>249.99921000000001</v>
      </c>
      <c r="AE33">
        <v>14.5</v>
      </c>
      <c r="AF33" s="19">
        <v>99.896860000000004</v>
      </c>
      <c r="AG33" s="4">
        <f t="shared" si="4"/>
        <v>100.15835</v>
      </c>
    </row>
    <row r="34" spans="2:33" x14ac:dyDescent="0.15">
      <c r="B34" s="22">
        <v>200.24753000000001</v>
      </c>
      <c r="C34">
        <v>15</v>
      </c>
      <c r="D34" s="4">
        <v>99.404790000000006</v>
      </c>
      <c r="E34" s="4">
        <f t="shared" si="0"/>
        <v>100.53123000000001</v>
      </c>
      <c r="I34" s="22">
        <v>224.99501000000001</v>
      </c>
      <c r="J34">
        <v>15</v>
      </c>
      <c r="K34" s="4">
        <v>96.705200000000005</v>
      </c>
      <c r="L34" s="4">
        <f t="shared" si="1"/>
        <v>100.29227</v>
      </c>
      <c r="P34" s="24">
        <v>225.35889</v>
      </c>
      <c r="Q34">
        <v>15</v>
      </c>
      <c r="R34" s="19">
        <v>99.973200000000006</v>
      </c>
      <c r="S34" s="4">
        <f t="shared" si="2"/>
        <v>99.897380000000013</v>
      </c>
      <c r="W34" s="22">
        <v>249.99498</v>
      </c>
      <c r="X34">
        <v>15</v>
      </c>
      <c r="Y34" s="23">
        <v>94.525509999999997</v>
      </c>
      <c r="Z34" s="4">
        <f t="shared" si="3"/>
        <v>99.966340000000002</v>
      </c>
      <c r="AD34" s="24">
        <v>249.99790999999999</v>
      </c>
      <c r="AE34">
        <v>15</v>
      </c>
      <c r="AF34" s="25">
        <v>99.952960000000004</v>
      </c>
      <c r="AG34" s="4">
        <f t="shared" si="4"/>
        <v>100.21445</v>
      </c>
    </row>
    <row r="35" spans="2:33" x14ac:dyDescent="0.15">
      <c r="B35" s="22">
        <v>200.20774</v>
      </c>
      <c r="C35">
        <v>15.5</v>
      </c>
      <c r="D35" s="23">
        <v>99.537229999999994</v>
      </c>
      <c r="E35" s="4">
        <f t="shared" si="0"/>
        <v>100.66367</v>
      </c>
      <c r="I35" s="22">
        <v>224.99687</v>
      </c>
      <c r="J35">
        <v>15.5</v>
      </c>
      <c r="K35" s="23">
        <v>96.69623</v>
      </c>
      <c r="L35" s="4">
        <f t="shared" si="1"/>
        <v>100.2833</v>
      </c>
      <c r="P35" s="24">
        <v>225.29812000000001</v>
      </c>
      <c r="Q35">
        <v>15.5</v>
      </c>
      <c r="R35" s="25">
        <v>100.10295000000001</v>
      </c>
      <c r="S35" s="4">
        <f t="shared" si="2"/>
        <v>100.02713000000001</v>
      </c>
      <c r="W35" s="22">
        <v>249.99297999999999</v>
      </c>
      <c r="X35">
        <v>15.5</v>
      </c>
      <c r="Y35" s="4">
        <v>94.500510000000006</v>
      </c>
      <c r="Z35" s="4">
        <f t="shared" si="3"/>
        <v>99.941340000000011</v>
      </c>
      <c r="AD35" s="24">
        <v>249.99923999999999</v>
      </c>
      <c r="AE35">
        <v>15.5</v>
      </c>
      <c r="AF35" s="19">
        <v>99.868920000000003</v>
      </c>
      <c r="AG35" s="4">
        <f t="shared" si="4"/>
        <v>100.13041</v>
      </c>
    </row>
    <row r="36" spans="2:33" x14ac:dyDescent="0.15">
      <c r="B36" s="22">
        <v>200.17178000000001</v>
      </c>
      <c r="C36">
        <v>16</v>
      </c>
      <c r="D36" s="4">
        <v>99.388419999999996</v>
      </c>
      <c r="E36" s="4">
        <f t="shared" si="0"/>
        <v>100.51486</v>
      </c>
      <c r="I36" s="22">
        <v>224.99292</v>
      </c>
      <c r="J36">
        <v>16</v>
      </c>
      <c r="K36" s="4">
        <v>96.677109999999999</v>
      </c>
      <c r="L36" s="4">
        <f t="shared" si="1"/>
        <v>100.26418</v>
      </c>
      <c r="P36" s="24">
        <v>225.24592000000001</v>
      </c>
      <c r="Q36">
        <v>16</v>
      </c>
      <c r="R36" s="19">
        <v>100.08857999999999</v>
      </c>
      <c r="S36" s="4">
        <f t="shared" si="2"/>
        <v>100.01276</v>
      </c>
      <c r="W36" s="22">
        <v>249.99799999999999</v>
      </c>
      <c r="X36">
        <v>16</v>
      </c>
      <c r="Y36" s="23">
        <v>94.454539999999994</v>
      </c>
      <c r="Z36" s="4">
        <f t="shared" si="3"/>
        <v>99.89537</v>
      </c>
      <c r="AD36" s="24">
        <v>250.00264999999999</v>
      </c>
      <c r="AE36">
        <v>16</v>
      </c>
      <c r="AF36" s="25">
        <v>99.868700000000004</v>
      </c>
      <c r="AG36" s="4">
        <f t="shared" si="4"/>
        <v>100.13019</v>
      </c>
    </row>
    <row r="37" spans="2:33" x14ac:dyDescent="0.15">
      <c r="B37" s="22">
        <v>200.14080999999999</v>
      </c>
      <c r="C37">
        <v>16.5</v>
      </c>
      <c r="D37" s="23">
        <v>99.483360000000005</v>
      </c>
      <c r="E37" s="4">
        <f t="shared" si="0"/>
        <v>100.60980000000001</v>
      </c>
      <c r="I37" s="22">
        <v>224.99786</v>
      </c>
      <c r="J37">
        <v>16.5</v>
      </c>
      <c r="K37" s="23">
        <v>96.678089999999997</v>
      </c>
      <c r="L37" s="4">
        <f t="shared" si="1"/>
        <v>100.26515999999999</v>
      </c>
      <c r="P37" s="24">
        <v>225.20442</v>
      </c>
      <c r="Q37">
        <v>16.5</v>
      </c>
      <c r="R37" s="25">
        <v>100.10449</v>
      </c>
      <c r="S37" s="4">
        <f t="shared" si="2"/>
        <v>100.02867000000001</v>
      </c>
      <c r="W37" s="22">
        <v>249.99699000000001</v>
      </c>
      <c r="X37">
        <v>16.5</v>
      </c>
      <c r="Y37" s="4">
        <v>94.427769999999995</v>
      </c>
      <c r="Z37" s="4">
        <f t="shared" si="3"/>
        <v>99.868600000000001</v>
      </c>
      <c r="AD37" s="24">
        <v>250.00622999999999</v>
      </c>
      <c r="AE37">
        <v>16.5</v>
      </c>
      <c r="AF37" s="19">
        <v>99.887200000000007</v>
      </c>
      <c r="AG37" s="4">
        <f t="shared" si="4"/>
        <v>100.14869</v>
      </c>
    </row>
    <row r="38" spans="2:33" x14ac:dyDescent="0.15">
      <c r="B38" s="22">
        <v>200.11722</v>
      </c>
      <c r="C38">
        <v>17</v>
      </c>
      <c r="D38" s="4">
        <v>99.396680000000003</v>
      </c>
      <c r="E38" s="4">
        <f t="shared" si="0"/>
        <v>100.52312000000001</v>
      </c>
      <c r="I38" s="22">
        <v>224.99697</v>
      </c>
      <c r="J38">
        <v>17</v>
      </c>
      <c r="K38" s="4">
        <v>96.659450000000007</v>
      </c>
      <c r="L38" s="4">
        <f t="shared" si="1"/>
        <v>100.24652</v>
      </c>
      <c r="P38" s="24">
        <v>225.16552999999999</v>
      </c>
      <c r="Q38">
        <v>17</v>
      </c>
      <c r="R38" s="19">
        <v>100.08759000000001</v>
      </c>
      <c r="S38" s="4">
        <f t="shared" si="2"/>
        <v>100.01177000000001</v>
      </c>
      <c r="W38" s="22">
        <v>249.99401</v>
      </c>
      <c r="X38">
        <v>17</v>
      </c>
      <c r="Y38" s="23">
        <v>94.406570000000002</v>
      </c>
      <c r="Z38" s="4">
        <f t="shared" si="3"/>
        <v>99.847400000000007</v>
      </c>
      <c r="AD38" s="24">
        <v>250.00339</v>
      </c>
      <c r="AE38">
        <v>17</v>
      </c>
      <c r="AF38" s="25">
        <v>99.826070000000001</v>
      </c>
      <c r="AG38" s="4">
        <f t="shared" si="4"/>
        <v>100.08756</v>
      </c>
    </row>
    <row r="39" spans="2:33" x14ac:dyDescent="0.15">
      <c r="B39" s="22">
        <v>200.09100000000001</v>
      </c>
      <c r="C39">
        <v>17.5</v>
      </c>
      <c r="D39" s="23">
        <v>99.271640000000005</v>
      </c>
      <c r="E39" s="4">
        <f t="shared" si="0"/>
        <v>100.39808000000001</v>
      </c>
      <c r="I39" s="22">
        <v>224.99498</v>
      </c>
      <c r="J39">
        <v>17.5</v>
      </c>
      <c r="K39" s="23">
        <v>96.644970000000001</v>
      </c>
      <c r="L39" s="4">
        <f t="shared" si="1"/>
        <v>100.23204</v>
      </c>
      <c r="P39" s="24">
        <v>225.13215</v>
      </c>
      <c r="Q39">
        <v>17.5</v>
      </c>
      <c r="R39" s="25">
        <v>99.920680000000004</v>
      </c>
      <c r="S39" s="4">
        <f t="shared" si="2"/>
        <v>99.844860000000011</v>
      </c>
      <c r="W39" s="22">
        <v>249.98895999999999</v>
      </c>
      <c r="X39">
        <v>17.5</v>
      </c>
      <c r="Y39" s="4">
        <v>94.381870000000006</v>
      </c>
      <c r="Z39" s="4">
        <f t="shared" si="3"/>
        <v>99.822700000000012</v>
      </c>
      <c r="AD39" s="24">
        <v>250.00538</v>
      </c>
      <c r="AE39">
        <v>17.5</v>
      </c>
      <c r="AF39" s="19">
        <v>99.835750000000004</v>
      </c>
      <c r="AG39" s="4">
        <f t="shared" si="4"/>
        <v>100.09724</v>
      </c>
    </row>
    <row r="40" spans="2:33" x14ac:dyDescent="0.15">
      <c r="B40" s="22">
        <v>200.07266000000001</v>
      </c>
      <c r="C40">
        <v>18</v>
      </c>
      <c r="D40" s="4">
        <v>99.431740000000005</v>
      </c>
      <c r="E40" s="4">
        <f t="shared" si="0"/>
        <v>100.55818000000001</v>
      </c>
      <c r="I40" s="22">
        <v>224.99901</v>
      </c>
      <c r="J40">
        <v>18</v>
      </c>
      <c r="K40" s="4">
        <v>96.627129999999994</v>
      </c>
      <c r="L40" s="4">
        <f t="shared" si="1"/>
        <v>100.21419999999999</v>
      </c>
      <c r="P40" s="24">
        <v>225.10579999999999</v>
      </c>
      <c r="Q40">
        <v>18</v>
      </c>
      <c r="R40" s="19">
        <v>100.16233</v>
      </c>
      <c r="S40" s="4">
        <f t="shared" si="2"/>
        <v>100.08651</v>
      </c>
      <c r="W40" s="22">
        <v>249.99100999999999</v>
      </c>
      <c r="X40">
        <v>18</v>
      </c>
      <c r="Y40" s="23">
        <v>94.343389999999999</v>
      </c>
      <c r="Z40" s="4">
        <f t="shared" si="3"/>
        <v>99.784220000000005</v>
      </c>
      <c r="AD40" s="24">
        <v>250.00948</v>
      </c>
      <c r="AE40">
        <v>18</v>
      </c>
      <c r="AF40" s="25">
        <v>99.88946</v>
      </c>
      <c r="AG40" s="4">
        <f t="shared" si="4"/>
        <v>100.15094999999999</v>
      </c>
    </row>
    <row r="41" spans="2:33" x14ac:dyDescent="0.15">
      <c r="B41" s="22">
        <v>200.06287</v>
      </c>
      <c r="C41">
        <v>18.5</v>
      </c>
      <c r="D41" s="23">
        <v>99.449659999999994</v>
      </c>
      <c r="E41" s="4">
        <f t="shared" si="0"/>
        <v>100.5761</v>
      </c>
      <c r="I41" s="22">
        <v>224.99904000000001</v>
      </c>
      <c r="J41">
        <v>18.5</v>
      </c>
      <c r="K41" s="23">
        <v>96.617940000000004</v>
      </c>
      <c r="L41" s="4">
        <f t="shared" si="1"/>
        <v>100.20501</v>
      </c>
      <c r="P41" s="24">
        <v>225.08937</v>
      </c>
      <c r="Q41">
        <v>18.5</v>
      </c>
      <c r="R41" s="25">
        <v>99.995320000000007</v>
      </c>
      <c r="S41" s="4">
        <f t="shared" si="2"/>
        <v>99.919500000000014</v>
      </c>
      <c r="W41" s="22">
        <v>249.99200999999999</v>
      </c>
      <c r="X41">
        <v>18.5</v>
      </c>
      <c r="Y41" s="4">
        <v>94.316559999999996</v>
      </c>
      <c r="Z41" s="4">
        <f t="shared" si="3"/>
        <v>99.757390000000001</v>
      </c>
      <c r="AD41" s="24">
        <v>250.00637</v>
      </c>
      <c r="AE41">
        <v>18.5</v>
      </c>
      <c r="AF41" s="19">
        <v>99.793459999999996</v>
      </c>
      <c r="AG41" s="4">
        <f t="shared" si="4"/>
        <v>100.05494999999999</v>
      </c>
    </row>
    <row r="42" spans="2:33" x14ac:dyDescent="0.15">
      <c r="B42" s="22">
        <v>200.04934</v>
      </c>
      <c r="C42">
        <v>19</v>
      </c>
      <c r="D42" s="4">
        <v>99.423739999999995</v>
      </c>
      <c r="E42" s="4">
        <f t="shared" si="0"/>
        <v>100.55018</v>
      </c>
      <c r="I42" s="22">
        <v>224.99997999999999</v>
      </c>
      <c r="J42">
        <v>19</v>
      </c>
      <c r="K42" s="4">
        <v>96.593890000000002</v>
      </c>
      <c r="L42" s="4">
        <f t="shared" si="1"/>
        <v>100.18096</v>
      </c>
      <c r="P42" s="24">
        <v>225.07410999999999</v>
      </c>
      <c r="Q42">
        <v>19</v>
      </c>
      <c r="R42" s="19">
        <v>100.10939999999999</v>
      </c>
      <c r="S42" s="4">
        <f t="shared" si="2"/>
        <v>100.03358</v>
      </c>
      <c r="W42" s="22">
        <v>249.99799999999999</v>
      </c>
      <c r="X42">
        <v>19</v>
      </c>
      <c r="Y42" s="23">
        <v>94.285899999999998</v>
      </c>
      <c r="Z42" s="4">
        <f t="shared" si="3"/>
        <v>99.726730000000003</v>
      </c>
      <c r="AD42" s="24">
        <v>250.00560999999999</v>
      </c>
      <c r="AE42">
        <v>19</v>
      </c>
      <c r="AF42" s="25">
        <v>99.818169999999995</v>
      </c>
      <c r="AG42" s="4">
        <f t="shared" si="4"/>
        <v>100.07965999999999</v>
      </c>
    </row>
    <row r="43" spans="2:33" x14ac:dyDescent="0.15">
      <c r="B43" s="22">
        <v>200.03645</v>
      </c>
      <c r="C43">
        <v>19.5</v>
      </c>
      <c r="D43" s="23">
        <v>99.284270000000006</v>
      </c>
      <c r="E43" s="4">
        <f t="shared" si="0"/>
        <v>100.41071000000001</v>
      </c>
      <c r="I43" s="22">
        <v>224.99896000000001</v>
      </c>
      <c r="J43">
        <v>19.5</v>
      </c>
      <c r="K43" s="23">
        <v>96.587959999999995</v>
      </c>
      <c r="L43" s="4">
        <f t="shared" si="1"/>
        <v>100.17502999999999</v>
      </c>
      <c r="P43" s="24">
        <v>225.06073000000001</v>
      </c>
      <c r="Q43">
        <v>19.5</v>
      </c>
      <c r="R43" s="25">
        <v>99.941339999999997</v>
      </c>
      <c r="S43" s="4">
        <f t="shared" si="2"/>
        <v>99.865520000000004</v>
      </c>
      <c r="W43" s="22">
        <v>249.99804</v>
      </c>
      <c r="X43">
        <v>19.5</v>
      </c>
      <c r="Y43" s="4">
        <v>94.251350000000002</v>
      </c>
      <c r="Z43" s="4">
        <f t="shared" si="3"/>
        <v>99.692180000000008</v>
      </c>
      <c r="AD43" s="24">
        <v>250.00101000000001</v>
      </c>
      <c r="AE43">
        <v>19.5</v>
      </c>
      <c r="AF43" s="19">
        <v>99.744299999999996</v>
      </c>
      <c r="AG43" s="4">
        <f t="shared" si="4"/>
        <v>100.00578999999999</v>
      </c>
    </row>
    <row r="44" spans="2:33" x14ac:dyDescent="0.15">
      <c r="B44" s="22">
        <v>200.02247</v>
      </c>
      <c r="C44">
        <v>20</v>
      </c>
      <c r="D44" s="4">
        <v>99.401240000000001</v>
      </c>
      <c r="E44" s="4">
        <f t="shared" si="0"/>
        <v>100.52768</v>
      </c>
      <c r="I44" s="22">
        <v>225.00088</v>
      </c>
      <c r="J44">
        <v>20</v>
      </c>
      <c r="K44" s="4">
        <v>96.560389999999998</v>
      </c>
      <c r="L44" s="4">
        <f t="shared" si="1"/>
        <v>100.14746</v>
      </c>
      <c r="P44" s="24">
        <v>225.04811000000001</v>
      </c>
      <c r="Q44">
        <v>20</v>
      </c>
      <c r="R44" s="19">
        <v>99.954300000000003</v>
      </c>
      <c r="S44" s="4">
        <f t="shared" si="2"/>
        <v>99.87848000000001</v>
      </c>
      <c r="W44" s="22">
        <v>249.99399</v>
      </c>
      <c r="X44">
        <v>20</v>
      </c>
      <c r="Y44" s="23">
        <v>94.214969999999994</v>
      </c>
      <c r="Z44" s="4">
        <f t="shared" si="3"/>
        <v>99.655799999999999</v>
      </c>
      <c r="AD44" s="24">
        <v>250.00396000000001</v>
      </c>
      <c r="AE44">
        <v>20</v>
      </c>
      <c r="AF44" s="25">
        <v>99.797269999999997</v>
      </c>
      <c r="AG44" s="4">
        <f t="shared" si="4"/>
        <v>100.05875999999999</v>
      </c>
    </row>
    <row r="45" spans="2:33" x14ac:dyDescent="0.15">
      <c r="B45" s="22">
        <v>200.00360000000001</v>
      </c>
      <c r="C45">
        <v>20.5</v>
      </c>
      <c r="D45" s="23">
        <v>99.482439999999997</v>
      </c>
      <c r="E45" s="4">
        <f t="shared" si="0"/>
        <v>100.60888</v>
      </c>
      <c r="I45" s="22">
        <v>225.00599</v>
      </c>
      <c r="J45">
        <v>20.5</v>
      </c>
      <c r="K45" s="23">
        <v>96.552530000000004</v>
      </c>
      <c r="L45" s="4">
        <f t="shared" si="1"/>
        <v>100.1396</v>
      </c>
      <c r="P45" s="24">
        <v>225.03962000000001</v>
      </c>
      <c r="Q45">
        <v>20.5</v>
      </c>
      <c r="R45" s="25">
        <v>100.02202</v>
      </c>
      <c r="S45" s="4">
        <f t="shared" si="2"/>
        <v>99.946200000000005</v>
      </c>
      <c r="W45" s="22">
        <v>249.99203</v>
      </c>
      <c r="X45">
        <v>20.5</v>
      </c>
      <c r="Y45" s="4">
        <v>94.188029999999998</v>
      </c>
      <c r="Z45" s="4">
        <f t="shared" si="3"/>
        <v>99.628860000000003</v>
      </c>
      <c r="AD45" s="24">
        <v>250.00226000000001</v>
      </c>
      <c r="AE45">
        <v>20.5</v>
      </c>
      <c r="AF45" s="19">
        <v>99.643439999999998</v>
      </c>
      <c r="AG45" s="4">
        <f t="shared" si="4"/>
        <v>99.904929999999993</v>
      </c>
    </row>
    <row r="46" spans="2:33" x14ac:dyDescent="0.15">
      <c r="B46" s="22">
        <v>199.97774999999999</v>
      </c>
      <c r="C46">
        <v>21</v>
      </c>
      <c r="D46" s="4">
        <v>99.429040000000001</v>
      </c>
      <c r="E46" s="4">
        <f t="shared" si="0"/>
        <v>100.55548</v>
      </c>
      <c r="I46" s="22">
        <v>225.00091</v>
      </c>
      <c r="J46">
        <v>21</v>
      </c>
      <c r="K46" s="4">
        <v>96.530320000000003</v>
      </c>
      <c r="L46" s="4">
        <f t="shared" si="1"/>
        <v>100.11739</v>
      </c>
      <c r="P46" s="24">
        <v>225.03448</v>
      </c>
      <c r="Q46">
        <v>21</v>
      </c>
      <c r="R46" s="19">
        <v>99.902969999999996</v>
      </c>
      <c r="S46" s="4">
        <f t="shared" si="2"/>
        <v>99.827150000000003</v>
      </c>
      <c r="W46" s="22">
        <v>249.99703</v>
      </c>
      <c r="X46">
        <v>21</v>
      </c>
      <c r="Y46" s="23">
        <v>94.166989999999998</v>
      </c>
      <c r="Z46" s="4">
        <f t="shared" si="3"/>
        <v>99.607820000000004</v>
      </c>
      <c r="AD46" s="24">
        <v>250.00264999999999</v>
      </c>
      <c r="AE46">
        <v>21</v>
      </c>
      <c r="AF46" s="25">
        <v>99.741780000000006</v>
      </c>
      <c r="AG46" s="4">
        <f t="shared" si="4"/>
        <v>100.00327</v>
      </c>
    </row>
    <row r="47" spans="2:33" x14ac:dyDescent="0.15">
      <c r="B47" s="22">
        <v>199.94002</v>
      </c>
      <c r="C47">
        <v>21.5</v>
      </c>
      <c r="D47" s="23">
        <v>99.379130000000004</v>
      </c>
      <c r="E47" s="4">
        <f t="shared" si="0"/>
        <v>100.50557000000001</v>
      </c>
      <c r="I47" s="22">
        <v>224.99898999999999</v>
      </c>
      <c r="J47">
        <v>21.5</v>
      </c>
      <c r="K47" s="23">
        <v>96.512680000000003</v>
      </c>
      <c r="L47" s="4">
        <f t="shared" si="1"/>
        <v>100.09975</v>
      </c>
      <c r="P47" s="24">
        <v>225.02906999999999</v>
      </c>
      <c r="Q47">
        <v>21.5</v>
      </c>
      <c r="R47" s="25">
        <v>100.00346999999999</v>
      </c>
      <c r="S47" s="4">
        <f t="shared" si="2"/>
        <v>99.92765</v>
      </c>
      <c r="W47" s="22">
        <v>249.99508</v>
      </c>
      <c r="X47">
        <v>21.5</v>
      </c>
      <c r="Y47" s="4">
        <v>94.138409999999993</v>
      </c>
      <c r="Z47" s="4">
        <f t="shared" si="3"/>
        <v>99.579239999999999</v>
      </c>
      <c r="AD47" s="24">
        <v>250.00683000000001</v>
      </c>
      <c r="AE47">
        <v>21.5</v>
      </c>
      <c r="AF47" s="19">
        <v>99.591480000000004</v>
      </c>
      <c r="AG47" s="4">
        <f t="shared" si="4"/>
        <v>99.852969999999999</v>
      </c>
    </row>
    <row r="48" spans="2:33" x14ac:dyDescent="0.15">
      <c r="B48" s="22">
        <v>199.90665000000001</v>
      </c>
      <c r="C48">
        <v>22</v>
      </c>
      <c r="D48" s="4">
        <v>99.32302</v>
      </c>
      <c r="E48" s="4">
        <f t="shared" si="0"/>
        <v>100.44946</v>
      </c>
      <c r="I48" s="22">
        <v>224.99504999999999</v>
      </c>
      <c r="J48">
        <v>22</v>
      </c>
      <c r="K48" s="4">
        <v>96.493309999999994</v>
      </c>
      <c r="L48" s="4">
        <f t="shared" si="1"/>
        <v>100.08037999999999</v>
      </c>
      <c r="P48" s="24">
        <v>225.02819</v>
      </c>
      <c r="Q48">
        <v>22</v>
      </c>
      <c r="R48" s="19">
        <v>99.936710000000005</v>
      </c>
      <c r="S48" s="4">
        <f t="shared" si="2"/>
        <v>99.860890000000012</v>
      </c>
      <c r="W48" s="22">
        <v>249.99898999999999</v>
      </c>
      <c r="X48">
        <v>22</v>
      </c>
      <c r="Y48" s="23">
        <v>94.107680000000002</v>
      </c>
      <c r="Z48" s="4">
        <f t="shared" si="3"/>
        <v>99.548510000000007</v>
      </c>
      <c r="AD48" s="24">
        <v>250.00819000000001</v>
      </c>
      <c r="AE48">
        <v>22</v>
      </c>
      <c r="AF48" s="25">
        <v>99.690190000000001</v>
      </c>
      <c r="AG48" s="4">
        <f t="shared" si="4"/>
        <v>99.951679999999996</v>
      </c>
    </row>
    <row r="49" spans="2:33" x14ac:dyDescent="0.15">
      <c r="B49" s="22">
        <v>199.88918000000001</v>
      </c>
      <c r="C49">
        <v>22.5</v>
      </c>
      <c r="D49" s="23">
        <v>99.475300000000004</v>
      </c>
      <c r="E49" s="4">
        <f t="shared" si="0"/>
        <v>100.60174000000001</v>
      </c>
      <c r="I49" s="22">
        <v>224.99993000000001</v>
      </c>
      <c r="J49">
        <v>22.5</v>
      </c>
      <c r="K49" s="23">
        <v>96.473129999999998</v>
      </c>
      <c r="L49" s="4">
        <f t="shared" si="1"/>
        <v>100.06019999999999</v>
      </c>
      <c r="P49" s="24">
        <v>225.02808999999999</v>
      </c>
      <c r="Q49">
        <v>22.5</v>
      </c>
      <c r="R49" s="25">
        <v>100.06253</v>
      </c>
      <c r="S49" s="4">
        <f t="shared" si="2"/>
        <v>99.986710000000002</v>
      </c>
      <c r="W49" s="22">
        <v>249.994</v>
      </c>
      <c r="X49">
        <v>22.5</v>
      </c>
      <c r="Y49" s="4">
        <v>94.078800000000001</v>
      </c>
      <c r="Z49" s="4">
        <f t="shared" si="3"/>
        <v>99.519630000000006</v>
      </c>
      <c r="AD49" s="24">
        <v>250.01192</v>
      </c>
      <c r="AE49">
        <v>22.5</v>
      </c>
      <c r="AF49" s="19">
        <v>99.668340000000001</v>
      </c>
      <c r="AG49" s="4">
        <f t="shared" si="4"/>
        <v>99.929829999999995</v>
      </c>
    </row>
    <row r="50" spans="2:33" x14ac:dyDescent="0.15">
      <c r="B50" s="22">
        <v>199.89019999999999</v>
      </c>
      <c r="C50">
        <v>23</v>
      </c>
      <c r="D50" s="4">
        <v>99.480810000000005</v>
      </c>
      <c r="E50" s="4">
        <f t="shared" si="0"/>
        <v>100.60725000000001</v>
      </c>
      <c r="I50" s="22">
        <v>224.99992</v>
      </c>
      <c r="J50">
        <v>23</v>
      </c>
      <c r="K50" s="4">
        <v>96.444159999999997</v>
      </c>
      <c r="L50" s="4">
        <f t="shared" si="1"/>
        <v>100.03122999999999</v>
      </c>
      <c r="P50" s="24">
        <v>225.02447000000001</v>
      </c>
      <c r="Q50">
        <v>23</v>
      </c>
      <c r="R50" s="19">
        <v>100.00153</v>
      </c>
      <c r="S50" s="4">
        <f t="shared" si="2"/>
        <v>99.925710000000009</v>
      </c>
      <c r="W50" s="22">
        <v>249.99701999999999</v>
      </c>
      <c r="X50">
        <v>23</v>
      </c>
      <c r="Y50" s="23">
        <v>94.044439999999994</v>
      </c>
      <c r="Z50" s="4">
        <f t="shared" si="3"/>
        <v>99.48527</v>
      </c>
      <c r="AD50" s="24">
        <v>250.01358999999999</v>
      </c>
      <c r="AE50">
        <v>23</v>
      </c>
      <c r="AF50" s="25">
        <v>99.673649999999995</v>
      </c>
      <c r="AG50" s="4">
        <f t="shared" si="4"/>
        <v>99.93513999999999</v>
      </c>
    </row>
    <row r="51" spans="2:33" x14ac:dyDescent="0.15">
      <c r="B51" s="22">
        <v>199.90530000000001</v>
      </c>
      <c r="C51">
        <v>23.5</v>
      </c>
      <c r="D51" s="23">
        <v>99.369590000000002</v>
      </c>
      <c r="E51" s="4">
        <f t="shared" si="0"/>
        <v>100.49603</v>
      </c>
      <c r="I51" s="22">
        <v>225.00094999999999</v>
      </c>
      <c r="J51">
        <v>23.5</v>
      </c>
      <c r="K51" s="23">
        <v>96.444509999999994</v>
      </c>
      <c r="L51" s="4">
        <f t="shared" si="1"/>
        <v>100.03157999999999</v>
      </c>
      <c r="P51" s="24">
        <v>225.02340000000001</v>
      </c>
      <c r="Q51">
        <v>23.5</v>
      </c>
      <c r="R51" s="25">
        <v>99.864369999999994</v>
      </c>
      <c r="S51" s="4">
        <f t="shared" si="2"/>
        <v>99.788550000000001</v>
      </c>
      <c r="W51" s="22">
        <v>249.99599000000001</v>
      </c>
      <c r="X51">
        <v>23.5</v>
      </c>
      <c r="Y51" s="4">
        <v>94.025040000000004</v>
      </c>
      <c r="Z51" s="4">
        <f t="shared" si="3"/>
        <v>99.46587000000001</v>
      </c>
      <c r="AD51" s="24">
        <v>250.01488000000001</v>
      </c>
      <c r="AE51">
        <v>23.5</v>
      </c>
      <c r="AF51" s="19">
        <v>99.654110000000003</v>
      </c>
      <c r="AG51" s="4">
        <f t="shared" si="4"/>
        <v>99.915599999999998</v>
      </c>
    </row>
    <row r="52" spans="2:33" x14ac:dyDescent="0.15">
      <c r="B52" s="22">
        <v>199.93181000000001</v>
      </c>
      <c r="C52">
        <v>24</v>
      </c>
      <c r="D52" s="4">
        <v>99.364469999999997</v>
      </c>
      <c r="E52" s="4">
        <f t="shared" si="0"/>
        <v>100.49091</v>
      </c>
      <c r="I52" s="22">
        <v>224.99897000000001</v>
      </c>
      <c r="J52">
        <v>24</v>
      </c>
      <c r="K52" s="4">
        <v>96.407960000000003</v>
      </c>
      <c r="L52" s="4">
        <f t="shared" si="1"/>
        <v>99.99503</v>
      </c>
      <c r="P52" s="24">
        <v>225.02028000000001</v>
      </c>
      <c r="Q52">
        <v>24</v>
      </c>
      <c r="R52" s="19">
        <v>100.01871</v>
      </c>
      <c r="S52" s="4">
        <f t="shared" si="2"/>
        <v>99.942890000000006</v>
      </c>
      <c r="W52" s="22">
        <v>249.99601999999999</v>
      </c>
      <c r="X52">
        <v>24</v>
      </c>
      <c r="Y52" s="23">
        <v>93.990520000000004</v>
      </c>
      <c r="Z52" s="4">
        <f t="shared" si="3"/>
        <v>99.431350000000009</v>
      </c>
      <c r="AD52" s="24">
        <v>250.01315</v>
      </c>
      <c r="AE52">
        <v>24</v>
      </c>
      <c r="AF52" s="25">
        <v>99.628550000000004</v>
      </c>
      <c r="AG52" s="4">
        <f t="shared" si="4"/>
        <v>99.890039999999999</v>
      </c>
    </row>
    <row r="53" spans="2:33" x14ac:dyDescent="0.15">
      <c r="B53" s="22">
        <v>199.96362999999999</v>
      </c>
      <c r="C53">
        <v>24.5</v>
      </c>
      <c r="D53" s="23">
        <v>99.417060000000006</v>
      </c>
      <c r="E53" s="4">
        <f t="shared" si="0"/>
        <v>100.54350000000001</v>
      </c>
      <c r="I53" s="22">
        <v>225.00098</v>
      </c>
      <c r="J53">
        <v>24.5</v>
      </c>
      <c r="K53" s="23">
        <v>96.404399999999995</v>
      </c>
      <c r="L53" s="4">
        <f t="shared" si="1"/>
        <v>99.991469999999993</v>
      </c>
      <c r="P53" s="24">
        <v>225.01599999999999</v>
      </c>
      <c r="Q53">
        <v>24.5</v>
      </c>
      <c r="R53" s="25">
        <v>99.876670000000004</v>
      </c>
      <c r="S53" s="4">
        <f t="shared" si="2"/>
        <v>99.800850000000011</v>
      </c>
      <c r="W53" s="22">
        <v>249.994</v>
      </c>
      <c r="X53">
        <v>24.5</v>
      </c>
      <c r="Y53" s="4">
        <v>93.957819999999998</v>
      </c>
      <c r="Z53" s="4">
        <f t="shared" si="3"/>
        <v>99.398650000000004</v>
      </c>
      <c r="AD53" s="24">
        <v>250.01102</v>
      </c>
      <c r="AE53">
        <v>24.5</v>
      </c>
      <c r="AF53" s="19">
        <v>99.535420000000002</v>
      </c>
      <c r="AG53" s="4">
        <f t="shared" si="4"/>
        <v>99.796909999999997</v>
      </c>
    </row>
    <row r="54" spans="2:33" x14ac:dyDescent="0.15">
      <c r="B54" s="22">
        <v>199.97596999999999</v>
      </c>
      <c r="C54">
        <v>25</v>
      </c>
      <c r="D54" s="4">
        <v>99.536199999999994</v>
      </c>
      <c r="E54" s="4">
        <f t="shared" si="0"/>
        <v>100.66264</v>
      </c>
      <c r="I54" s="22">
        <v>225.00304</v>
      </c>
      <c r="J54">
        <v>25</v>
      </c>
      <c r="K54" s="4">
        <v>96.384320000000002</v>
      </c>
      <c r="L54" s="4">
        <f t="shared" si="1"/>
        <v>99.97139</v>
      </c>
      <c r="P54" s="24">
        <v>225.01461</v>
      </c>
      <c r="Q54">
        <v>25</v>
      </c>
      <c r="R54" s="19">
        <v>99.749499999999998</v>
      </c>
      <c r="S54" s="4">
        <f t="shared" si="2"/>
        <v>99.673680000000004</v>
      </c>
      <c r="W54" s="22">
        <v>249.99600000000001</v>
      </c>
      <c r="X54">
        <v>25</v>
      </c>
      <c r="Y54" s="23">
        <v>93.930909999999997</v>
      </c>
      <c r="Z54" s="4">
        <f t="shared" si="3"/>
        <v>99.371740000000003</v>
      </c>
      <c r="AD54" s="24">
        <v>250.00921</v>
      </c>
      <c r="AE54">
        <v>25</v>
      </c>
      <c r="AF54" s="25">
        <v>99.492900000000006</v>
      </c>
      <c r="AG54" s="4">
        <f t="shared" si="4"/>
        <v>99.754390000000001</v>
      </c>
    </row>
    <row r="55" spans="2:33" x14ac:dyDescent="0.15">
      <c r="B55" s="22">
        <v>199.95774</v>
      </c>
      <c r="C55">
        <v>25.5</v>
      </c>
      <c r="D55" s="23">
        <v>99.45675</v>
      </c>
      <c r="E55" s="4">
        <f t="shared" si="0"/>
        <v>100.58319</v>
      </c>
      <c r="I55" s="22">
        <v>224.99897000000001</v>
      </c>
      <c r="J55">
        <v>25.5</v>
      </c>
      <c r="K55" s="23">
        <v>96.368780000000001</v>
      </c>
      <c r="L55" s="4">
        <f t="shared" si="1"/>
        <v>99.955849999999998</v>
      </c>
      <c r="P55" s="24">
        <v>225.01322999999999</v>
      </c>
      <c r="Q55">
        <v>25.5</v>
      </c>
      <c r="R55" s="25">
        <v>99.910790000000006</v>
      </c>
      <c r="S55" s="4">
        <f t="shared" si="2"/>
        <v>99.834970000000013</v>
      </c>
      <c r="W55" s="22">
        <v>249.99700000000001</v>
      </c>
      <c r="X55">
        <v>25.5</v>
      </c>
      <c r="Y55" s="4">
        <v>93.900509999999997</v>
      </c>
      <c r="Z55" s="4">
        <f t="shared" si="3"/>
        <v>99.341340000000002</v>
      </c>
      <c r="AD55" s="24">
        <v>250.01255</v>
      </c>
      <c r="AE55">
        <v>25.5</v>
      </c>
      <c r="AF55" s="19">
        <v>99.503739999999993</v>
      </c>
      <c r="AG55" s="4">
        <f t="shared" si="4"/>
        <v>99.765229999999988</v>
      </c>
    </row>
    <row r="56" spans="2:33" x14ac:dyDescent="0.15">
      <c r="B56" s="22">
        <v>199.91352000000001</v>
      </c>
      <c r="C56">
        <v>26</v>
      </c>
      <c r="D56" s="4">
        <v>99.393190000000004</v>
      </c>
      <c r="E56" s="4">
        <f t="shared" si="0"/>
        <v>100.51963000000001</v>
      </c>
      <c r="I56" s="22">
        <v>225.00711999999999</v>
      </c>
      <c r="J56">
        <v>26</v>
      </c>
      <c r="K56" s="4">
        <v>96.392560000000003</v>
      </c>
      <c r="L56" s="4">
        <f t="shared" si="1"/>
        <v>99.97963</v>
      </c>
      <c r="P56" s="24">
        <v>225.01034999999999</v>
      </c>
      <c r="Q56">
        <v>26</v>
      </c>
      <c r="R56" s="19">
        <v>99.902320000000003</v>
      </c>
      <c r="S56" s="4">
        <f t="shared" si="2"/>
        <v>99.82650000000001</v>
      </c>
      <c r="W56" s="22">
        <v>249.999</v>
      </c>
      <c r="X56">
        <v>26</v>
      </c>
      <c r="Y56" s="23">
        <v>93.873689999999996</v>
      </c>
      <c r="Z56" s="4">
        <f t="shared" si="3"/>
        <v>99.314520000000002</v>
      </c>
      <c r="AD56" s="24">
        <v>250.01014000000001</v>
      </c>
      <c r="AE56">
        <v>26</v>
      </c>
      <c r="AF56" s="25">
        <v>99.477119999999999</v>
      </c>
      <c r="AG56" s="4">
        <f t="shared" si="4"/>
        <v>99.738609999999994</v>
      </c>
    </row>
    <row r="57" spans="2:33" x14ac:dyDescent="0.15">
      <c r="B57" s="22">
        <v>199.86389</v>
      </c>
      <c r="C57">
        <v>26.5</v>
      </c>
      <c r="D57" s="23">
        <v>99.453360000000004</v>
      </c>
      <c r="E57" s="4">
        <f t="shared" si="0"/>
        <v>100.57980000000001</v>
      </c>
      <c r="I57" s="22">
        <v>225.00886</v>
      </c>
      <c r="J57">
        <v>26.5</v>
      </c>
      <c r="K57" s="23">
        <v>96.331879999999998</v>
      </c>
      <c r="L57" s="4">
        <f t="shared" si="1"/>
        <v>99.918949999999995</v>
      </c>
      <c r="P57" s="24">
        <v>225.00692000000001</v>
      </c>
      <c r="Q57">
        <v>26.5</v>
      </c>
      <c r="R57" s="25">
        <v>99.920879999999997</v>
      </c>
      <c r="S57" s="4">
        <f t="shared" si="2"/>
        <v>99.845060000000004</v>
      </c>
      <c r="W57" s="22">
        <v>250.005</v>
      </c>
      <c r="X57">
        <v>26.5</v>
      </c>
      <c r="Y57" s="4">
        <v>93.841130000000007</v>
      </c>
      <c r="Z57" s="4">
        <f t="shared" si="3"/>
        <v>99.281960000000012</v>
      </c>
      <c r="AD57" s="24">
        <v>250.00550999999999</v>
      </c>
      <c r="AE57">
        <v>26.5</v>
      </c>
      <c r="AF57" s="19">
        <v>99.54495</v>
      </c>
      <c r="AG57" s="4">
        <f t="shared" si="4"/>
        <v>99.806439999999995</v>
      </c>
    </row>
    <row r="58" spans="2:33" x14ac:dyDescent="0.15">
      <c r="B58" s="22">
        <v>199.82795999999999</v>
      </c>
      <c r="C58">
        <v>27</v>
      </c>
      <c r="D58" s="4">
        <v>99.453519999999997</v>
      </c>
      <c r="E58" s="4">
        <f t="shared" si="0"/>
        <v>100.57996</v>
      </c>
      <c r="I58" s="22">
        <v>225.00287</v>
      </c>
      <c r="J58">
        <v>27</v>
      </c>
      <c r="K58" s="4">
        <v>96.319710000000001</v>
      </c>
      <c r="L58" s="4">
        <f t="shared" si="1"/>
        <v>99.906779999999998</v>
      </c>
      <c r="P58" s="24">
        <v>225.00406000000001</v>
      </c>
      <c r="Q58">
        <v>27</v>
      </c>
      <c r="R58" s="19">
        <v>99.913679999999999</v>
      </c>
      <c r="S58" s="4">
        <f t="shared" si="2"/>
        <v>99.837860000000006</v>
      </c>
      <c r="W58" s="22">
        <v>250.00399999999999</v>
      </c>
      <c r="X58">
        <v>27</v>
      </c>
      <c r="Y58" s="23">
        <v>93.819890000000001</v>
      </c>
      <c r="Z58" s="4">
        <f t="shared" si="3"/>
        <v>99.260720000000006</v>
      </c>
      <c r="AD58" s="24">
        <v>250.00757999999999</v>
      </c>
      <c r="AE58">
        <v>27</v>
      </c>
      <c r="AF58" s="25">
        <v>99.484070000000003</v>
      </c>
      <c r="AG58" s="4">
        <f t="shared" si="4"/>
        <v>99.745559999999998</v>
      </c>
    </row>
    <row r="59" spans="2:33" x14ac:dyDescent="0.15">
      <c r="B59" s="22">
        <v>199.83024</v>
      </c>
      <c r="C59">
        <v>27.5</v>
      </c>
      <c r="D59" s="23">
        <v>99.453969999999998</v>
      </c>
      <c r="E59" s="4">
        <f t="shared" si="0"/>
        <v>100.58041</v>
      </c>
      <c r="I59" s="22">
        <v>224.99988999999999</v>
      </c>
      <c r="J59">
        <v>27.5</v>
      </c>
      <c r="K59" s="23">
        <v>96.303460000000001</v>
      </c>
      <c r="L59" s="4">
        <f t="shared" si="1"/>
        <v>99.890529999999998</v>
      </c>
      <c r="P59" s="24">
        <v>225.00384</v>
      </c>
      <c r="Q59">
        <v>27.5</v>
      </c>
      <c r="R59" s="25">
        <v>99.866079999999997</v>
      </c>
      <c r="S59" s="4">
        <f t="shared" si="2"/>
        <v>99.790260000000004</v>
      </c>
      <c r="W59" s="22">
        <v>249.99999</v>
      </c>
      <c r="X59">
        <v>27.5</v>
      </c>
      <c r="Y59" s="4">
        <v>93.773949999999999</v>
      </c>
      <c r="Z59" s="4">
        <f t="shared" si="3"/>
        <v>99.214780000000005</v>
      </c>
      <c r="AD59" s="24">
        <v>250.01309000000001</v>
      </c>
      <c r="AE59">
        <v>27.5</v>
      </c>
      <c r="AF59" s="19">
        <v>99.415940000000006</v>
      </c>
      <c r="AG59" s="4">
        <f t="shared" si="4"/>
        <v>99.677430000000001</v>
      </c>
    </row>
    <row r="60" spans="2:33" x14ac:dyDescent="0.15">
      <c r="B60" s="22">
        <v>199.88507000000001</v>
      </c>
      <c r="C60">
        <v>28</v>
      </c>
      <c r="D60" s="4">
        <v>99.339479999999995</v>
      </c>
      <c r="E60" s="4">
        <f t="shared" si="0"/>
        <v>100.46592</v>
      </c>
      <c r="I60" s="22">
        <v>225.00398999999999</v>
      </c>
      <c r="J60">
        <v>28</v>
      </c>
      <c r="K60" s="4">
        <v>96.280029999999996</v>
      </c>
      <c r="L60" s="4">
        <f t="shared" si="1"/>
        <v>99.867099999999994</v>
      </c>
      <c r="P60" s="24">
        <v>225.00475</v>
      </c>
      <c r="Q60">
        <v>28</v>
      </c>
      <c r="R60" s="19">
        <v>99.925439999999995</v>
      </c>
      <c r="S60" s="4">
        <f t="shared" si="2"/>
        <v>99.849620000000002</v>
      </c>
      <c r="W60" s="22">
        <v>250.00303</v>
      </c>
      <c r="X60">
        <v>28</v>
      </c>
      <c r="Y60" s="23">
        <v>93.754750000000001</v>
      </c>
      <c r="Z60" s="4">
        <f t="shared" si="3"/>
        <v>99.195580000000007</v>
      </c>
      <c r="AD60" s="24">
        <v>250.01600999999999</v>
      </c>
      <c r="AE60">
        <v>28</v>
      </c>
      <c r="AF60" s="25">
        <v>99.466189999999997</v>
      </c>
      <c r="AG60" s="4">
        <f t="shared" si="4"/>
        <v>99.727679999999992</v>
      </c>
    </row>
    <row r="61" spans="2:33" x14ac:dyDescent="0.15">
      <c r="B61" s="22">
        <v>199.96812</v>
      </c>
      <c r="C61">
        <v>28.5</v>
      </c>
      <c r="D61" s="23">
        <v>99.441640000000007</v>
      </c>
      <c r="E61" s="4">
        <f t="shared" si="0"/>
        <v>100.56808000000001</v>
      </c>
      <c r="I61" s="22">
        <v>225.00296</v>
      </c>
      <c r="J61">
        <v>28.5</v>
      </c>
      <c r="K61" s="23">
        <v>96.274060000000006</v>
      </c>
      <c r="L61" s="4">
        <f t="shared" si="1"/>
        <v>99.861130000000003</v>
      </c>
      <c r="P61" s="24">
        <v>225.00810999999999</v>
      </c>
      <c r="Q61">
        <v>28.5</v>
      </c>
      <c r="R61" s="25">
        <v>99.849909999999994</v>
      </c>
      <c r="S61" s="4">
        <f t="shared" si="2"/>
        <v>99.774090000000001</v>
      </c>
      <c r="W61" s="22">
        <v>250.00393</v>
      </c>
      <c r="X61">
        <v>28.5</v>
      </c>
      <c r="Y61" s="4">
        <v>93.704840000000004</v>
      </c>
      <c r="Z61" s="4">
        <f t="shared" si="3"/>
        <v>99.14567000000001</v>
      </c>
      <c r="AD61" s="24">
        <v>250.01659000000001</v>
      </c>
      <c r="AE61">
        <v>28.5</v>
      </c>
      <c r="AF61" s="19">
        <v>99.467969999999994</v>
      </c>
      <c r="AG61" s="4">
        <f t="shared" si="4"/>
        <v>99.729459999999989</v>
      </c>
    </row>
    <row r="62" spans="2:33" x14ac:dyDescent="0.15">
      <c r="B62" s="22">
        <v>200.04366999999999</v>
      </c>
      <c r="C62">
        <v>29</v>
      </c>
      <c r="D62" s="4">
        <v>99.335449999999994</v>
      </c>
      <c r="E62" s="4">
        <f t="shared" si="0"/>
        <v>100.46189</v>
      </c>
      <c r="I62" s="22">
        <v>225.00291000000001</v>
      </c>
      <c r="J62">
        <v>29</v>
      </c>
      <c r="K62" s="4">
        <v>96.255120000000005</v>
      </c>
      <c r="L62" s="4">
        <f t="shared" si="1"/>
        <v>99.842190000000002</v>
      </c>
      <c r="P62" s="24">
        <v>225.01211000000001</v>
      </c>
      <c r="Q62">
        <v>29</v>
      </c>
      <c r="R62" s="19">
        <v>99.862769999999998</v>
      </c>
      <c r="S62" s="4">
        <f t="shared" si="2"/>
        <v>99.786950000000004</v>
      </c>
      <c r="W62" s="22">
        <v>250.00397000000001</v>
      </c>
      <c r="X62">
        <v>29</v>
      </c>
      <c r="Y62" s="23">
        <v>93.69153</v>
      </c>
      <c r="Z62" s="4">
        <f t="shared" si="3"/>
        <v>99.132360000000006</v>
      </c>
      <c r="AD62" s="24">
        <v>250.01618999999999</v>
      </c>
      <c r="AE62">
        <v>29</v>
      </c>
      <c r="AF62" s="25">
        <v>99.411799999999999</v>
      </c>
      <c r="AG62" s="4">
        <f t="shared" si="4"/>
        <v>99.673289999999994</v>
      </c>
    </row>
    <row r="63" spans="2:33" x14ac:dyDescent="0.15">
      <c r="B63" s="22">
        <v>200.08932999999999</v>
      </c>
      <c r="C63">
        <v>29.5</v>
      </c>
      <c r="D63" s="23">
        <v>99.461690000000004</v>
      </c>
      <c r="E63" s="4">
        <f t="shared" si="0"/>
        <v>100.58813000000001</v>
      </c>
      <c r="I63" s="22">
        <v>225.00403</v>
      </c>
      <c r="J63">
        <v>29.5</v>
      </c>
      <c r="K63" s="23">
        <v>96.226780000000005</v>
      </c>
      <c r="L63" s="4">
        <f t="shared" si="1"/>
        <v>99.813850000000002</v>
      </c>
      <c r="P63" s="24">
        <v>225.01591999999999</v>
      </c>
      <c r="Q63">
        <v>29.5</v>
      </c>
      <c r="R63" s="25">
        <v>99.927030000000002</v>
      </c>
      <c r="S63" s="4">
        <f t="shared" si="2"/>
        <v>99.851210000000009</v>
      </c>
      <c r="W63" s="22">
        <v>249.99795</v>
      </c>
      <c r="X63">
        <v>29.5</v>
      </c>
      <c r="Y63" s="4">
        <v>93.668459999999996</v>
      </c>
      <c r="Z63" s="4">
        <f t="shared" si="3"/>
        <v>99.109290000000001</v>
      </c>
      <c r="AD63" s="24">
        <v>250.01452</v>
      </c>
      <c r="AE63">
        <v>29.5</v>
      </c>
      <c r="AF63" s="19">
        <v>99.33972</v>
      </c>
      <c r="AG63" s="4">
        <f t="shared" si="4"/>
        <v>99.601209999999995</v>
      </c>
    </row>
    <row r="64" spans="2:33" x14ac:dyDescent="0.15">
      <c r="B64" s="22">
        <v>200.1052</v>
      </c>
      <c r="C64">
        <v>30</v>
      </c>
      <c r="D64" s="4">
        <v>99.494169999999997</v>
      </c>
      <c r="E64" s="4">
        <f t="shared" si="0"/>
        <v>100.62061</v>
      </c>
      <c r="I64" s="22">
        <v>225.00409999999999</v>
      </c>
      <c r="J64">
        <v>30</v>
      </c>
      <c r="K64" s="4">
        <v>96.196269999999998</v>
      </c>
      <c r="L64" s="4">
        <f t="shared" si="1"/>
        <v>99.783339999999995</v>
      </c>
      <c r="P64" s="24">
        <v>225.01884000000001</v>
      </c>
      <c r="Q64">
        <v>30</v>
      </c>
      <c r="R64" s="19">
        <v>99.862380000000002</v>
      </c>
      <c r="S64" s="4">
        <f t="shared" si="2"/>
        <v>99.786560000000009</v>
      </c>
      <c r="W64" s="22">
        <v>250.00299999999999</v>
      </c>
      <c r="X64">
        <v>30</v>
      </c>
      <c r="Y64" s="23">
        <v>93.647490000000005</v>
      </c>
      <c r="Z64" s="4">
        <f t="shared" si="3"/>
        <v>99.08832000000001</v>
      </c>
      <c r="AD64" s="24">
        <v>250.01414</v>
      </c>
      <c r="AE64">
        <v>30</v>
      </c>
      <c r="AF64" s="25">
        <v>99.337999999999994</v>
      </c>
      <c r="AG64" s="4">
        <f t="shared" si="4"/>
        <v>99.599489999999989</v>
      </c>
    </row>
    <row r="65" spans="2:33" x14ac:dyDescent="0.15">
      <c r="B65" s="22">
        <v>200.11276000000001</v>
      </c>
      <c r="C65">
        <v>30.5</v>
      </c>
      <c r="D65" s="23">
        <v>99.365790000000004</v>
      </c>
      <c r="E65" s="4">
        <f t="shared" si="0"/>
        <v>100.49223000000001</v>
      </c>
      <c r="I65" s="22">
        <v>225.00199000000001</v>
      </c>
      <c r="J65">
        <v>30.5</v>
      </c>
      <c r="K65" s="23">
        <v>96.212090000000003</v>
      </c>
      <c r="L65" s="4">
        <f t="shared" si="1"/>
        <v>99.799160000000001</v>
      </c>
      <c r="P65" s="24">
        <v>225.02116000000001</v>
      </c>
      <c r="Q65">
        <v>30.5</v>
      </c>
      <c r="R65" s="25">
        <v>99.980620000000002</v>
      </c>
      <c r="S65" s="4">
        <f t="shared" si="2"/>
        <v>99.904800000000009</v>
      </c>
      <c r="W65" s="22">
        <v>250.00202999999999</v>
      </c>
      <c r="X65">
        <v>30.5</v>
      </c>
      <c r="Y65" s="4">
        <v>93.626220000000004</v>
      </c>
      <c r="Z65" s="4">
        <f t="shared" si="3"/>
        <v>99.067050000000009</v>
      </c>
      <c r="AD65" s="24">
        <v>250.01590999999999</v>
      </c>
      <c r="AE65">
        <v>30.5</v>
      </c>
      <c r="AF65" s="19">
        <v>99.371470000000002</v>
      </c>
      <c r="AG65" s="4">
        <f t="shared" si="4"/>
        <v>99.632959999999997</v>
      </c>
    </row>
    <row r="66" spans="2:33" x14ac:dyDescent="0.15">
      <c r="B66" s="22">
        <v>200.11704</v>
      </c>
      <c r="C66">
        <v>31</v>
      </c>
      <c r="D66" s="4">
        <v>99.417649999999995</v>
      </c>
      <c r="E66" s="4">
        <f t="shared" si="0"/>
        <v>100.54409</v>
      </c>
      <c r="I66" s="22">
        <v>225.00683000000001</v>
      </c>
      <c r="J66">
        <v>31</v>
      </c>
      <c r="K66" s="4">
        <v>96.186959999999999</v>
      </c>
      <c r="L66" s="4">
        <f t="shared" si="1"/>
        <v>99.774029999999996</v>
      </c>
      <c r="P66" s="24">
        <v>225.02168</v>
      </c>
      <c r="Q66">
        <v>31</v>
      </c>
      <c r="R66" s="19">
        <v>99.884050000000002</v>
      </c>
      <c r="S66" s="4">
        <f t="shared" si="2"/>
        <v>99.808230000000009</v>
      </c>
      <c r="W66" s="22">
        <v>249.99999</v>
      </c>
      <c r="X66">
        <v>31</v>
      </c>
      <c r="Y66" s="23">
        <v>93.589759999999998</v>
      </c>
      <c r="Z66" s="4">
        <f t="shared" si="3"/>
        <v>99.030590000000004</v>
      </c>
      <c r="AD66" s="24">
        <v>250.01845</v>
      </c>
      <c r="AE66">
        <v>31</v>
      </c>
      <c r="AF66" s="25">
        <v>99.343459999999993</v>
      </c>
      <c r="AG66" s="4">
        <f t="shared" si="4"/>
        <v>99.604949999999988</v>
      </c>
    </row>
    <row r="67" spans="2:33" x14ac:dyDescent="0.15">
      <c r="B67" s="22">
        <v>200.11874</v>
      </c>
      <c r="C67">
        <v>31.5</v>
      </c>
      <c r="D67" s="23">
        <v>99.358109999999996</v>
      </c>
      <c r="E67" s="4">
        <f t="shared" si="0"/>
        <v>100.48455</v>
      </c>
      <c r="I67" s="22">
        <v>225.00173000000001</v>
      </c>
      <c r="J67">
        <v>31.5</v>
      </c>
      <c r="K67" s="23">
        <v>96.149559999999994</v>
      </c>
      <c r="L67" s="4">
        <f t="shared" si="1"/>
        <v>99.736629999999991</v>
      </c>
      <c r="P67" s="24">
        <v>225.02117999999999</v>
      </c>
      <c r="Q67">
        <v>31.5</v>
      </c>
      <c r="R67" s="25">
        <v>99.848780000000005</v>
      </c>
      <c r="S67" s="4">
        <f t="shared" si="2"/>
        <v>99.772960000000012</v>
      </c>
      <c r="W67" s="22">
        <v>250.00003000000001</v>
      </c>
      <c r="X67">
        <v>31.5</v>
      </c>
      <c r="Y67" s="4">
        <v>93.559079999999994</v>
      </c>
      <c r="Z67" s="4">
        <f t="shared" si="3"/>
        <v>98.99991</v>
      </c>
      <c r="AD67" s="24">
        <v>250.01889</v>
      </c>
      <c r="AE67">
        <v>31.5</v>
      </c>
      <c r="AF67" s="19">
        <v>99.359110000000001</v>
      </c>
      <c r="AG67" s="4">
        <f t="shared" si="4"/>
        <v>99.620599999999996</v>
      </c>
    </row>
    <row r="68" spans="2:33" x14ac:dyDescent="0.15">
      <c r="B68" s="22">
        <v>200.11364</v>
      </c>
      <c r="C68">
        <v>32</v>
      </c>
      <c r="D68" s="4">
        <v>99.391760000000005</v>
      </c>
      <c r="E68" s="4">
        <f t="shared" si="0"/>
        <v>100.51820000000001</v>
      </c>
      <c r="I68" s="22">
        <v>225.00210999999999</v>
      </c>
      <c r="J68">
        <v>32</v>
      </c>
      <c r="K68" s="4">
        <v>96.13176</v>
      </c>
      <c r="L68" s="4">
        <f t="shared" si="1"/>
        <v>99.718829999999997</v>
      </c>
      <c r="P68" s="24">
        <v>225.01922999999999</v>
      </c>
      <c r="Q68">
        <v>32</v>
      </c>
      <c r="R68" s="19">
        <v>99.963669999999993</v>
      </c>
      <c r="S68" s="4">
        <f t="shared" si="2"/>
        <v>99.88785</v>
      </c>
      <c r="W68" s="22">
        <v>250.00299000000001</v>
      </c>
      <c r="X68">
        <v>32</v>
      </c>
      <c r="Y68" s="23">
        <v>93.536119999999997</v>
      </c>
      <c r="Z68" s="4">
        <f t="shared" si="3"/>
        <v>98.976950000000002</v>
      </c>
      <c r="AD68" s="24">
        <v>250.01692</v>
      </c>
      <c r="AE68">
        <v>32</v>
      </c>
      <c r="AF68" s="25">
        <v>99.325909999999993</v>
      </c>
      <c r="AG68" s="4">
        <f t="shared" si="4"/>
        <v>99.587399999999988</v>
      </c>
    </row>
    <row r="69" spans="2:33" x14ac:dyDescent="0.15">
      <c r="B69" s="22">
        <v>200.09604999999999</v>
      </c>
      <c r="C69">
        <v>32.5</v>
      </c>
      <c r="D69" s="23">
        <v>99.473569999999995</v>
      </c>
      <c r="E69" s="4">
        <f t="shared" ref="E69:E132" si="5">100-($D$4-D69)</f>
        <v>100.60001</v>
      </c>
      <c r="I69" s="22">
        <v>225.00491</v>
      </c>
      <c r="J69">
        <v>32.5</v>
      </c>
      <c r="K69" s="23">
        <v>96.124290000000002</v>
      </c>
      <c r="L69" s="4">
        <f t="shared" ref="L69:L132" si="6">100-($K$4-K69)</f>
        <v>99.711359999999999</v>
      </c>
      <c r="P69" s="24">
        <v>225.01926</v>
      </c>
      <c r="Q69">
        <v>32.5</v>
      </c>
      <c r="R69" s="25">
        <v>99.986109999999996</v>
      </c>
      <c r="S69" s="4">
        <f t="shared" ref="S69:S132" si="7">100-($R$4-R69)</f>
        <v>99.910290000000003</v>
      </c>
      <c r="W69" s="22">
        <v>250.00595000000001</v>
      </c>
      <c r="X69">
        <v>32.5</v>
      </c>
      <c r="Y69" s="4">
        <v>93.497860000000003</v>
      </c>
      <c r="Z69" s="4">
        <f t="shared" ref="Z69:Z132" si="8">100-($Y$4-Y69)</f>
        <v>98.938690000000008</v>
      </c>
      <c r="AD69" s="24">
        <v>250.01599999999999</v>
      </c>
      <c r="AE69">
        <v>32.5</v>
      </c>
      <c r="AF69" s="19">
        <v>99.328569999999999</v>
      </c>
      <c r="AG69" s="4">
        <f t="shared" ref="AG69:AG132" si="9">100-($AF$4-AF69)</f>
        <v>99.590059999999994</v>
      </c>
    </row>
    <row r="70" spans="2:33" x14ac:dyDescent="0.15">
      <c r="B70" s="22">
        <v>200.06558999999999</v>
      </c>
      <c r="C70">
        <v>33</v>
      </c>
      <c r="D70" s="4">
        <v>99.408860000000004</v>
      </c>
      <c r="E70" s="4">
        <f t="shared" si="5"/>
        <v>100.53530000000001</v>
      </c>
      <c r="I70" s="22">
        <v>225.00484</v>
      </c>
      <c r="J70">
        <v>33</v>
      </c>
      <c r="K70" s="4">
        <v>96.089410000000001</v>
      </c>
      <c r="L70" s="4">
        <f t="shared" si="6"/>
        <v>99.676479999999998</v>
      </c>
      <c r="P70" s="24">
        <v>225.02118999999999</v>
      </c>
      <c r="Q70">
        <v>33</v>
      </c>
      <c r="R70" s="19">
        <v>99.779650000000004</v>
      </c>
      <c r="S70" s="4">
        <f t="shared" si="7"/>
        <v>99.703830000000011</v>
      </c>
      <c r="W70" s="22">
        <v>250.005</v>
      </c>
      <c r="X70">
        <v>33</v>
      </c>
      <c r="Y70" s="23">
        <v>93.468999999999994</v>
      </c>
      <c r="Z70" s="4">
        <f t="shared" si="8"/>
        <v>98.909829999999999</v>
      </c>
      <c r="AD70" s="24">
        <v>250.01434</v>
      </c>
      <c r="AE70">
        <v>33</v>
      </c>
      <c r="AF70" s="25">
        <v>99.347080000000005</v>
      </c>
      <c r="AG70" s="4">
        <f t="shared" si="9"/>
        <v>99.60857</v>
      </c>
    </row>
    <row r="71" spans="2:33" x14ac:dyDescent="0.15">
      <c r="B71" s="22">
        <v>200.02741</v>
      </c>
      <c r="C71">
        <v>33.5</v>
      </c>
      <c r="D71" s="23">
        <v>99.466130000000007</v>
      </c>
      <c r="E71" s="4">
        <f t="shared" si="5"/>
        <v>100.59257000000001</v>
      </c>
      <c r="I71" s="22">
        <v>225.00604999999999</v>
      </c>
      <c r="J71">
        <v>33.5</v>
      </c>
      <c r="K71" s="23">
        <v>96.075140000000005</v>
      </c>
      <c r="L71" s="4">
        <f t="shared" si="6"/>
        <v>99.662210000000002</v>
      </c>
      <c r="P71" s="24">
        <v>225.01861</v>
      </c>
      <c r="Q71">
        <v>33.5</v>
      </c>
      <c r="R71" s="25">
        <v>99.953159999999997</v>
      </c>
      <c r="S71" s="4">
        <f t="shared" si="7"/>
        <v>99.877340000000004</v>
      </c>
      <c r="W71" s="22">
        <v>250.00597999999999</v>
      </c>
      <c r="X71">
        <v>33.5</v>
      </c>
      <c r="Y71" s="4">
        <v>93.430679999999995</v>
      </c>
      <c r="Z71" s="4">
        <f t="shared" si="8"/>
        <v>98.871510000000001</v>
      </c>
      <c r="AD71" s="24">
        <v>250.01167000000001</v>
      </c>
      <c r="AE71">
        <v>33.5</v>
      </c>
      <c r="AF71" s="19">
        <v>99.30395</v>
      </c>
      <c r="AG71" s="4">
        <f t="shared" si="9"/>
        <v>99.565439999999995</v>
      </c>
    </row>
    <row r="72" spans="2:33" x14ac:dyDescent="0.15">
      <c r="B72" s="22">
        <v>199.99572000000001</v>
      </c>
      <c r="C72">
        <v>34</v>
      </c>
      <c r="D72" s="4">
        <v>99.426569999999998</v>
      </c>
      <c r="E72" s="4">
        <f t="shared" si="5"/>
        <v>100.55301</v>
      </c>
      <c r="I72" s="22">
        <v>225.00707</v>
      </c>
      <c r="J72">
        <v>34</v>
      </c>
      <c r="K72" s="4">
        <v>96.062439999999995</v>
      </c>
      <c r="L72" s="4">
        <f t="shared" si="6"/>
        <v>99.649509999999992</v>
      </c>
      <c r="P72" s="24">
        <v>225.01947000000001</v>
      </c>
      <c r="Q72">
        <v>34</v>
      </c>
      <c r="R72" s="19">
        <v>99.880210000000005</v>
      </c>
      <c r="S72" s="4">
        <f t="shared" si="7"/>
        <v>99.804390000000012</v>
      </c>
      <c r="W72" s="22">
        <v>250.00102000000001</v>
      </c>
      <c r="X72">
        <v>34</v>
      </c>
      <c r="Y72" s="23">
        <v>93.407629999999997</v>
      </c>
      <c r="Z72" s="4">
        <f t="shared" si="8"/>
        <v>98.848460000000003</v>
      </c>
      <c r="AD72" s="24">
        <v>250.00961000000001</v>
      </c>
      <c r="AE72">
        <v>34</v>
      </c>
      <c r="AF72" s="25">
        <v>99.258309999999994</v>
      </c>
      <c r="AG72" s="4">
        <f t="shared" si="9"/>
        <v>99.519799999999989</v>
      </c>
    </row>
    <row r="73" spans="2:33" x14ac:dyDescent="0.15">
      <c r="B73" s="22">
        <v>199.97241</v>
      </c>
      <c r="C73">
        <v>34.5</v>
      </c>
      <c r="D73" s="23">
        <v>99.456940000000003</v>
      </c>
      <c r="E73" s="4">
        <f t="shared" si="5"/>
        <v>100.58338000000001</v>
      </c>
      <c r="I73" s="22">
        <v>225.00301999999999</v>
      </c>
      <c r="J73">
        <v>34.5</v>
      </c>
      <c r="K73" s="23">
        <v>96.036360000000002</v>
      </c>
      <c r="L73" s="4">
        <f t="shared" si="6"/>
        <v>99.623429999999999</v>
      </c>
      <c r="P73" s="24">
        <v>225.01993999999999</v>
      </c>
      <c r="Q73">
        <v>34.5</v>
      </c>
      <c r="R73" s="25">
        <v>99.874499999999998</v>
      </c>
      <c r="S73" s="4">
        <f t="shared" si="7"/>
        <v>99.798680000000004</v>
      </c>
      <c r="W73" s="22">
        <v>249.99898999999999</v>
      </c>
      <c r="X73">
        <v>34.5</v>
      </c>
      <c r="Y73" s="4">
        <v>93.382670000000005</v>
      </c>
      <c r="Z73" s="4">
        <f t="shared" si="8"/>
        <v>98.82350000000001</v>
      </c>
      <c r="AD73" s="24">
        <v>250.01141999999999</v>
      </c>
      <c r="AE73">
        <v>34.5</v>
      </c>
      <c r="AF73" s="19">
        <v>99.252470000000002</v>
      </c>
      <c r="AG73" s="4">
        <f t="shared" si="9"/>
        <v>99.513959999999997</v>
      </c>
    </row>
    <row r="74" spans="2:33" x14ac:dyDescent="0.15">
      <c r="B74" s="22">
        <v>199.95903999999999</v>
      </c>
      <c r="C74">
        <v>35</v>
      </c>
      <c r="D74" s="4">
        <v>99.452269999999999</v>
      </c>
      <c r="E74" s="4">
        <f t="shared" si="5"/>
        <v>100.57871</v>
      </c>
      <c r="I74" s="22">
        <v>225.01094000000001</v>
      </c>
      <c r="J74">
        <v>35</v>
      </c>
      <c r="K74" s="4">
        <v>96.022390000000001</v>
      </c>
      <c r="L74" s="4">
        <f t="shared" si="6"/>
        <v>99.609459999999999</v>
      </c>
      <c r="P74" s="24">
        <v>225.02190999999999</v>
      </c>
      <c r="Q74">
        <v>35</v>
      </c>
      <c r="R74" s="19">
        <v>99.81559</v>
      </c>
      <c r="S74" s="4">
        <f t="shared" si="7"/>
        <v>99.739770000000007</v>
      </c>
      <c r="W74" s="22">
        <v>250.00196</v>
      </c>
      <c r="X74">
        <v>35</v>
      </c>
      <c r="Y74" s="23">
        <v>93.340519999999998</v>
      </c>
      <c r="Z74" s="4">
        <f t="shared" si="8"/>
        <v>98.781350000000003</v>
      </c>
      <c r="AD74" s="24">
        <v>250.01589999999999</v>
      </c>
      <c r="AE74">
        <v>35</v>
      </c>
      <c r="AF74" s="25">
        <v>99.326149999999998</v>
      </c>
      <c r="AG74" s="4">
        <f t="shared" si="9"/>
        <v>99.587639999999993</v>
      </c>
    </row>
    <row r="75" spans="2:33" x14ac:dyDescent="0.15">
      <c r="B75" s="22">
        <v>199.94823</v>
      </c>
      <c r="C75">
        <v>35.5</v>
      </c>
      <c r="D75" s="23">
        <v>99.375829999999993</v>
      </c>
      <c r="E75" s="4">
        <f t="shared" si="5"/>
        <v>100.50227</v>
      </c>
      <c r="I75" s="22">
        <v>225.00798</v>
      </c>
      <c r="J75">
        <v>35.5</v>
      </c>
      <c r="K75" s="23">
        <v>96.031660000000002</v>
      </c>
      <c r="L75" s="4">
        <f t="shared" si="6"/>
        <v>99.618729999999999</v>
      </c>
      <c r="P75" s="24">
        <v>225.02203</v>
      </c>
      <c r="Q75">
        <v>35.5</v>
      </c>
      <c r="R75" s="25">
        <v>99.755809999999997</v>
      </c>
      <c r="S75" s="4">
        <f t="shared" si="7"/>
        <v>99.679990000000004</v>
      </c>
      <c r="W75" s="22">
        <v>250.00199000000001</v>
      </c>
      <c r="X75">
        <v>35.5</v>
      </c>
      <c r="Y75" s="4">
        <v>93.307820000000007</v>
      </c>
      <c r="Z75" s="4">
        <f t="shared" si="8"/>
        <v>98.748650000000012</v>
      </c>
      <c r="AD75" s="24">
        <v>250.01595</v>
      </c>
      <c r="AE75">
        <v>35.5</v>
      </c>
      <c r="AF75" s="19">
        <v>99.273510000000002</v>
      </c>
      <c r="AG75" s="4">
        <f t="shared" si="9"/>
        <v>99.534999999999997</v>
      </c>
    </row>
    <row r="76" spans="2:33" x14ac:dyDescent="0.15">
      <c r="B76" s="22">
        <v>199.93788000000001</v>
      </c>
      <c r="C76">
        <v>36</v>
      </c>
      <c r="D76" s="4">
        <v>99.437420000000003</v>
      </c>
      <c r="E76" s="4">
        <f t="shared" si="5"/>
        <v>100.56386000000001</v>
      </c>
      <c r="I76" s="22">
        <v>225.00701000000001</v>
      </c>
      <c r="J76">
        <v>36</v>
      </c>
      <c r="K76" s="4">
        <v>95.982470000000006</v>
      </c>
      <c r="L76" s="4">
        <f t="shared" si="6"/>
        <v>99.569540000000003</v>
      </c>
      <c r="P76" s="24">
        <v>225.02145999999999</v>
      </c>
      <c r="Q76">
        <v>36</v>
      </c>
      <c r="R76" s="19">
        <v>99.935360000000003</v>
      </c>
      <c r="S76" s="4">
        <f t="shared" si="7"/>
        <v>99.85954000000001</v>
      </c>
      <c r="W76" s="22">
        <v>250.00596999999999</v>
      </c>
      <c r="X76">
        <v>36</v>
      </c>
      <c r="Y76" s="23">
        <v>93.286699999999996</v>
      </c>
      <c r="Z76" s="4">
        <f t="shared" si="8"/>
        <v>98.727530000000002</v>
      </c>
      <c r="AD76" s="24">
        <v>250.01709</v>
      </c>
      <c r="AE76">
        <v>36</v>
      </c>
      <c r="AF76" s="25">
        <v>99.212119999999999</v>
      </c>
      <c r="AG76" s="4">
        <f t="shared" si="9"/>
        <v>99.473609999999994</v>
      </c>
    </row>
    <row r="77" spans="2:33" x14ac:dyDescent="0.15">
      <c r="B77" s="22">
        <v>199.93573000000001</v>
      </c>
      <c r="C77">
        <v>36.5</v>
      </c>
      <c r="D77" s="23">
        <v>99.336740000000006</v>
      </c>
      <c r="E77" s="4">
        <f t="shared" si="5"/>
        <v>100.46318000000001</v>
      </c>
      <c r="I77" s="22">
        <v>225.00207</v>
      </c>
      <c r="J77">
        <v>36.5</v>
      </c>
      <c r="K77" s="23">
        <v>95.965350000000001</v>
      </c>
      <c r="L77" s="4">
        <f t="shared" si="6"/>
        <v>99.552419999999998</v>
      </c>
      <c r="P77" s="24">
        <v>225.02127999999999</v>
      </c>
      <c r="Q77">
        <v>36.5</v>
      </c>
      <c r="R77" s="25">
        <v>99.860749999999996</v>
      </c>
      <c r="S77" s="4">
        <f t="shared" si="7"/>
        <v>99.784930000000003</v>
      </c>
      <c r="W77" s="22">
        <v>249.99901</v>
      </c>
      <c r="X77">
        <v>36.5</v>
      </c>
      <c r="Y77" s="4">
        <v>93.256200000000007</v>
      </c>
      <c r="Z77" s="4">
        <f t="shared" si="8"/>
        <v>98.697030000000012</v>
      </c>
      <c r="AD77" s="24">
        <v>250.01804000000001</v>
      </c>
      <c r="AE77">
        <v>36.5</v>
      </c>
      <c r="AF77" s="19">
        <v>99.255340000000004</v>
      </c>
      <c r="AG77" s="4">
        <f t="shared" si="9"/>
        <v>99.516829999999999</v>
      </c>
    </row>
    <row r="78" spans="2:33" x14ac:dyDescent="0.15">
      <c r="B78" s="22">
        <v>199.93636000000001</v>
      </c>
      <c r="C78">
        <v>37</v>
      </c>
      <c r="D78" s="4">
        <v>99.345140000000001</v>
      </c>
      <c r="E78" s="4">
        <f t="shared" si="5"/>
        <v>100.47158</v>
      </c>
      <c r="I78" s="22">
        <v>225.00518</v>
      </c>
      <c r="J78">
        <v>37</v>
      </c>
      <c r="K78" s="4">
        <v>95.939930000000004</v>
      </c>
      <c r="L78" s="4">
        <f t="shared" si="6"/>
        <v>99.527000000000001</v>
      </c>
      <c r="P78" s="24">
        <v>225.01895999999999</v>
      </c>
      <c r="Q78">
        <v>37</v>
      </c>
      <c r="R78" s="19">
        <v>99.799499999999995</v>
      </c>
      <c r="S78" s="4">
        <f t="shared" si="7"/>
        <v>99.723680000000002</v>
      </c>
      <c r="W78" s="22">
        <v>249.99798000000001</v>
      </c>
      <c r="X78">
        <v>37</v>
      </c>
      <c r="Y78" s="23">
        <v>93.221720000000005</v>
      </c>
      <c r="Z78" s="4">
        <f t="shared" si="8"/>
        <v>98.66255000000001</v>
      </c>
      <c r="AD78" s="24">
        <v>250.01822999999999</v>
      </c>
      <c r="AE78">
        <v>37</v>
      </c>
      <c r="AF78" s="25">
        <v>99.21163</v>
      </c>
      <c r="AG78" s="4">
        <f t="shared" si="9"/>
        <v>99.473119999999994</v>
      </c>
    </row>
    <row r="79" spans="2:33" x14ac:dyDescent="0.15">
      <c r="B79" s="22">
        <v>199.93786</v>
      </c>
      <c r="C79">
        <v>37.5</v>
      </c>
      <c r="D79" s="23">
        <v>99.411469999999994</v>
      </c>
      <c r="E79" s="4">
        <f t="shared" si="5"/>
        <v>100.53791</v>
      </c>
      <c r="I79" s="22">
        <v>225.0018</v>
      </c>
      <c r="J79">
        <v>37.5</v>
      </c>
      <c r="K79" s="23">
        <v>95.93065</v>
      </c>
      <c r="L79" s="4">
        <f t="shared" si="6"/>
        <v>99.517719999999997</v>
      </c>
      <c r="P79" s="24">
        <v>225.02086</v>
      </c>
      <c r="Q79">
        <v>37.5</v>
      </c>
      <c r="R79" s="25">
        <v>99.830590000000001</v>
      </c>
      <c r="S79" s="4">
        <f t="shared" si="7"/>
        <v>99.754770000000008</v>
      </c>
      <c r="W79" s="22">
        <v>250.00299999999999</v>
      </c>
      <c r="X79">
        <v>37.5</v>
      </c>
      <c r="Y79" s="4">
        <v>93.204470000000001</v>
      </c>
      <c r="Z79" s="4">
        <f t="shared" si="8"/>
        <v>98.645300000000006</v>
      </c>
      <c r="AD79" s="24">
        <v>250.01783</v>
      </c>
      <c r="AE79">
        <v>37.5</v>
      </c>
      <c r="AF79" s="19">
        <v>99.257180000000005</v>
      </c>
      <c r="AG79" s="4">
        <f t="shared" si="9"/>
        <v>99.51867</v>
      </c>
    </row>
    <row r="80" spans="2:33" x14ac:dyDescent="0.15">
      <c r="B80" s="22">
        <v>199.94238999999999</v>
      </c>
      <c r="C80">
        <v>38</v>
      </c>
      <c r="D80" s="4">
        <v>99.416340000000005</v>
      </c>
      <c r="E80" s="4">
        <f t="shared" si="5"/>
        <v>100.54278000000001</v>
      </c>
      <c r="I80" s="22">
        <v>225.0069</v>
      </c>
      <c r="J80">
        <v>38</v>
      </c>
      <c r="K80" s="4">
        <v>95.935699999999997</v>
      </c>
      <c r="L80" s="4">
        <f t="shared" si="6"/>
        <v>99.522769999999994</v>
      </c>
      <c r="P80" s="24">
        <v>225.02054000000001</v>
      </c>
      <c r="Q80">
        <v>38</v>
      </c>
      <c r="R80" s="19">
        <v>99.752219999999994</v>
      </c>
      <c r="S80" s="4">
        <f t="shared" si="7"/>
        <v>99.676400000000001</v>
      </c>
      <c r="W80" s="22">
        <v>250.00301999999999</v>
      </c>
      <c r="X80">
        <v>38</v>
      </c>
      <c r="Y80" s="23">
        <v>93.173869999999994</v>
      </c>
      <c r="Z80" s="4">
        <f t="shared" si="8"/>
        <v>98.614699999999999</v>
      </c>
      <c r="AD80" s="24">
        <v>250.01536999999999</v>
      </c>
      <c r="AE80">
        <v>38</v>
      </c>
      <c r="AF80" s="25">
        <v>99.010490000000004</v>
      </c>
      <c r="AG80" s="4">
        <f t="shared" si="9"/>
        <v>99.271979999999999</v>
      </c>
    </row>
    <row r="81" spans="2:33" x14ac:dyDescent="0.15">
      <c r="B81" s="22">
        <v>199.94986</v>
      </c>
      <c r="C81">
        <v>38.5</v>
      </c>
      <c r="D81" s="23">
        <v>99.595060000000004</v>
      </c>
      <c r="E81" s="4">
        <f t="shared" si="5"/>
        <v>100.72150000000001</v>
      </c>
      <c r="I81" s="22">
        <v>225.00702000000001</v>
      </c>
      <c r="J81">
        <v>38.5</v>
      </c>
      <c r="K81" s="23">
        <v>95.893469999999994</v>
      </c>
      <c r="L81" s="4">
        <f t="shared" si="6"/>
        <v>99.480539999999991</v>
      </c>
      <c r="P81" s="24">
        <v>225.0162</v>
      </c>
      <c r="Q81">
        <v>38.5</v>
      </c>
      <c r="R81" s="25">
        <v>99.794359999999998</v>
      </c>
      <c r="S81" s="4">
        <f t="shared" si="7"/>
        <v>99.718540000000004</v>
      </c>
      <c r="W81" s="22">
        <v>249.99800999999999</v>
      </c>
      <c r="X81">
        <v>38.5</v>
      </c>
      <c r="Y81" s="4">
        <v>93.141270000000006</v>
      </c>
      <c r="Z81" s="4">
        <f t="shared" si="8"/>
        <v>98.582100000000011</v>
      </c>
      <c r="AD81" s="24">
        <v>250.0112</v>
      </c>
      <c r="AE81">
        <v>38.5</v>
      </c>
      <c r="AF81" s="19">
        <v>99.045000000000002</v>
      </c>
      <c r="AG81" s="4">
        <f t="shared" si="9"/>
        <v>99.306489999999997</v>
      </c>
    </row>
    <row r="82" spans="2:33" x14ac:dyDescent="0.15">
      <c r="B82" s="22">
        <v>199.94709</v>
      </c>
      <c r="C82">
        <v>39</v>
      </c>
      <c r="D82" s="4">
        <v>99.395780000000002</v>
      </c>
      <c r="E82" s="4">
        <f t="shared" si="5"/>
        <v>100.52222</v>
      </c>
      <c r="I82" s="22">
        <v>225.0059</v>
      </c>
      <c r="J82">
        <v>39</v>
      </c>
      <c r="K82" s="4">
        <v>95.868560000000002</v>
      </c>
      <c r="L82" s="4">
        <f t="shared" si="6"/>
        <v>99.455629999999999</v>
      </c>
      <c r="P82" s="24">
        <v>225.01616999999999</v>
      </c>
      <c r="Q82">
        <v>39</v>
      </c>
      <c r="R82" s="19">
        <v>99.851420000000005</v>
      </c>
      <c r="S82" s="4">
        <f t="shared" si="7"/>
        <v>99.775600000000011</v>
      </c>
      <c r="W82" s="22">
        <v>249.99601000000001</v>
      </c>
      <c r="X82">
        <v>39</v>
      </c>
      <c r="Y82" s="23">
        <v>93.102800000000002</v>
      </c>
      <c r="Z82" s="4">
        <f t="shared" si="8"/>
        <v>98.543630000000007</v>
      </c>
      <c r="AD82" s="24">
        <v>250.01107999999999</v>
      </c>
      <c r="AE82">
        <v>39</v>
      </c>
      <c r="AF82" s="25">
        <v>99.128309999999999</v>
      </c>
      <c r="AG82" s="4">
        <f t="shared" si="9"/>
        <v>99.389799999999994</v>
      </c>
    </row>
    <row r="83" spans="2:33" x14ac:dyDescent="0.15">
      <c r="B83" s="22">
        <v>199.93655000000001</v>
      </c>
      <c r="C83">
        <v>39.5</v>
      </c>
      <c r="D83" s="23">
        <v>99.457549999999998</v>
      </c>
      <c r="E83" s="4">
        <f t="shared" si="5"/>
        <v>100.58399</v>
      </c>
      <c r="I83" s="22">
        <v>225.00192000000001</v>
      </c>
      <c r="J83">
        <v>39.5</v>
      </c>
      <c r="K83" s="23">
        <v>95.843109999999996</v>
      </c>
      <c r="L83" s="4">
        <f t="shared" si="6"/>
        <v>99.430179999999993</v>
      </c>
      <c r="P83" s="24">
        <v>225.01347999999999</v>
      </c>
      <c r="Q83">
        <v>39.5</v>
      </c>
      <c r="R83" s="25">
        <v>99.749399999999994</v>
      </c>
      <c r="S83" s="4">
        <f t="shared" si="7"/>
        <v>99.673580000000001</v>
      </c>
      <c r="W83" s="22">
        <v>249.99700999999999</v>
      </c>
      <c r="X83">
        <v>39.5</v>
      </c>
      <c r="Y83" s="4">
        <v>93.072069999999997</v>
      </c>
      <c r="Z83" s="4">
        <f t="shared" si="8"/>
        <v>98.512900000000002</v>
      </c>
      <c r="AD83" s="24">
        <v>250.01183</v>
      </c>
      <c r="AE83">
        <v>39.5</v>
      </c>
      <c r="AF83" s="19">
        <v>99.044039999999995</v>
      </c>
      <c r="AG83" s="4">
        <f t="shared" si="9"/>
        <v>99.30552999999999</v>
      </c>
    </row>
    <row r="84" spans="2:33" x14ac:dyDescent="0.15">
      <c r="B84" s="22">
        <v>199.92549</v>
      </c>
      <c r="C84">
        <v>40</v>
      </c>
      <c r="D84" s="4">
        <v>99.515910000000005</v>
      </c>
      <c r="E84" s="4">
        <f t="shared" si="5"/>
        <v>100.64235000000001</v>
      </c>
      <c r="I84" s="22">
        <v>225.005</v>
      </c>
      <c r="J84">
        <v>40</v>
      </c>
      <c r="K84" s="4">
        <v>95.820549999999997</v>
      </c>
      <c r="L84" s="4">
        <f t="shared" si="6"/>
        <v>99.407619999999994</v>
      </c>
      <c r="P84" s="24">
        <v>225.01155</v>
      </c>
      <c r="Q84">
        <v>40</v>
      </c>
      <c r="R84" s="19">
        <v>99.855860000000007</v>
      </c>
      <c r="S84" s="4">
        <f t="shared" si="7"/>
        <v>99.780040000000014</v>
      </c>
      <c r="W84" s="22">
        <v>249.99897999999999</v>
      </c>
      <c r="X84">
        <v>40</v>
      </c>
      <c r="Y84" s="23">
        <v>93.029949999999999</v>
      </c>
      <c r="Z84" s="4">
        <f t="shared" si="8"/>
        <v>98.470780000000005</v>
      </c>
      <c r="AD84" s="24">
        <v>250.01156</v>
      </c>
      <c r="AE84">
        <v>40</v>
      </c>
      <c r="AF84" s="25">
        <v>98.990830000000003</v>
      </c>
      <c r="AG84" s="4">
        <f t="shared" si="9"/>
        <v>99.252319999999997</v>
      </c>
    </row>
    <row r="85" spans="2:33" x14ac:dyDescent="0.15">
      <c r="B85" s="22">
        <v>199.9162</v>
      </c>
      <c r="C85">
        <v>40.5</v>
      </c>
      <c r="D85" s="23">
        <v>99.529300000000006</v>
      </c>
      <c r="E85" s="4">
        <f t="shared" si="5"/>
        <v>100.65574000000001</v>
      </c>
      <c r="I85" s="22">
        <v>225.00898000000001</v>
      </c>
      <c r="J85">
        <v>40.5</v>
      </c>
      <c r="K85" s="23">
        <v>95.822620000000001</v>
      </c>
      <c r="L85" s="4">
        <f t="shared" si="6"/>
        <v>99.409689999999998</v>
      </c>
      <c r="P85" s="24">
        <v>225.01088999999999</v>
      </c>
      <c r="Q85">
        <v>40.5</v>
      </c>
      <c r="R85" s="25">
        <v>99.724140000000006</v>
      </c>
      <c r="S85" s="4">
        <f t="shared" si="7"/>
        <v>99.648320000000012</v>
      </c>
      <c r="W85" s="22">
        <v>250.00498999999999</v>
      </c>
      <c r="X85">
        <v>40.5</v>
      </c>
      <c r="Y85" s="4">
        <v>93.012749999999997</v>
      </c>
      <c r="Z85" s="4">
        <f t="shared" si="8"/>
        <v>98.453580000000002</v>
      </c>
      <c r="AD85" s="24">
        <v>250.01664</v>
      </c>
      <c r="AE85">
        <v>40.5</v>
      </c>
      <c r="AF85" s="19">
        <v>99.11748</v>
      </c>
      <c r="AG85" s="4">
        <f t="shared" si="9"/>
        <v>99.378969999999995</v>
      </c>
    </row>
    <row r="86" spans="2:33" x14ac:dyDescent="0.15">
      <c r="B86" s="22">
        <v>199.91752</v>
      </c>
      <c r="C86">
        <v>41</v>
      </c>
      <c r="D86" s="4">
        <v>99.469380000000001</v>
      </c>
      <c r="E86" s="4">
        <f t="shared" si="5"/>
        <v>100.59582</v>
      </c>
      <c r="I86" s="22">
        <v>225.00503</v>
      </c>
      <c r="J86">
        <v>41</v>
      </c>
      <c r="K86" s="4">
        <v>95.791669999999996</v>
      </c>
      <c r="L86" s="4">
        <f t="shared" si="6"/>
        <v>99.378739999999993</v>
      </c>
      <c r="P86" s="24">
        <v>225.01188999999999</v>
      </c>
      <c r="Q86">
        <v>41</v>
      </c>
      <c r="R86" s="19">
        <v>99.664060000000006</v>
      </c>
      <c r="S86" s="4">
        <f t="shared" si="7"/>
        <v>99.588240000000013</v>
      </c>
      <c r="W86" s="22">
        <v>250.00301999999999</v>
      </c>
      <c r="X86">
        <v>41</v>
      </c>
      <c r="Y86" s="23">
        <v>92.981859999999998</v>
      </c>
      <c r="Z86" s="4">
        <f t="shared" si="8"/>
        <v>98.422690000000003</v>
      </c>
      <c r="AD86" s="24">
        <v>250.01721000000001</v>
      </c>
      <c r="AE86">
        <v>41</v>
      </c>
      <c r="AF86" s="25">
        <v>99.033860000000004</v>
      </c>
      <c r="AG86" s="4">
        <f t="shared" si="9"/>
        <v>99.295349999999999</v>
      </c>
    </row>
    <row r="87" spans="2:33" x14ac:dyDescent="0.15">
      <c r="B87" s="22">
        <v>199.93911</v>
      </c>
      <c r="C87">
        <v>41.5</v>
      </c>
      <c r="D87" s="23">
        <v>99.46208</v>
      </c>
      <c r="E87" s="4">
        <f t="shared" si="5"/>
        <v>100.58852</v>
      </c>
      <c r="I87" s="22">
        <v>225.00599</v>
      </c>
      <c r="J87">
        <v>41.5</v>
      </c>
      <c r="K87" s="23">
        <v>95.795609999999996</v>
      </c>
      <c r="L87" s="4">
        <f t="shared" si="6"/>
        <v>99.382679999999993</v>
      </c>
      <c r="P87" s="24">
        <v>225.01481999999999</v>
      </c>
      <c r="Q87">
        <v>41.5</v>
      </c>
      <c r="R87" s="25">
        <v>99.655559999999994</v>
      </c>
      <c r="S87" s="4">
        <f t="shared" si="7"/>
        <v>99.579740000000001</v>
      </c>
      <c r="W87" s="22">
        <v>249.99796000000001</v>
      </c>
      <c r="X87">
        <v>41.5</v>
      </c>
      <c r="Y87" s="4">
        <v>92.97627</v>
      </c>
      <c r="Z87" s="4">
        <f t="shared" si="8"/>
        <v>98.417100000000005</v>
      </c>
      <c r="AD87" s="24">
        <v>250.01629</v>
      </c>
      <c r="AE87">
        <v>41.5</v>
      </c>
      <c r="AF87" s="19">
        <v>99.045969999999997</v>
      </c>
      <c r="AG87" s="4">
        <f t="shared" si="9"/>
        <v>99.307459999999992</v>
      </c>
    </row>
    <row r="88" spans="2:33" x14ac:dyDescent="0.15">
      <c r="B88" s="22">
        <v>199.98310000000001</v>
      </c>
      <c r="C88">
        <v>42</v>
      </c>
      <c r="D88" s="4">
        <v>99.427390000000003</v>
      </c>
      <c r="E88" s="4">
        <f t="shared" si="5"/>
        <v>100.55383</v>
      </c>
      <c r="I88" s="22">
        <v>225.00400999999999</v>
      </c>
      <c r="J88">
        <v>42</v>
      </c>
      <c r="K88" s="4">
        <v>95.753889999999998</v>
      </c>
      <c r="L88" s="4">
        <f t="shared" si="6"/>
        <v>99.340959999999995</v>
      </c>
      <c r="P88" s="24">
        <v>225.01857999999999</v>
      </c>
      <c r="Q88">
        <v>42</v>
      </c>
      <c r="R88" s="19">
        <v>99.542609999999996</v>
      </c>
      <c r="S88" s="4">
        <f t="shared" si="7"/>
        <v>99.466790000000003</v>
      </c>
      <c r="W88" s="22">
        <v>249.99600000000001</v>
      </c>
      <c r="X88">
        <v>42</v>
      </c>
      <c r="Y88" s="23">
        <v>92.947519999999997</v>
      </c>
      <c r="Z88" s="4">
        <f t="shared" si="8"/>
        <v>98.388350000000003</v>
      </c>
      <c r="AD88" s="24">
        <v>250.01512</v>
      </c>
      <c r="AE88">
        <v>42</v>
      </c>
      <c r="AF88" s="25">
        <v>98.933359999999993</v>
      </c>
      <c r="AG88" s="4">
        <f t="shared" si="9"/>
        <v>99.194849999999988</v>
      </c>
    </row>
    <row r="89" spans="2:33" x14ac:dyDescent="0.15">
      <c r="B89" s="22">
        <v>200.03607</v>
      </c>
      <c r="C89">
        <v>42.5</v>
      </c>
      <c r="D89" s="23">
        <v>99.382739999999998</v>
      </c>
      <c r="E89" s="4">
        <f t="shared" si="5"/>
        <v>100.50918</v>
      </c>
      <c r="I89" s="22">
        <v>225.00502</v>
      </c>
      <c r="J89">
        <v>42.5</v>
      </c>
      <c r="K89" s="23">
        <v>95.744519999999994</v>
      </c>
      <c r="L89" s="4">
        <f t="shared" si="6"/>
        <v>99.331589999999991</v>
      </c>
      <c r="P89" s="24">
        <v>225.02205000000001</v>
      </c>
      <c r="Q89">
        <v>42.5</v>
      </c>
      <c r="R89" s="25">
        <v>99.834940000000003</v>
      </c>
      <c r="S89" s="4">
        <f t="shared" si="7"/>
        <v>99.75912000000001</v>
      </c>
      <c r="W89" s="22">
        <v>249.99794</v>
      </c>
      <c r="X89">
        <v>42.5</v>
      </c>
      <c r="Y89" s="4">
        <v>92.90155</v>
      </c>
      <c r="Z89" s="4">
        <f t="shared" si="8"/>
        <v>98.342380000000006</v>
      </c>
      <c r="AD89" s="24">
        <v>250.01267999999999</v>
      </c>
      <c r="AE89">
        <v>42.5</v>
      </c>
      <c r="AF89" s="19">
        <v>98.953159999999997</v>
      </c>
      <c r="AG89" s="4">
        <f t="shared" si="9"/>
        <v>99.214649999999992</v>
      </c>
    </row>
    <row r="90" spans="2:33" x14ac:dyDescent="0.15">
      <c r="B90" s="22">
        <v>200.07974999999999</v>
      </c>
      <c r="C90">
        <v>43</v>
      </c>
      <c r="D90" s="4">
        <v>99.5227</v>
      </c>
      <c r="E90" s="4">
        <f t="shared" si="5"/>
        <v>100.64914</v>
      </c>
      <c r="I90" s="22">
        <v>225.00697</v>
      </c>
      <c r="J90">
        <v>43</v>
      </c>
      <c r="K90" s="4">
        <v>95.728629999999995</v>
      </c>
      <c r="L90" s="4">
        <f t="shared" si="6"/>
        <v>99.315699999999993</v>
      </c>
      <c r="P90" s="24">
        <v>225.02348000000001</v>
      </c>
      <c r="Q90">
        <v>43</v>
      </c>
      <c r="R90" s="19">
        <v>99.726609999999994</v>
      </c>
      <c r="S90" s="4">
        <f t="shared" si="7"/>
        <v>99.650790000000001</v>
      </c>
      <c r="W90" s="22">
        <v>250.00507999999999</v>
      </c>
      <c r="X90">
        <v>43</v>
      </c>
      <c r="Y90" s="23">
        <v>92.872749999999996</v>
      </c>
      <c r="Z90" s="4">
        <f t="shared" si="8"/>
        <v>98.313580000000002</v>
      </c>
      <c r="AD90" s="24">
        <v>250.01091</v>
      </c>
      <c r="AE90">
        <v>43</v>
      </c>
      <c r="AF90" s="25">
        <v>98.99597</v>
      </c>
      <c r="AG90" s="4">
        <f t="shared" si="9"/>
        <v>99.257459999999995</v>
      </c>
    </row>
    <row r="91" spans="2:33" x14ac:dyDescent="0.15">
      <c r="B91" s="22">
        <v>200.10410999999999</v>
      </c>
      <c r="C91">
        <v>43.5</v>
      </c>
      <c r="D91" s="23">
        <v>99.261070000000004</v>
      </c>
      <c r="E91" s="4">
        <f t="shared" si="5"/>
        <v>100.38751000000001</v>
      </c>
      <c r="I91" s="22">
        <v>225.00308000000001</v>
      </c>
      <c r="J91">
        <v>43.5</v>
      </c>
      <c r="K91" s="23">
        <v>95.694749999999999</v>
      </c>
      <c r="L91" s="4">
        <f t="shared" si="6"/>
        <v>99.281819999999996</v>
      </c>
      <c r="P91" s="24">
        <v>225.01437999999999</v>
      </c>
      <c r="Q91">
        <v>43.5</v>
      </c>
      <c r="R91" s="25">
        <v>99.767510000000001</v>
      </c>
      <c r="S91" s="4">
        <f t="shared" si="7"/>
        <v>99.691690000000008</v>
      </c>
      <c r="W91" s="22">
        <v>250.00199000000001</v>
      </c>
      <c r="X91">
        <v>43.5</v>
      </c>
      <c r="Y91" s="4">
        <v>92.853489999999994</v>
      </c>
      <c r="Z91" s="4">
        <f t="shared" si="8"/>
        <v>98.294319999999999</v>
      </c>
      <c r="AD91" s="24">
        <v>250.0102</v>
      </c>
      <c r="AE91">
        <v>43.5</v>
      </c>
      <c r="AF91" s="19">
        <v>98.938929999999999</v>
      </c>
      <c r="AG91" s="4">
        <f t="shared" si="9"/>
        <v>99.200419999999994</v>
      </c>
    </row>
    <row r="92" spans="2:33" x14ac:dyDescent="0.15">
      <c r="B92" s="22">
        <v>200.10308000000001</v>
      </c>
      <c r="C92">
        <v>44</v>
      </c>
      <c r="D92" s="4">
        <v>99.528009999999995</v>
      </c>
      <c r="E92" s="4">
        <f t="shared" si="5"/>
        <v>100.65445</v>
      </c>
      <c r="I92" s="22">
        <v>225.00409999999999</v>
      </c>
      <c r="J92">
        <v>44</v>
      </c>
      <c r="K92" s="4">
        <v>95.662450000000007</v>
      </c>
      <c r="L92" s="4">
        <f t="shared" si="6"/>
        <v>99.249520000000004</v>
      </c>
      <c r="P92" s="24">
        <v>225.01157000000001</v>
      </c>
      <c r="Q92">
        <v>44</v>
      </c>
      <c r="R92" s="19">
        <v>99.645669999999996</v>
      </c>
      <c r="S92" s="4">
        <f t="shared" si="7"/>
        <v>99.569850000000002</v>
      </c>
      <c r="W92" s="22">
        <v>250</v>
      </c>
      <c r="X92">
        <v>44</v>
      </c>
      <c r="Y92" s="23">
        <v>92.834320000000005</v>
      </c>
      <c r="Z92" s="4">
        <f t="shared" si="8"/>
        <v>98.275150000000011</v>
      </c>
      <c r="AD92" s="24">
        <v>250.00572</v>
      </c>
      <c r="AE92">
        <v>44</v>
      </c>
      <c r="AF92" s="25">
        <v>98.972629999999995</v>
      </c>
      <c r="AG92" s="4">
        <f t="shared" si="9"/>
        <v>99.23411999999999</v>
      </c>
    </row>
    <row r="93" spans="2:33" x14ac:dyDescent="0.15">
      <c r="B93" s="22">
        <v>200.08676</v>
      </c>
      <c r="C93">
        <v>44.5</v>
      </c>
      <c r="D93" s="23">
        <v>99.486329999999995</v>
      </c>
      <c r="E93" s="4">
        <f t="shared" si="5"/>
        <v>100.61277</v>
      </c>
      <c r="I93" s="22">
        <v>225.00592</v>
      </c>
      <c r="J93">
        <v>44.5</v>
      </c>
      <c r="K93" s="23">
        <v>95.649500000000003</v>
      </c>
      <c r="L93" s="4">
        <f t="shared" si="6"/>
        <v>99.23657</v>
      </c>
      <c r="P93" s="24">
        <v>225.01253</v>
      </c>
      <c r="Q93">
        <v>44.5</v>
      </c>
      <c r="R93" s="25">
        <v>99.782790000000006</v>
      </c>
      <c r="S93" s="4">
        <f t="shared" si="7"/>
        <v>99.706970000000013</v>
      </c>
      <c r="W93" s="22">
        <v>249.99802</v>
      </c>
      <c r="X93">
        <v>44.5</v>
      </c>
      <c r="Y93" s="4">
        <v>92.815179999999998</v>
      </c>
      <c r="Z93" s="4">
        <f t="shared" si="8"/>
        <v>98.256010000000003</v>
      </c>
      <c r="AD93" s="24">
        <v>250.00758999999999</v>
      </c>
      <c r="AE93">
        <v>44.5</v>
      </c>
      <c r="AF93" s="19">
        <v>98.866699999999994</v>
      </c>
      <c r="AG93" s="4">
        <f t="shared" si="9"/>
        <v>99.128189999999989</v>
      </c>
    </row>
    <row r="94" spans="2:33" x14ac:dyDescent="0.15">
      <c r="B94" s="22">
        <v>200.06370999999999</v>
      </c>
      <c r="C94">
        <v>45</v>
      </c>
      <c r="D94" s="4">
        <v>99.426649999999995</v>
      </c>
      <c r="E94" s="4">
        <f t="shared" si="5"/>
        <v>100.55309</v>
      </c>
      <c r="I94" s="22">
        <v>225.00792000000001</v>
      </c>
      <c r="J94">
        <v>45</v>
      </c>
      <c r="K94" s="4">
        <v>95.650959999999998</v>
      </c>
      <c r="L94" s="4">
        <f t="shared" si="6"/>
        <v>99.238029999999995</v>
      </c>
      <c r="P94" s="24">
        <v>225.01844</v>
      </c>
      <c r="Q94">
        <v>45</v>
      </c>
      <c r="R94" s="19">
        <v>99.709569999999999</v>
      </c>
      <c r="S94" s="4">
        <f t="shared" si="7"/>
        <v>99.633750000000006</v>
      </c>
      <c r="W94" s="22">
        <v>249.99597</v>
      </c>
      <c r="X94">
        <v>45</v>
      </c>
      <c r="Y94" s="23">
        <v>92.788250000000005</v>
      </c>
      <c r="Z94" s="4">
        <f t="shared" si="8"/>
        <v>98.22908000000001</v>
      </c>
      <c r="AD94" s="24">
        <v>250.01213000000001</v>
      </c>
      <c r="AE94">
        <v>45</v>
      </c>
      <c r="AF94" s="25">
        <v>98.912310000000005</v>
      </c>
      <c r="AG94" s="4">
        <f t="shared" si="9"/>
        <v>99.1738</v>
      </c>
    </row>
    <row r="95" spans="2:33" x14ac:dyDescent="0.15">
      <c r="B95" s="22">
        <v>200.03886</v>
      </c>
      <c r="C95">
        <v>45.5</v>
      </c>
      <c r="D95" s="23">
        <v>99.499449999999996</v>
      </c>
      <c r="E95" s="4">
        <f t="shared" si="5"/>
        <v>100.62589</v>
      </c>
      <c r="I95" s="22">
        <v>225.00505999999999</v>
      </c>
      <c r="J95">
        <v>45.5</v>
      </c>
      <c r="K95" s="23">
        <v>95.623630000000006</v>
      </c>
      <c r="L95" s="4">
        <f t="shared" si="6"/>
        <v>99.210700000000003</v>
      </c>
      <c r="P95" s="24">
        <v>225.02211</v>
      </c>
      <c r="Q95">
        <v>45.5</v>
      </c>
      <c r="R95" s="25">
        <v>99.798230000000004</v>
      </c>
      <c r="S95" s="4">
        <f t="shared" si="7"/>
        <v>99.722410000000011</v>
      </c>
      <c r="W95" s="22">
        <v>249.99701999999999</v>
      </c>
      <c r="X95">
        <v>45.5</v>
      </c>
      <c r="Y95" s="4">
        <v>92.759640000000005</v>
      </c>
      <c r="Z95" s="4">
        <f t="shared" si="8"/>
        <v>98.20047000000001</v>
      </c>
      <c r="AD95" s="24">
        <v>250.01255</v>
      </c>
      <c r="AE95">
        <v>45.5</v>
      </c>
      <c r="AF95" s="19">
        <v>98.9024</v>
      </c>
      <c r="AG95" s="4">
        <f t="shared" si="9"/>
        <v>99.163889999999995</v>
      </c>
    </row>
    <row r="96" spans="2:33" x14ac:dyDescent="0.15">
      <c r="B96" s="22">
        <v>200.02345</v>
      </c>
      <c r="C96">
        <v>46</v>
      </c>
      <c r="D96" s="4">
        <v>99.424760000000006</v>
      </c>
      <c r="E96" s="4">
        <f t="shared" si="5"/>
        <v>100.55120000000001</v>
      </c>
      <c r="I96" s="22">
        <v>225.00295</v>
      </c>
      <c r="J96">
        <v>46</v>
      </c>
      <c r="K96" s="4">
        <v>95.590980000000002</v>
      </c>
      <c r="L96" s="4">
        <f t="shared" si="6"/>
        <v>99.178049999999999</v>
      </c>
      <c r="P96" s="24">
        <v>225.02175</v>
      </c>
      <c r="Q96">
        <v>46</v>
      </c>
      <c r="R96" s="19">
        <v>99.735060000000004</v>
      </c>
      <c r="S96" s="4">
        <f t="shared" si="7"/>
        <v>99.659240000000011</v>
      </c>
      <c r="W96" s="22">
        <v>250.00299000000001</v>
      </c>
      <c r="X96">
        <v>46</v>
      </c>
      <c r="Y96" s="23">
        <v>92.728899999999996</v>
      </c>
      <c r="Z96" s="4">
        <f t="shared" si="8"/>
        <v>98.169730000000001</v>
      </c>
      <c r="AD96" s="24">
        <v>250.01233999999999</v>
      </c>
      <c r="AE96">
        <v>46</v>
      </c>
      <c r="AF96" s="25">
        <v>98.932469999999995</v>
      </c>
      <c r="AG96" s="4">
        <f t="shared" si="9"/>
        <v>99.19395999999999</v>
      </c>
    </row>
    <row r="97" spans="2:33" x14ac:dyDescent="0.15">
      <c r="B97" s="22">
        <v>200.00876</v>
      </c>
      <c r="C97">
        <v>46.5</v>
      </c>
      <c r="D97" s="23">
        <v>99.509929999999997</v>
      </c>
      <c r="E97" s="4">
        <f t="shared" si="5"/>
        <v>100.63637</v>
      </c>
      <c r="I97" s="22">
        <v>225.00606999999999</v>
      </c>
      <c r="J97">
        <v>46.5</v>
      </c>
      <c r="K97" s="23">
        <v>95.58229</v>
      </c>
      <c r="L97" s="4">
        <f t="shared" si="6"/>
        <v>99.169359999999998</v>
      </c>
      <c r="P97" s="24">
        <v>225.02091999999999</v>
      </c>
      <c r="Q97">
        <v>46.5</v>
      </c>
      <c r="R97" s="25">
        <v>99.764340000000004</v>
      </c>
      <c r="S97" s="4">
        <f t="shared" si="7"/>
        <v>99.688520000000011</v>
      </c>
      <c r="W97" s="22">
        <v>250.00699</v>
      </c>
      <c r="X97">
        <v>46.5</v>
      </c>
      <c r="Y97" s="4">
        <v>92.702079999999995</v>
      </c>
      <c r="Z97" s="4">
        <f t="shared" si="8"/>
        <v>98.142910000000001</v>
      </c>
      <c r="AD97" s="24">
        <v>250.01199</v>
      </c>
      <c r="AE97">
        <v>46.5</v>
      </c>
      <c r="AF97" s="19">
        <v>98.861969999999999</v>
      </c>
      <c r="AG97" s="4">
        <f t="shared" si="9"/>
        <v>99.123459999999994</v>
      </c>
    </row>
    <row r="98" spans="2:33" x14ac:dyDescent="0.15">
      <c r="B98" s="22">
        <v>199.99112</v>
      </c>
      <c r="C98">
        <v>47</v>
      </c>
      <c r="D98" s="4">
        <v>99.491010000000003</v>
      </c>
      <c r="E98" s="4">
        <f t="shared" si="5"/>
        <v>100.61745000000001</v>
      </c>
      <c r="I98" s="22">
        <v>225.00702999999999</v>
      </c>
      <c r="J98">
        <v>47</v>
      </c>
      <c r="K98" s="4">
        <v>95.570629999999994</v>
      </c>
      <c r="L98" s="4">
        <f t="shared" si="6"/>
        <v>99.157699999999991</v>
      </c>
      <c r="P98" s="24">
        <v>225.02506</v>
      </c>
      <c r="Q98">
        <v>47</v>
      </c>
      <c r="R98" s="19">
        <v>99.726209999999995</v>
      </c>
      <c r="S98" s="4">
        <f t="shared" si="7"/>
        <v>99.650390000000002</v>
      </c>
      <c r="W98" s="22">
        <v>250.00099</v>
      </c>
      <c r="X98">
        <v>47</v>
      </c>
      <c r="Y98" s="23">
        <v>92.656090000000006</v>
      </c>
      <c r="Z98" s="4">
        <f t="shared" si="8"/>
        <v>98.096920000000011</v>
      </c>
      <c r="AD98" s="24">
        <v>250.00821999999999</v>
      </c>
      <c r="AE98">
        <v>47</v>
      </c>
      <c r="AF98" s="25">
        <v>98.942089999999993</v>
      </c>
      <c r="AG98" s="4">
        <f t="shared" si="9"/>
        <v>99.203579999999988</v>
      </c>
    </row>
    <row r="99" spans="2:33" x14ac:dyDescent="0.15">
      <c r="B99" s="22">
        <v>199.96964</v>
      </c>
      <c r="C99">
        <v>47.5</v>
      </c>
      <c r="D99" s="23">
        <v>99.388080000000002</v>
      </c>
      <c r="E99" s="4">
        <f t="shared" si="5"/>
        <v>100.51452</v>
      </c>
      <c r="I99" s="22">
        <v>225.00400999999999</v>
      </c>
      <c r="J99">
        <v>47.5</v>
      </c>
      <c r="K99" s="23">
        <v>95.530879999999996</v>
      </c>
      <c r="L99" s="4">
        <f t="shared" si="6"/>
        <v>99.117949999999993</v>
      </c>
      <c r="P99" s="24">
        <v>225.02529999999999</v>
      </c>
      <c r="Q99">
        <v>47.5</v>
      </c>
      <c r="R99" s="25">
        <v>99.734390000000005</v>
      </c>
      <c r="S99" s="4">
        <f t="shared" si="7"/>
        <v>99.658570000000012</v>
      </c>
      <c r="W99" s="22">
        <v>250.00601</v>
      </c>
      <c r="X99">
        <v>47.5</v>
      </c>
      <c r="Y99" s="4">
        <v>92.634870000000006</v>
      </c>
      <c r="Z99" s="4">
        <f t="shared" si="8"/>
        <v>98.075700000000012</v>
      </c>
      <c r="AD99" s="24">
        <v>250.00873000000001</v>
      </c>
      <c r="AE99">
        <v>47.5</v>
      </c>
      <c r="AF99" s="19">
        <v>98.849000000000004</v>
      </c>
      <c r="AG99" s="4">
        <f t="shared" si="9"/>
        <v>99.110489999999999</v>
      </c>
    </row>
    <row r="100" spans="2:33" x14ac:dyDescent="0.15">
      <c r="B100" s="22">
        <v>199.94871000000001</v>
      </c>
      <c r="C100">
        <v>48</v>
      </c>
      <c r="D100" s="4">
        <v>99.452129999999997</v>
      </c>
      <c r="E100" s="4">
        <f t="shared" si="5"/>
        <v>100.57857</v>
      </c>
      <c r="I100" s="22">
        <v>225.00198</v>
      </c>
      <c r="J100">
        <v>48</v>
      </c>
      <c r="K100" s="4">
        <v>95.519639999999995</v>
      </c>
      <c r="L100" s="4">
        <f t="shared" si="6"/>
        <v>99.106709999999993</v>
      </c>
      <c r="P100" s="24">
        <v>225.02436</v>
      </c>
      <c r="Q100">
        <v>48</v>
      </c>
      <c r="R100" s="19">
        <v>99.786169999999998</v>
      </c>
      <c r="S100" s="4">
        <f t="shared" si="7"/>
        <v>99.710350000000005</v>
      </c>
      <c r="W100" s="22">
        <v>250.00102999999999</v>
      </c>
      <c r="X100">
        <v>48</v>
      </c>
      <c r="Y100" s="23">
        <v>92.600440000000006</v>
      </c>
      <c r="Z100" s="4">
        <f t="shared" si="8"/>
        <v>98.041270000000011</v>
      </c>
      <c r="AD100" s="24">
        <v>250.00943000000001</v>
      </c>
      <c r="AE100">
        <v>48</v>
      </c>
      <c r="AF100" s="25">
        <v>98.808139999999995</v>
      </c>
      <c r="AG100" s="4">
        <f t="shared" si="9"/>
        <v>99.069629999999989</v>
      </c>
    </row>
    <row r="101" spans="2:33" x14ac:dyDescent="0.15">
      <c r="B101" s="22">
        <v>199.94092000000001</v>
      </c>
      <c r="C101">
        <v>48.5</v>
      </c>
      <c r="D101" s="23">
        <v>99.318299999999994</v>
      </c>
      <c r="E101" s="4">
        <f t="shared" si="5"/>
        <v>100.44474</v>
      </c>
      <c r="I101" s="22">
        <v>225.0042</v>
      </c>
      <c r="J101">
        <v>48.5</v>
      </c>
      <c r="K101" s="23">
        <v>95.517870000000002</v>
      </c>
      <c r="L101" s="4">
        <f t="shared" si="6"/>
        <v>99.104939999999999</v>
      </c>
      <c r="P101" s="24">
        <v>225.0231</v>
      </c>
      <c r="Q101">
        <v>48.5</v>
      </c>
      <c r="R101" s="25">
        <v>99.618819999999999</v>
      </c>
      <c r="S101" s="4">
        <f t="shared" si="7"/>
        <v>99.543000000000006</v>
      </c>
      <c r="W101" s="22">
        <v>250.00299999999999</v>
      </c>
      <c r="X101">
        <v>48.5</v>
      </c>
      <c r="Y101" s="4">
        <v>92.577439999999996</v>
      </c>
      <c r="Z101" s="4">
        <f t="shared" si="8"/>
        <v>98.018270000000001</v>
      </c>
      <c r="AD101" s="24">
        <v>250.00917000000001</v>
      </c>
      <c r="AE101">
        <v>48.5</v>
      </c>
      <c r="AF101" s="19">
        <v>98.864099999999993</v>
      </c>
      <c r="AG101" s="4">
        <f t="shared" si="9"/>
        <v>99.125589999999988</v>
      </c>
    </row>
    <row r="102" spans="2:33" x14ac:dyDescent="0.15">
      <c r="B102" s="22">
        <v>199.95097000000001</v>
      </c>
      <c r="C102">
        <v>49</v>
      </c>
      <c r="D102" s="4">
        <v>99.499319999999997</v>
      </c>
      <c r="E102" s="4">
        <f t="shared" si="5"/>
        <v>100.62576</v>
      </c>
      <c r="I102" s="22">
        <v>225.0061</v>
      </c>
      <c r="J102">
        <v>49</v>
      </c>
      <c r="K102" s="4">
        <v>95.485240000000005</v>
      </c>
      <c r="L102" s="4">
        <f t="shared" si="6"/>
        <v>99.072310000000002</v>
      </c>
      <c r="P102" s="24">
        <v>225.02302</v>
      </c>
      <c r="Q102">
        <v>49</v>
      </c>
      <c r="R102" s="19">
        <v>99.694879999999998</v>
      </c>
      <c r="S102" s="4">
        <f t="shared" si="7"/>
        <v>99.619060000000005</v>
      </c>
      <c r="W102" s="22">
        <v>250.00109</v>
      </c>
      <c r="X102">
        <v>49</v>
      </c>
      <c r="Y102" s="23">
        <v>92.538910000000001</v>
      </c>
      <c r="Z102" s="4">
        <f t="shared" si="8"/>
        <v>97.979740000000007</v>
      </c>
      <c r="AD102" s="24">
        <v>250.01522</v>
      </c>
      <c r="AE102">
        <v>49</v>
      </c>
      <c r="AF102" s="25">
        <v>98.752889999999994</v>
      </c>
      <c r="AG102" s="4">
        <f t="shared" si="9"/>
        <v>99.014379999999989</v>
      </c>
    </row>
    <row r="103" spans="2:33" x14ac:dyDescent="0.15">
      <c r="B103" s="22">
        <v>199.96312</v>
      </c>
      <c r="C103">
        <v>49.5</v>
      </c>
      <c r="D103" s="23">
        <v>99.448679999999996</v>
      </c>
      <c r="E103" s="4">
        <f t="shared" si="5"/>
        <v>100.57512</v>
      </c>
      <c r="I103" s="22">
        <v>225.01392000000001</v>
      </c>
      <c r="J103">
        <v>49.5</v>
      </c>
      <c r="K103" s="23">
        <v>95.475480000000005</v>
      </c>
      <c r="L103" s="4">
        <f t="shared" si="6"/>
        <v>99.062550000000002</v>
      </c>
      <c r="P103" s="24">
        <v>225.02501000000001</v>
      </c>
      <c r="Q103">
        <v>49.5</v>
      </c>
      <c r="R103" s="25">
        <v>99.741659999999996</v>
      </c>
      <c r="S103" s="4">
        <f t="shared" si="7"/>
        <v>99.665840000000003</v>
      </c>
      <c r="W103" s="22">
        <v>250.00296</v>
      </c>
      <c r="X103">
        <v>49.5</v>
      </c>
      <c r="Y103" s="4">
        <v>92.533259999999999</v>
      </c>
      <c r="Z103" s="4">
        <f t="shared" si="8"/>
        <v>97.974090000000004</v>
      </c>
      <c r="AD103" s="24">
        <v>250.02309</v>
      </c>
      <c r="AE103">
        <v>49.5</v>
      </c>
      <c r="AF103" s="19">
        <v>98.735429999999994</v>
      </c>
      <c r="AG103" s="4">
        <f t="shared" si="9"/>
        <v>98.996919999999989</v>
      </c>
    </row>
    <row r="104" spans="2:33" x14ac:dyDescent="0.15">
      <c r="B104" s="22">
        <v>199.98047</v>
      </c>
      <c r="C104">
        <v>50</v>
      </c>
      <c r="D104" s="4">
        <v>99.554609999999997</v>
      </c>
      <c r="E104" s="4">
        <f t="shared" si="5"/>
        <v>100.68105</v>
      </c>
      <c r="I104" s="22">
        <v>225.0119</v>
      </c>
      <c r="J104">
        <v>50</v>
      </c>
      <c r="K104" s="4">
        <v>95.453609999999998</v>
      </c>
      <c r="L104" s="4">
        <f t="shared" si="6"/>
        <v>99.040679999999995</v>
      </c>
      <c r="P104" s="24">
        <v>225.02578</v>
      </c>
      <c r="Q104">
        <v>50</v>
      </c>
      <c r="R104" s="19">
        <v>99.765860000000004</v>
      </c>
      <c r="S104" s="4">
        <f t="shared" si="7"/>
        <v>99.69004000000001</v>
      </c>
      <c r="W104" s="22">
        <v>249.99997999999999</v>
      </c>
      <c r="X104">
        <v>50</v>
      </c>
      <c r="Y104" s="23">
        <v>92.500709999999998</v>
      </c>
      <c r="Z104" s="4">
        <f t="shared" si="8"/>
        <v>97.941540000000003</v>
      </c>
      <c r="AD104" s="24">
        <v>250.02268000000001</v>
      </c>
      <c r="AE104">
        <v>50</v>
      </c>
      <c r="AF104" s="25">
        <v>98.71799</v>
      </c>
      <c r="AG104" s="4">
        <f t="shared" si="9"/>
        <v>98.979479999999995</v>
      </c>
    </row>
    <row r="105" spans="2:33" x14ac:dyDescent="0.15">
      <c r="B105" s="22">
        <v>200.01059000000001</v>
      </c>
      <c r="C105">
        <v>50.5</v>
      </c>
      <c r="D105" s="23">
        <v>99.367869999999996</v>
      </c>
      <c r="E105" s="4">
        <f t="shared" si="5"/>
        <v>100.49431</v>
      </c>
      <c r="I105" s="22">
        <v>225.01194000000001</v>
      </c>
      <c r="J105">
        <v>50.5</v>
      </c>
      <c r="K105" s="23">
        <v>95.457710000000006</v>
      </c>
      <c r="L105" s="4">
        <f t="shared" si="6"/>
        <v>99.044780000000003</v>
      </c>
      <c r="P105" s="24">
        <v>225.02547999999999</v>
      </c>
      <c r="Q105">
        <v>50.5</v>
      </c>
      <c r="R105" s="25">
        <v>99.630129999999994</v>
      </c>
      <c r="S105" s="4">
        <f t="shared" si="7"/>
        <v>99.554310000000001</v>
      </c>
      <c r="W105" s="22">
        <v>250.00001</v>
      </c>
      <c r="X105">
        <v>50.5</v>
      </c>
      <c r="Y105" s="4">
        <v>92.473910000000004</v>
      </c>
      <c r="Z105" s="4">
        <f t="shared" si="8"/>
        <v>97.914740000000009</v>
      </c>
      <c r="AD105" s="24">
        <v>250.02112</v>
      </c>
      <c r="AE105">
        <v>50.5</v>
      </c>
      <c r="AF105" s="19">
        <v>98.766819999999996</v>
      </c>
      <c r="AG105" s="4">
        <f t="shared" si="9"/>
        <v>99.028309999999991</v>
      </c>
    </row>
    <row r="106" spans="2:33" x14ac:dyDescent="0.15">
      <c r="B106" s="22">
        <v>200.04139000000001</v>
      </c>
      <c r="C106">
        <v>51</v>
      </c>
      <c r="D106" s="4">
        <v>99.432689999999994</v>
      </c>
      <c r="E106" s="4">
        <f t="shared" si="5"/>
        <v>100.55913</v>
      </c>
      <c r="I106" s="22">
        <v>225.00702999999999</v>
      </c>
      <c r="J106">
        <v>51</v>
      </c>
      <c r="K106" s="4">
        <v>95.408510000000007</v>
      </c>
      <c r="L106" s="4">
        <f t="shared" si="6"/>
        <v>98.995580000000004</v>
      </c>
      <c r="P106" s="24">
        <v>225.02106000000001</v>
      </c>
      <c r="Q106">
        <v>51</v>
      </c>
      <c r="R106" s="19">
        <v>99.603560000000002</v>
      </c>
      <c r="S106" s="4">
        <f t="shared" si="7"/>
        <v>99.527740000000009</v>
      </c>
      <c r="W106" s="22">
        <v>250.00201999999999</v>
      </c>
      <c r="X106">
        <v>51</v>
      </c>
      <c r="Y106" s="23">
        <v>92.471869999999996</v>
      </c>
      <c r="Z106" s="4">
        <f t="shared" si="8"/>
        <v>97.912700000000001</v>
      </c>
      <c r="AD106" s="24">
        <v>250.01969</v>
      </c>
      <c r="AE106">
        <v>51</v>
      </c>
      <c r="AF106" s="25">
        <v>98.679540000000003</v>
      </c>
      <c r="AG106" s="4">
        <f t="shared" si="9"/>
        <v>98.941029999999998</v>
      </c>
    </row>
    <row r="107" spans="2:33" x14ac:dyDescent="0.15">
      <c r="B107" s="22">
        <v>200.06037000000001</v>
      </c>
      <c r="C107">
        <v>51.5</v>
      </c>
      <c r="D107" s="23">
        <v>99.457139999999995</v>
      </c>
      <c r="E107" s="4">
        <f t="shared" si="5"/>
        <v>100.58358</v>
      </c>
      <c r="I107" s="22">
        <v>225.00496999999999</v>
      </c>
      <c r="J107">
        <v>51.5</v>
      </c>
      <c r="K107" s="23">
        <v>95.395709999999994</v>
      </c>
      <c r="L107" s="4">
        <f t="shared" si="6"/>
        <v>98.982779999999991</v>
      </c>
      <c r="P107" s="24">
        <v>225.01586</v>
      </c>
      <c r="Q107">
        <v>51.5</v>
      </c>
      <c r="R107" s="25">
        <v>99.705330000000004</v>
      </c>
      <c r="S107" s="4">
        <f t="shared" si="7"/>
        <v>99.62951000000001</v>
      </c>
      <c r="W107" s="22">
        <v>250.00504000000001</v>
      </c>
      <c r="X107">
        <v>51.5</v>
      </c>
      <c r="Y107" s="4">
        <v>92.422190000000001</v>
      </c>
      <c r="Z107" s="4">
        <f t="shared" si="8"/>
        <v>97.863020000000006</v>
      </c>
      <c r="AD107" s="24">
        <v>250.01799</v>
      </c>
      <c r="AE107">
        <v>51.5</v>
      </c>
      <c r="AF107" s="19">
        <v>98.754009999999994</v>
      </c>
      <c r="AG107" s="4">
        <f t="shared" si="9"/>
        <v>99.015499999999989</v>
      </c>
    </row>
    <row r="108" spans="2:33" x14ac:dyDescent="0.15">
      <c r="B108" s="22">
        <v>200.06356</v>
      </c>
      <c r="C108">
        <v>52</v>
      </c>
      <c r="D108" s="4">
        <v>99.367040000000003</v>
      </c>
      <c r="E108" s="4">
        <f t="shared" si="5"/>
        <v>100.49348000000001</v>
      </c>
      <c r="I108" s="22">
        <v>225.00597999999999</v>
      </c>
      <c r="J108">
        <v>52</v>
      </c>
      <c r="K108" s="4">
        <v>95.386319999999998</v>
      </c>
      <c r="L108" s="4">
        <f t="shared" si="6"/>
        <v>98.973389999999995</v>
      </c>
      <c r="P108" s="24">
        <v>225.01497000000001</v>
      </c>
      <c r="Q108">
        <v>52</v>
      </c>
      <c r="R108" s="19">
        <v>99.628960000000006</v>
      </c>
      <c r="S108" s="4">
        <f t="shared" si="7"/>
        <v>99.553140000000013</v>
      </c>
      <c r="W108" s="22">
        <v>250.00300999999999</v>
      </c>
      <c r="X108">
        <v>52</v>
      </c>
      <c r="Y108" s="23">
        <v>92.404839999999993</v>
      </c>
      <c r="Z108" s="4">
        <f t="shared" si="8"/>
        <v>97.845669999999998</v>
      </c>
      <c r="AD108" s="24">
        <v>250.01821000000001</v>
      </c>
      <c r="AE108">
        <v>52</v>
      </c>
      <c r="AF108" s="25">
        <v>98.787289999999999</v>
      </c>
      <c r="AG108" s="4">
        <f t="shared" si="9"/>
        <v>99.048779999999994</v>
      </c>
    </row>
    <row r="109" spans="2:33" x14ac:dyDescent="0.15">
      <c r="B109" s="22">
        <v>200.04763</v>
      </c>
      <c r="C109">
        <v>52.5</v>
      </c>
      <c r="D109" s="23">
        <v>99.568740000000005</v>
      </c>
      <c r="E109" s="4">
        <f t="shared" si="5"/>
        <v>100.69518000000001</v>
      </c>
      <c r="I109" s="22">
        <v>225.00700000000001</v>
      </c>
      <c r="J109">
        <v>52.5</v>
      </c>
      <c r="K109" s="23">
        <v>95.355270000000004</v>
      </c>
      <c r="L109" s="4">
        <f t="shared" si="6"/>
        <v>98.942340000000002</v>
      </c>
      <c r="P109" s="24">
        <v>225.01588000000001</v>
      </c>
      <c r="Q109">
        <v>52.5</v>
      </c>
      <c r="R109" s="25">
        <v>99.676240000000007</v>
      </c>
      <c r="S109" s="4">
        <f t="shared" si="7"/>
        <v>99.600420000000014</v>
      </c>
      <c r="W109" s="22">
        <v>250.00306</v>
      </c>
      <c r="X109">
        <v>52.5</v>
      </c>
      <c r="Y109" s="4">
        <v>92.375969999999995</v>
      </c>
      <c r="Z109" s="4">
        <f t="shared" si="8"/>
        <v>97.816800000000001</v>
      </c>
      <c r="AD109" s="24">
        <v>250.01696999999999</v>
      </c>
      <c r="AE109">
        <v>52.5</v>
      </c>
      <c r="AF109" s="19">
        <v>98.754840000000002</v>
      </c>
      <c r="AG109" s="4">
        <f t="shared" si="9"/>
        <v>99.016329999999996</v>
      </c>
    </row>
    <row r="110" spans="2:33" x14ac:dyDescent="0.15">
      <c r="B110" s="22">
        <v>200.03021000000001</v>
      </c>
      <c r="C110">
        <v>53</v>
      </c>
      <c r="D110" s="4">
        <v>99.574960000000004</v>
      </c>
      <c r="E110" s="4">
        <f t="shared" si="5"/>
        <v>100.70140000000001</v>
      </c>
      <c r="I110" s="22">
        <v>225.00306</v>
      </c>
      <c r="J110">
        <v>53</v>
      </c>
      <c r="K110" s="4">
        <v>95.32647</v>
      </c>
      <c r="L110" s="4">
        <f t="shared" si="6"/>
        <v>98.913539999999998</v>
      </c>
      <c r="P110" s="24">
        <v>225.01468</v>
      </c>
      <c r="Q110">
        <v>53</v>
      </c>
      <c r="R110" s="19">
        <v>99.664349999999999</v>
      </c>
      <c r="S110" s="4">
        <f t="shared" si="7"/>
        <v>99.588530000000006</v>
      </c>
      <c r="W110" s="22">
        <v>250.00702999999999</v>
      </c>
      <c r="X110">
        <v>53</v>
      </c>
      <c r="Y110" s="23">
        <v>92.374319999999997</v>
      </c>
      <c r="Z110" s="4">
        <f t="shared" si="8"/>
        <v>97.815150000000003</v>
      </c>
      <c r="AD110" s="24">
        <v>250.017</v>
      </c>
      <c r="AE110">
        <v>53</v>
      </c>
      <c r="AF110" s="25">
        <v>98.645070000000004</v>
      </c>
      <c r="AG110" s="4">
        <f t="shared" si="9"/>
        <v>98.906559999999999</v>
      </c>
    </row>
    <row r="111" spans="2:33" x14ac:dyDescent="0.15">
      <c r="B111" s="22">
        <v>200.01327000000001</v>
      </c>
      <c r="C111">
        <v>53.5</v>
      </c>
      <c r="D111" s="23">
        <v>99.346810000000005</v>
      </c>
      <c r="E111" s="4">
        <f t="shared" si="5"/>
        <v>100.47325000000001</v>
      </c>
      <c r="I111" s="22">
        <v>225.00008</v>
      </c>
      <c r="J111">
        <v>53.5</v>
      </c>
      <c r="K111" s="23">
        <v>95.309299999999993</v>
      </c>
      <c r="L111" s="4">
        <f t="shared" si="6"/>
        <v>98.89636999999999</v>
      </c>
      <c r="P111" s="24">
        <v>225.01193000000001</v>
      </c>
      <c r="Q111">
        <v>53.5</v>
      </c>
      <c r="R111" s="25">
        <v>99.655600000000007</v>
      </c>
      <c r="S111" s="4">
        <f t="shared" si="7"/>
        <v>99.579780000000014</v>
      </c>
      <c r="W111" s="22">
        <v>250.00403</v>
      </c>
      <c r="X111">
        <v>53.5</v>
      </c>
      <c r="Y111" s="4">
        <v>92.318550000000002</v>
      </c>
      <c r="Z111" s="4">
        <f t="shared" si="8"/>
        <v>97.759380000000007</v>
      </c>
      <c r="AD111" s="24">
        <v>250.02033</v>
      </c>
      <c r="AE111">
        <v>53.5</v>
      </c>
      <c r="AF111" s="19">
        <v>98.669200000000004</v>
      </c>
      <c r="AG111" s="4">
        <f t="shared" si="9"/>
        <v>98.930689999999998</v>
      </c>
    </row>
    <row r="112" spans="2:33" x14ac:dyDescent="0.15">
      <c r="B112" s="22">
        <v>199.99847</v>
      </c>
      <c r="C112">
        <v>54</v>
      </c>
      <c r="D112" s="4">
        <v>99.488600000000005</v>
      </c>
      <c r="E112" s="4">
        <f t="shared" si="5"/>
        <v>100.61504000000001</v>
      </c>
      <c r="I112" s="22">
        <v>225.00604999999999</v>
      </c>
      <c r="J112">
        <v>54</v>
      </c>
      <c r="K112" s="4">
        <v>95.299170000000004</v>
      </c>
      <c r="L112" s="4">
        <f t="shared" si="6"/>
        <v>98.886240000000001</v>
      </c>
      <c r="P112" s="24">
        <v>225.01078999999999</v>
      </c>
      <c r="Q112">
        <v>54</v>
      </c>
      <c r="R112" s="19">
        <v>99.707700000000003</v>
      </c>
      <c r="S112" s="4">
        <f t="shared" si="7"/>
        <v>99.63188000000001</v>
      </c>
      <c r="W112" s="22">
        <v>249.99999</v>
      </c>
      <c r="X112">
        <v>54</v>
      </c>
      <c r="Y112" s="23">
        <v>92.291719999999998</v>
      </c>
      <c r="Z112" s="4">
        <f t="shared" si="8"/>
        <v>97.732550000000003</v>
      </c>
      <c r="AD112" s="24">
        <v>250.02181999999999</v>
      </c>
      <c r="AE112">
        <v>54</v>
      </c>
      <c r="AF112" s="25">
        <v>98.631900000000002</v>
      </c>
      <c r="AG112" s="4">
        <f t="shared" si="9"/>
        <v>98.893389999999997</v>
      </c>
    </row>
    <row r="113" spans="2:33" x14ac:dyDescent="0.15">
      <c r="B113" s="22">
        <v>200.00205</v>
      </c>
      <c r="C113">
        <v>54.5</v>
      </c>
      <c r="D113" s="23">
        <v>99.416920000000005</v>
      </c>
      <c r="E113" s="4">
        <f t="shared" si="5"/>
        <v>100.54336000000001</v>
      </c>
      <c r="I113" s="22">
        <v>225.00191000000001</v>
      </c>
      <c r="J113">
        <v>54.5</v>
      </c>
      <c r="K113" s="23">
        <v>95.271640000000005</v>
      </c>
      <c r="L113" s="4">
        <f t="shared" si="6"/>
        <v>98.858710000000002</v>
      </c>
      <c r="P113" s="24">
        <v>225.01481999999999</v>
      </c>
      <c r="Q113">
        <v>54.5</v>
      </c>
      <c r="R113" s="25">
        <v>99.602339999999998</v>
      </c>
      <c r="S113" s="4">
        <f t="shared" si="7"/>
        <v>99.526520000000005</v>
      </c>
      <c r="W113" s="22">
        <v>250.00502</v>
      </c>
      <c r="X113">
        <v>54.5</v>
      </c>
      <c r="Y113" s="4">
        <v>92.289990000000003</v>
      </c>
      <c r="Z113" s="4">
        <f t="shared" si="8"/>
        <v>97.730820000000008</v>
      </c>
      <c r="AD113" s="24">
        <v>250.02167</v>
      </c>
      <c r="AE113">
        <v>54.5</v>
      </c>
      <c r="AF113" s="19">
        <v>98.610240000000005</v>
      </c>
      <c r="AG113" s="4">
        <f t="shared" si="9"/>
        <v>98.871729999999999</v>
      </c>
    </row>
    <row r="114" spans="2:33" x14ac:dyDescent="0.15">
      <c r="B114" s="22">
        <v>200.01846</v>
      </c>
      <c r="C114">
        <v>55</v>
      </c>
      <c r="D114" s="4">
        <v>99.432929999999999</v>
      </c>
      <c r="E114" s="4">
        <f t="shared" si="5"/>
        <v>100.55937</v>
      </c>
      <c r="I114" s="22">
        <v>225.00103999999999</v>
      </c>
      <c r="J114">
        <v>55</v>
      </c>
      <c r="K114" s="4">
        <v>95.254480000000001</v>
      </c>
      <c r="L114" s="4">
        <f t="shared" si="6"/>
        <v>98.841549999999998</v>
      </c>
      <c r="P114" s="24">
        <v>225.01531</v>
      </c>
      <c r="Q114">
        <v>55</v>
      </c>
      <c r="R114" s="19">
        <v>99.733069999999998</v>
      </c>
      <c r="S114" s="4">
        <f t="shared" si="7"/>
        <v>99.657250000000005</v>
      </c>
      <c r="W114" s="22">
        <v>249.99800999999999</v>
      </c>
      <c r="X114">
        <v>55</v>
      </c>
      <c r="Y114" s="23">
        <v>92.251499999999993</v>
      </c>
      <c r="Z114" s="4">
        <f t="shared" si="8"/>
        <v>97.692329999999998</v>
      </c>
      <c r="AD114" s="24">
        <v>250.02437</v>
      </c>
      <c r="AE114">
        <v>55</v>
      </c>
      <c r="AF114" s="25">
        <v>98.626440000000002</v>
      </c>
      <c r="AG114" s="4">
        <f t="shared" si="9"/>
        <v>98.887929999999997</v>
      </c>
    </row>
    <row r="115" spans="2:33" x14ac:dyDescent="0.15">
      <c r="B115" s="22">
        <v>200.03921</v>
      </c>
      <c r="C115">
        <v>55.5</v>
      </c>
      <c r="D115" s="23">
        <v>99.412210000000002</v>
      </c>
      <c r="E115" s="4">
        <f t="shared" si="5"/>
        <v>100.53865</v>
      </c>
      <c r="I115" s="22">
        <v>225.00103999999999</v>
      </c>
      <c r="J115">
        <v>55.5</v>
      </c>
      <c r="K115" s="23">
        <v>95.207530000000006</v>
      </c>
      <c r="L115" s="4">
        <f t="shared" si="6"/>
        <v>98.794600000000003</v>
      </c>
      <c r="P115" s="24">
        <v>225.01428000000001</v>
      </c>
      <c r="Q115">
        <v>55.5</v>
      </c>
      <c r="R115" s="25">
        <v>99.664810000000003</v>
      </c>
      <c r="S115" s="4">
        <f t="shared" si="7"/>
        <v>99.58899000000001</v>
      </c>
      <c r="W115" s="22">
        <v>249.99901</v>
      </c>
      <c r="X115">
        <v>55.5</v>
      </c>
      <c r="Y115" s="4">
        <v>92.211280000000002</v>
      </c>
      <c r="Z115" s="4">
        <f t="shared" si="8"/>
        <v>97.652110000000008</v>
      </c>
      <c r="AD115" s="24">
        <v>250.02718999999999</v>
      </c>
      <c r="AE115">
        <v>55.5</v>
      </c>
      <c r="AF115" s="19">
        <v>98.630470000000003</v>
      </c>
      <c r="AG115" s="4">
        <f t="shared" si="9"/>
        <v>98.891959999999997</v>
      </c>
    </row>
    <row r="116" spans="2:33" x14ac:dyDescent="0.15">
      <c r="B116" s="22">
        <v>200.06591</v>
      </c>
      <c r="C116">
        <v>56</v>
      </c>
      <c r="D116" s="4">
        <v>99.421040000000005</v>
      </c>
      <c r="E116" s="4">
        <f t="shared" si="5"/>
        <v>100.54748000000001</v>
      </c>
      <c r="I116" s="22">
        <v>225.00897000000001</v>
      </c>
      <c r="J116">
        <v>56</v>
      </c>
      <c r="K116" s="4">
        <v>95.224029999999999</v>
      </c>
      <c r="L116" s="4">
        <f t="shared" si="6"/>
        <v>98.811099999999996</v>
      </c>
      <c r="P116" s="24">
        <v>225.01338999999999</v>
      </c>
      <c r="Q116">
        <v>56</v>
      </c>
      <c r="R116" s="19">
        <v>99.625659999999996</v>
      </c>
      <c r="S116" s="4">
        <f t="shared" si="7"/>
        <v>99.549840000000003</v>
      </c>
      <c r="W116" s="22">
        <v>249.99996999999999</v>
      </c>
      <c r="X116">
        <v>56</v>
      </c>
      <c r="Y116" s="23">
        <v>92.195890000000006</v>
      </c>
      <c r="Z116" s="4">
        <f t="shared" si="8"/>
        <v>97.636720000000011</v>
      </c>
      <c r="AD116" s="24">
        <v>250.02698000000001</v>
      </c>
      <c r="AE116">
        <v>56</v>
      </c>
      <c r="AF116" s="25">
        <v>98.484669999999994</v>
      </c>
      <c r="AG116" s="4">
        <f t="shared" si="9"/>
        <v>98.746159999999989</v>
      </c>
    </row>
    <row r="117" spans="2:33" x14ac:dyDescent="0.15">
      <c r="B117" s="22">
        <v>200.08393000000001</v>
      </c>
      <c r="C117">
        <v>56.5</v>
      </c>
      <c r="D117" s="23">
        <v>99.471010000000007</v>
      </c>
      <c r="E117" s="4">
        <f t="shared" si="5"/>
        <v>100.59745000000001</v>
      </c>
      <c r="I117" s="22">
        <v>225.00599</v>
      </c>
      <c r="J117">
        <v>56.5</v>
      </c>
      <c r="K117" s="23">
        <v>95.188699999999997</v>
      </c>
      <c r="L117" s="4">
        <f t="shared" si="6"/>
        <v>98.775769999999994</v>
      </c>
      <c r="P117" s="24">
        <v>225.01279</v>
      </c>
      <c r="Q117">
        <v>56.5</v>
      </c>
      <c r="R117" s="25">
        <v>99.484949999999998</v>
      </c>
      <c r="S117" s="4">
        <f t="shared" si="7"/>
        <v>99.409130000000005</v>
      </c>
      <c r="W117" s="22">
        <v>249.99895000000001</v>
      </c>
      <c r="X117">
        <v>56.5</v>
      </c>
      <c r="Y117" s="4">
        <v>92.144000000000005</v>
      </c>
      <c r="Z117" s="4">
        <f t="shared" si="8"/>
        <v>97.584830000000011</v>
      </c>
      <c r="AD117" s="24">
        <v>250.02726999999999</v>
      </c>
      <c r="AE117">
        <v>56.5</v>
      </c>
      <c r="AF117" s="19">
        <v>98.575159999999997</v>
      </c>
      <c r="AG117" s="4">
        <f t="shared" si="9"/>
        <v>98.836649999999992</v>
      </c>
    </row>
    <row r="118" spans="2:33" x14ac:dyDescent="0.15">
      <c r="B118" s="22">
        <v>200.08772999999999</v>
      </c>
      <c r="C118">
        <v>57</v>
      </c>
      <c r="D118" s="4">
        <v>99.452860000000001</v>
      </c>
      <c r="E118" s="4">
        <f t="shared" si="5"/>
        <v>100.5793</v>
      </c>
      <c r="I118" s="22">
        <v>225.00989000000001</v>
      </c>
      <c r="J118">
        <v>57</v>
      </c>
      <c r="K118" s="4">
        <v>95.192949999999996</v>
      </c>
      <c r="L118" s="4">
        <f t="shared" si="6"/>
        <v>98.780019999999993</v>
      </c>
      <c r="P118" s="24">
        <v>225.01034000000001</v>
      </c>
      <c r="Q118">
        <v>57</v>
      </c>
      <c r="R118" s="19">
        <v>99.651669999999996</v>
      </c>
      <c r="S118" s="4">
        <f t="shared" si="7"/>
        <v>99.575850000000003</v>
      </c>
      <c r="W118" s="22">
        <v>250.00101000000001</v>
      </c>
      <c r="X118">
        <v>57</v>
      </c>
      <c r="Y118" s="23">
        <v>92.121039999999994</v>
      </c>
      <c r="Z118" s="4">
        <f t="shared" si="8"/>
        <v>97.561869999999999</v>
      </c>
      <c r="AD118" s="24">
        <v>250.02867000000001</v>
      </c>
      <c r="AE118">
        <v>57</v>
      </c>
      <c r="AF118" s="25">
        <v>98.522009999999995</v>
      </c>
      <c r="AG118" s="4">
        <f t="shared" si="9"/>
        <v>98.783499999999989</v>
      </c>
    </row>
    <row r="119" spans="2:33" x14ac:dyDescent="0.15">
      <c r="B119" s="22">
        <v>200.07603</v>
      </c>
      <c r="C119">
        <v>57.5</v>
      </c>
      <c r="D119" s="23">
        <v>99.598100000000002</v>
      </c>
      <c r="E119" s="4">
        <f t="shared" si="5"/>
        <v>100.72454</v>
      </c>
      <c r="I119" s="22">
        <v>225.00395</v>
      </c>
      <c r="J119">
        <v>57.5</v>
      </c>
      <c r="K119" s="23">
        <v>95.152990000000003</v>
      </c>
      <c r="L119" s="4">
        <f t="shared" si="6"/>
        <v>98.74006</v>
      </c>
      <c r="P119" s="24">
        <v>225.00906000000001</v>
      </c>
      <c r="Q119">
        <v>57.5</v>
      </c>
      <c r="R119" s="25">
        <v>99.762540000000001</v>
      </c>
      <c r="S119" s="4">
        <f t="shared" si="7"/>
        <v>99.686720000000008</v>
      </c>
      <c r="W119" s="22">
        <v>250.00101000000001</v>
      </c>
      <c r="X119">
        <v>57.5</v>
      </c>
      <c r="Y119" s="4">
        <v>92.092380000000006</v>
      </c>
      <c r="Z119" s="4">
        <f t="shared" si="8"/>
        <v>97.533210000000011</v>
      </c>
      <c r="AD119" s="24">
        <v>250.02501000000001</v>
      </c>
      <c r="AE119">
        <v>57.5</v>
      </c>
      <c r="AF119" s="19">
        <v>98.496880000000004</v>
      </c>
      <c r="AG119" s="4">
        <f t="shared" si="9"/>
        <v>98.758369999999999</v>
      </c>
    </row>
    <row r="120" spans="2:33" x14ac:dyDescent="0.15">
      <c r="B120" s="22">
        <v>200.05831000000001</v>
      </c>
      <c r="C120">
        <v>58</v>
      </c>
      <c r="D120" s="4">
        <v>99.405060000000006</v>
      </c>
      <c r="E120" s="4">
        <f t="shared" si="5"/>
        <v>100.53150000000001</v>
      </c>
      <c r="I120" s="22">
        <v>225.00814</v>
      </c>
      <c r="J120">
        <v>58</v>
      </c>
      <c r="K120" s="4">
        <v>95.125540000000001</v>
      </c>
      <c r="L120" s="4">
        <f t="shared" si="6"/>
        <v>98.712609999999998</v>
      </c>
      <c r="P120" s="24">
        <v>225.00844000000001</v>
      </c>
      <c r="Q120">
        <v>58</v>
      </c>
      <c r="R120" s="19">
        <v>99.634219999999999</v>
      </c>
      <c r="S120" s="4">
        <f t="shared" si="7"/>
        <v>99.558400000000006</v>
      </c>
      <c r="W120" s="22">
        <v>249.999</v>
      </c>
      <c r="X120">
        <v>58</v>
      </c>
      <c r="Y120" s="23">
        <v>92.06362</v>
      </c>
      <c r="Z120" s="4">
        <f t="shared" si="8"/>
        <v>97.504450000000006</v>
      </c>
      <c r="AD120" s="24">
        <v>250.02322000000001</v>
      </c>
      <c r="AE120">
        <v>58</v>
      </c>
      <c r="AF120" s="25">
        <v>98.480189999999993</v>
      </c>
      <c r="AG120" s="4">
        <f t="shared" si="9"/>
        <v>98.741679999999988</v>
      </c>
    </row>
    <row r="121" spans="2:33" x14ac:dyDescent="0.15">
      <c r="B121" s="22">
        <v>200.03953000000001</v>
      </c>
      <c r="C121">
        <v>58.5</v>
      </c>
      <c r="D121" s="23">
        <v>99.538139999999999</v>
      </c>
      <c r="E121" s="4">
        <f t="shared" si="5"/>
        <v>100.66458</v>
      </c>
      <c r="I121" s="22">
        <v>225.00497999999999</v>
      </c>
      <c r="J121">
        <v>58.5</v>
      </c>
      <c r="K121" s="23">
        <v>95.090180000000004</v>
      </c>
      <c r="L121" s="4">
        <f t="shared" si="6"/>
        <v>98.677250000000001</v>
      </c>
      <c r="P121" s="24">
        <v>225.00845000000001</v>
      </c>
      <c r="Q121">
        <v>58.5</v>
      </c>
      <c r="R121" s="25">
        <v>99.571849999999998</v>
      </c>
      <c r="S121" s="4">
        <f t="shared" si="7"/>
        <v>99.496030000000005</v>
      </c>
      <c r="W121" s="22">
        <v>249.99798000000001</v>
      </c>
      <c r="X121">
        <v>58.5</v>
      </c>
      <c r="Y121" s="4">
        <v>92.031149999999997</v>
      </c>
      <c r="Z121" s="4">
        <f t="shared" si="8"/>
        <v>97.471980000000002</v>
      </c>
      <c r="AD121" s="24">
        <v>250.01736</v>
      </c>
      <c r="AE121">
        <v>58.5</v>
      </c>
      <c r="AF121" s="19">
        <v>98.497020000000006</v>
      </c>
      <c r="AG121" s="4">
        <f t="shared" si="9"/>
        <v>98.758510000000001</v>
      </c>
    </row>
    <row r="122" spans="2:33" x14ac:dyDescent="0.15">
      <c r="B122" s="22">
        <v>200.02089000000001</v>
      </c>
      <c r="C122">
        <v>59</v>
      </c>
      <c r="D122" s="4">
        <v>99.44932</v>
      </c>
      <c r="E122" s="4">
        <f t="shared" si="5"/>
        <v>100.57576</v>
      </c>
      <c r="I122" s="22">
        <v>225.00403</v>
      </c>
      <c r="J122">
        <v>59</v>
      </c>
      <c r="K122" s="4">
        <v>95.079909999999998</v>
      </c>
      <c r="L122" s="4">
        <f t="shared" si="6"/>
        <v>98.666979999999995</v>
      </c>
      <c r="P122" s="24">
        <v>225.00897000000001</v>
      </c>
      <c r="Q122">
        <v>59</v>
      </c>
      <c r="R122" s="19">
        <v>99.615579999999994</v>
      </c>
      <c r="S122" s="4">
        <f t="shared" si="7"/>
        <v>99.539760000000001</v>
      </c>
      <c r="W122" s="22">
        <v>250.00498999999999</v>
      </c>
      <c r="X122">
        <v>59</v>
      </c>
      <c r="Y122" s="23">
        <v>92.007829999999998</v>
      </c>
      <c r="Z122" s="4">
        <f t="shared" si="8"/>
        <v>97.448660000000004</v>
      </c>
      <c r="AD122" s="24">
        <v>250.01335</v>
      </c>
      <c r="AE122">
        <v>59</v>
      </c>
      <c r="AF122" s="25">
        <v>98.551509999999993</v>
      </c>
      <c r="AG122" s="4">
        <f t="shared" si="9"/>
        <v>98.812999999999988</v>
      </c>
    </row>
    <row r="123" spans="2:33" x14ac:dyDescent="0.15">
      <c r="B123" s="22">
        <v>200.01052999999999</v>
      </c>
      <c r="C123">
        <v>59.5</v>
      </c>
      <c r="D123" s="23">
        <v>99.435130000000001</v>
      </c>
      <c r="E123" s="4">
        <f t="shared" si="5"/>
        <v>100.56157</v>
      </c>
      <c r="I123" s="22">
        <v>225.00711999999999</v>
      </c>
      <c r="J123">
        <v>59.5</v>
      </c>
      <c r="K123" s="23">
        <v>95.067149999999998</v>
      </c>
      <c r="L123" s="4">
        <f t="shared" si="6"/>
        <v>98.654219999999995</v>
      </c>
      <c r="P123" s="24">
        <v>225.00913</v>
      </c>
      <c r="Q123">
        <v>59.5</v>
      </c>
      <c r="R123" s="25">
        <v>99.516080000000002</v>
      </c>
      <c r="S123" s="4">
        <f t="shared" si="7"/>
        <v>99.440260000000009</v>
      </c>
      <c r="W123" s="22">
        <v>250.00200000000001</v>
      </c>
      <c r="X123">
        <v>59.5</v>
      </c>
      <c r="Y123" s="4">
        <v>91.986750000000001</v>
      </c>
      <c r="Z123" s="4">
        <f t="shared" si="8"/>
        <v>97.427580000000006</v>
      </c>
      <c r="AD123" s="24">
        <v>250.01414</v>
      </c>
      <c r="AE123">
        <v>59.5</v>
      </c>
      <c r="AF123" s="19">
        <v>98.436940000000007</v>
      </c>
      <c r="AG123" s="4">
        <f t="shared" si="9"/>
        <v>98.698430000000002</v>
      </c>
    </row>
    <row r="124" spans="2:33" x14ac:dyDescent="0.15">
      <c r="B124" s="22">
        <v>199.99806000000001</v>
      </c>
      <c r="C124">
        <v>60</v>
      </c>
      <c r="D124" s="4">
        <v>99.371200000000002</v>
      </c>
      <c r="E124" s="4">
        <f t="shared" si="5"/>
        <v>100.49764</v>
      </c>
      <c r="I124" s="22">
        <v>225.00792999999999</v>
      </c>
      <c r="J124">
        <v>60</v>
      </c>
      <c r="K124" s="4">
        <v>95.047219999999996</v>
      </c>
      <c r="L124" s="4">
        <f t="shared" si="6"/>
        <v>98.634289999999993</v>
      </c>
      <c r="P124" s="24">
        <v>225.0086</v>
      </c>
      <c r="Q124">
        <v>60</v>
      </c>
      <c r="R124" s="19">
        <v>99.658529999999999</v>
      </c>
      <c r="S124" s="4">
        <f t="shared" si="7"/>
        <v>99.582710000000006</v>
      </c>
      <c r="W124" s="22">
        <v>250.00402</v>
      </c>
      <c r="X124">
        <v>60</v>
      </c>
      <c r="Y124" s="23">
        <v>91.935069999999996</v>
      </c>
      <c r="Z124" s="4">
        <f t="shared" si="8"/>
        <v>97.375900000000001</v>
      </c>
      <c r="AD124" s="24">
        <v>250.01582999999999</v>
      </c>
      <c r="AE124">
        <v>60</v>
      </c>
      <c r="AF124" s="25">
        <v>98.532430000000005</v>
      </c>
      <c r="AG124" s="4">
        <f t="shared" si="9"/>
        <v>98.79392</v>
      </c>
    </row>
    <row r="125" spans="2:33" x14ac:dyDescent="0.15">
      <c r="B125" s="22">
        <v>199.98267000000001</v>
      </c>
      <c r="C125">
        <v>60.5</v>
      </c>
      <c r="D125" s="23">
        <v>99.440899999999999</v>
      </c>
      <c r="E125" s="4">
        <f t="shared" si="5"/>
        <v>100.56734</v>
      </c>
      <c r="I125" s="22">
        <v>225.01075</v>
      </c>
      <c r="J125">
        <v>60.5</v>
      </c>
      <c r="K125" s="23">
        <v>95.039259999999999</v>
      </c>
      <c r="L125" s="4">
        <f t="shared" si="6"/>
        <v>98.626329999999996</v>
      </c>
      <c r="P125" s="24">
        <v>225.01283000000001</v>
      </c>
      <c r="Q125">
        <v>60.5</v>
      </c>
      <c r="R125" s="25">
        <v>99.597909999999999</v>
      </c>
      <c r="S125" s="4">
        <f t="shared" si="7"/>
        <v>99.522090000000006</v>
      </c>
      <c r="W125" s="22">
        <v>250.00001</v>
      </c>
      <c r="X125">
        <v>60.5</v>
      </c>
      <c r="Y125" s="4">
        <v>91.925529999999995</v>
      </c>
      <c r="Z125" s="4">
        <f t="shared" si="8"/>
        <v>97.36636</v>
      </c>
      <c r="AD125" s="24">
        <v>250.01558</v>
      </c>
      <c r="AE125">
        <v>60.5</v>
      </c>
      <c r="AF125" s="19">
        <v>98.530900000000003</v>
      </c>
      <c r="AG125" s="4">
        <f t="shared" si="9"/>
        <v>98.792389999999997</v>
      </c>
    </row>
    <row r="126" spans="2:33" x14ac:dyDescent="0.15">
      <c r="B126" s="22">
        <v>199.96880999999999</v>
      </c>
      <c r="C126">
        <v>61</v>
      </c>
      <c r="D126" s="4">
        <v>99.499219999999994</v>
      </c>
      <c r="E126" s="4">
        <f t="shared" si="5"/>
        <v>100.62566</v>
      </c>
      <c r="I126" s="22">
        <v>225.00692000000001</v>
      </c>
      <c r="J126">
        <v>61</v>
      </c>
      <c r="K126" s="4">
        <v>94.990189999999998</v>
      </c>
      <c r="L126" s="4">
        <f t="shared" si="6"/>
        <v>98.577259999999995</v>
      </c>
      <c r="P126" s="24">
        <v>225.01454000000001</v>
      </c>
      <c r="Q126">
        <v>61</v>
      </c>
      <c r="R126" s="19">
        <v>99.587350000000001</v>
      </c>
      <c r="S126" s="4">
        <f t="shared" si="7"/>
        <v>99.511530000000008</v>
      </c>
      <c r="W126" s="22">
        <v>250.00502</v>
      </c>
      <c r="X126">
        <v>61</v>
      </c>
      <c r="Y126" s="23">
        <v>91.902479999999997</v>
      </c>
      <c r="Z126" s="4">
        <f t="shared" si="8"/>
        <v>97.343310000000002</v>
      </c>
      <c r="AD126" s="24">
        <v>250.01374000000001</v>
      </c>
      <c r="AE126">
        <v>61</v>
      </c>
      <c r="AF126" s="25">
        <v>98.350239999999999</v>
      </c>
      <c r="AG126" s="4">
        <f t="shared" si="9"/>
        <v>98.611729999999994</v>
      </c>
    </row>
    <row r="127" spans="2:33" x14ac:dyDescent="0.15">
      <c r="B127" s="22">
        <v>199.95649</v>
      </c>
      <c r="C127">
        <v>61.5</v>
      </c>
      <c r="D127" s="23">
        <v>99.443349999999995</v>
      </c>
      <c r="E127" s="4">
        <f t="shared" si="5"/>
        <v>100.56979</v>
      </c>
      <c r="I127" s="22">
        <v>225.00482</v>
      </c>
      <c r="J127">
        <v>61.5</v>
      </c>
      <c r="K127" s="23">
        <v>94.973609999999994</v>
      </c>
      <c r="L127" s="4">
        <f t="shared" si="6"/>
        <v>98.560679999999991</v>
      </c>
      <c r="P127" s="24">
        <v>225.01410999999999</v>
      </c>
      <c r="Q127">
        <v>61.5</v>
      </c>
      <c r="R127" s="25">
        <v>99.558090000000007</v>
      </c>
      <c r="S127" s="4">
        <f t="shared" si="7"/>
        <v>99.482270000000014</v>
      </c>
      <c r="W127" s="22">
        <v>250.00297</v>
      </c>
      <c r="X127">
        <v>61.5</v>
      </c>
      <c r="Y127" s="4">
        <v>91.883279999999999</v>
      </c>
      <c r="Z127" s="4">
        <f t="shared" si="8"/>
        <v>97.324110000000005</v>
      </c>
      <c r="AD127" s="24">
        <v>250.01308</v>
      </c>
      <c r="AE127">
        <v>61.5</v>
      </c>
      <c r="AF127" s="19">
        <v>98.396720000000002</v>
      </c>
      <c r="AG127" s="4">
        <f t="shared" si="9"/>
        <v>98.658209999999997</v>
      </c>
    </row>
    <row r="128" spans="2:33" x14ac:dyDescent="0.15">
      <c r="B128" s="22">
        <v>199.95067</v>
      </c>
      <c r="C128">
        <v>62</v>
      </c>
      <c r="D128" s="4">
        <v>99.501919999999998</v>
      </c>
      <c r="E128" s="4">
        <f t="shared" si="5"/>
        <v>100.62836</v>
      </c>
      <c r="I128" s="22">
        <v>225.00907000000001</v>
      </c>
      <c r="J128">
        <v>62</v>
      </c>
      <c r="K128" s="4">
        <v>94.968050000000005</v>
      </c>
      <c r="L128" s="4">
        <f t="shared" si="6"/>
        <v>98.555120000000002</v>
      </c>
      <c r="P128" s="24">
        <v>225.01736</v>
      </c>
      <c r="Q128">
        <v>62</v>
      </c>
      <c r="R128" s="19">
        <v>99.526539999999997</v>
      </c>
      <c r="S128" s="4">
        <f t="shared" si="7"/>
        <v>99.450720000000004</v>
      </c>
      <c r="W128" s="22">
        <v>250.00597999999999</v>
      </c>
      <c r="X128">
        <v>62</v>
      </c>
      <c r="Y128" s="23">
        <v>91.854609999999994</v>
      </c>
      <c r="Z128" s="4">
        <f t="shared" si="8"/>
        <v>97.295439999999999</v>
      </c>
      <c r="AD128" s="24">
        <v>250.01642000000001</v>
      </c>
      <c r="AE128">
        <v>62</v>
      </c>
      <c r="AF128" s="25">
        <v>98.413409999999999</v>
      </c>
      <c r="AG128" s="4">
        <f t="shared" si="9"/>
        <v>98.674899999999994</v>
      </c>
    </row>
    <row r="129" spans="2:33" x14ac:dyDescent="0.15">
      <c r="B129" s="22">
        <v>199.95032</v>
      </c>
      <c r="C129">
        <v>62.5</v>
      </c>
      <c r="D129" s="23">
        <v>99.316000000000003</v>
      </c>
      <c r="E129" s="4">
        <f t="shared" si="5"/>
        <v>100.44244</v>
      </c>
      <c r="I129" s="22">
        <v>225.00398000000001</v>
      </c>
      <c r="J129">
        <v>62.5</v>
      </c>
      <c r="K129" s="23">
        <v>94.936660000000003</v>
      </c>
      <c r="L129" s="4">
        <f t="shared" si="6"/>
        <v>98.52373</v>
      </c>
      <c r="P129" s="24">
        <v>225.01804999999999</v>
      </c>
      <c r="Q129">
        <v>62.5</v>
      </c>
      <c r="R129" s="25">
        <v>99.617130000000003</v>
      </c>
      <c r="S129" s="4">
        <f t="shared" si="7"/>
        <v>99.54131000000001</v>
      </c>
      <c r="W129" s="22">
        <v>250.00799000000001</v>
      </c>
      <c r="X129">
        <v>62.5</v>
      </c>
      <c r="Y129" s="4">
        <v>91.831460000000007</v>
      </c>
      <c r="Z129" s="4">
        <f t="shared" si="8"/>
        <v>97.272290000000012</v>
      </c>
      <c r="AD129" s="24">
        <v>250.0172</v>
      </c>
      <c r="AE129">
        <v>62.5</v>
      </c>
      <c r="AF129" s="19">
        <v>98.328729999999993</v>
      </c>
      <c r="AG129" s="4">
        <f t="shared" si="9"/>
        <v>98.590219999999988</v>
      </c>
    </row>
    <row r="130" spans="2:33" x14ac:dyDescent="0.15">
      <c r="B130" s="22">
        <v>199.95867999999999</v>
      </c>
      <c r="C130">
        <v>63</v>
      </c>
      <c r="D130" s="4">
        <v>99.456469999999996</v>
      </c>
      <c r="E130" s="4">
        <f t="shared" si="5"/>
        <v>100.58291</v>
      </c>
      <c r="I130" s="22">
        <v>225.00004999999999</v>
      </c>
      <c r="J130">
        <v>63</v>
      </c>
      <c r="K130" s="4">
        <v>94.902550000000005</v>
      </c>
      <c r="L130" s="4">
        <f t="shared" si="6"/>
        <v>98.489620000000002</v>
      </c>
      <c r="P130" s="24">
        <v>225.01587000000001</v>
      </c>
      <c r="Q130">
        <v>63</v>
      </c>
      <c r="R130" s="19">
        <v>99.375169999999997</v>
      </c>
      <c r="S130" s="4">
        <f t="shared" si="7"/>
        <v>99.299350000000004</v>
      </c>
      <c r="W130" s="22">
        <v>250.00998999999999</v>
      </c>
      <c r="X130">
        <v>63</v>
      </c>
      <c r="Y130" s="23">
        <v>91.818129999999996</v>
      </c>
      <c r="Z130" s="4">
        <f t="shared" si="8"/>
        <v>97.258960000000002</v>
      </c>
      <c r="AD130" s="24">
        <v>250.01814999999999</v>
      </c>
      <c r="AE130">
        <v>63</v>
      </c>
      <c r="AF130" s="25">
        <v>98.367429999999999</v>
      </c>
      <c r="AG130" s="4">
        <f t="shared" si="9"/>
        <v>98.628919999999994</v>
      </c>
    </row>
    <row r="131" spans="2:33" x14ac:dyDescent="0.15">
      <c r="B131" s="22">
        <v>199.96795</v>
      </c>
      <c r="C131">
        <v>63.5</v>
      </c>
      <c r="D131" s="23">
        <v>99.415949999999995</v>
      </c>
      <c r="E131" s="4">
        <f t="shared" si="5"/>
        <v>100.54239</v>
      </c>
      <c r="I131" s="22">
        <v>225.005</v>
      </c>
      <c r="J131">
        <v>63.5</v>
      </c>
      <c r="K131" s="23">
        <v>94.875929999999997</v>
      </c>
      <c r="L131" s="4">
        <f t="shared" si="6"/>
        <v>98.462999999999994</v>
      </c>
      <c r="P131" s="24">
        <v>225.01343</v>
      </c>
      <c r="Q131">
        <v>63.5</v>
      </c>
      <c r="R131" s="25">
        <v>99.544349999999994</v>
      </c>
      <c r="S131" s="4">
        <f t="shared" si="7"/>
        <v>99.468530000000001</v>
      </c>
      <c r="W131" s="22">
        <v>250.00307000000001</v>
      </c>
      <c r="X131">
        <v>63.5</v>
      </c>
      <c r="Y131" s="4">
        <v>91.783699999999996</v>
      </c>
      <c r="Z131" s="4">
        <f t="shared" si="8"/>
        <v>97.224530000000001</v>
      </c>
      <c r="AD131" s="24">
        <v>250.02089000000001</v>
      </c>
      <c r="AE131">
        <v>63.5</v>
      </c>
      <c r="AF131" s="19">
        <v>98.377099999999999</v>
      </c>
      <c r="AG131" s="4">
        <f t="shared" si="9"/>
        <v>98.638589999999994</v>
      </c>
    </row>
    <row r="132" spans="2:33" x14ac:dyDescent="0.15">
      <c r="B132" s="22">
        <v>199.98096000000001</v>
      </c>
      <c r="C132">
        <v>64</v>
      </c>
      <c r="D132" s="4">
        <v>99.441720000000004</v>
      </c>
      <c r="E132" s="4">
        <f t="shared" si="5"/>
        <v>100.56816000000001</v>
      </c>
      <c r="I132" s="22">
        <v>225.01093</v>
      </c>
      <c r="J132">
        <v>64</v>
      </c>
      <c r="K132" s="4">
        <v>94.886179999999996</v>
      </c>
      <c r="L132" s="4">
        <f t="shared" si="6"/>
        <v>98.473249999999993</v>
      </c>
      <c r="P132" s="24">
        <v>225.01187999999999</v>
      </c>
      <c r="Q132">
        <v>64</v>
      </c>
      <c r="R132" s="19">
        <v>99.630939999999995</v>
      </c>
      <c r="S132" s="4">
        <f t="shared" si="7"/>
        <v>99.555120000000002</v>
      </c>
      <c r="W132" s="22">
        <v>250.01000999999999</v>
      </c>
      <c r="X132">
        <v>64</v>
      </c>
      <c r="Y132" s="23">
        <v>91.758709999999994</v>
      </c>
      <c r="Z132" s="4">
        <f t="shared" si="8"/>
        <v>97.199539999999999</v>
      </c>
      <c r="AD132" s="24">
        <v>250.02104</v>
      </c>
      <c r="AE132">
        <v>64</v>
      </c>
      <c r="AF132" s="25">
        <v>98.39913</v>
      </c>
      <c r="AG132" s="4">
        <f t="shared" si="9"/>
        <v>98.660619999999994</v>
      </c>
    </row>
    <row r="133" spans="2:33" x14ac:dyDescent="0.15">
      <c r="B133" s="22">
        <v>199.99565999999999</v>
      </c>
      <c r="C133">
        <v>64.5</v>
      </c>
      <c r="D133" s="23">
        <v>99.362979999999993</v>
      </c>
      <c r="E133" s="4">
        <f t="shared" ref="E133:E196" si="10">100-($D$4-D133)</f>
        <v>100.48942</v>
      </c>
      <c r="I133" s="22">
        <v>225.00798</v>
      </c>
      <c r="J133">
        <v>64.5</v>
      </c>
      <c r="K133" s="23">
        <v>94.840400000000002</v>
      </c>
      <c r="L133" s="4">
        <f t="shared" ref="L133:L196" si="11">100-($K$4-K133)</f>
        <v>98.42747</v>
      </c>
      <c r="P133" s="24">
        <v>225.00841</v>
      </c>
      <c r="Q133">
        <v>64.5</v>
      </c>
      <c r="R133" s="25">
        <v>99.572289999999995</v>
      </c>
      <c r="S133" s="4">
        <f t="shared" ref="S133:S196" si="12">100-($R$4-R133)</f>
        <v>99.496470000000002</v>
      </c>
      <c r="W133" s="22">
        <v>250.00703999999999</v>
      </c>
      <c r="X133">
        <v>64.5</v>
      </c>
      <c r="Y133" s="4">
        <v>91.743409999999997</v>
      </c>
      <c r="Z133" s="4">
        <f t="shared" ref="Z133:Z196" si="13">100-($Y$4-Y133)</f>
        <v>97.184240000000003</v>
      </c>
      <c r="AD133" s="24">
        <v>250.01917</v>
      </c>
      <c r="AE133">
        <v>64.5</v>
      </c>
      <c r="AF133" s="19">
        <v>98.332620000000006</v>
      </c>
      <c r="AG133" s="4">
        <f t="shared" ref="AG133:AG196" si="14">100-($AF$4-AF133)</f>
        <v>98.594110000000001</v>
      </c>
    </row>
    <row r="134" spans="2:33" x14ac:dyDescent="0.15">
      <c r="B134" s="22">
        <v>200.00665000000001</v>
      </c>
      <c r="C134">
        <v>65</v>
      </c>
      <c r="D134" s="4">
        <v>99.327359999999999</v>
      </c>
      <c r="E134" s="4">
        <f t="shared" si="10"/>
        <v>100.4538</v>
      </c>
      <c r="I134" s="22">
        <v>225.00805</v>
      </c>
      <c r="J134">
        <v>65</v>
      </c>
      <c r="K134" s="4">
        <v>94.829459999999997</v>
      </c>
      <c r="L134" s="4">
        <f t="shared" si="11"/>
        <v>98.416529999999995</v>
      </c>
      <c r="P134" s="24">
        <v>225.00775999999999</v>
      </c>
      <c r="Q134">
        <v>65</v>
      </c>
      <c r="R134" s="19">
        <v>99.623900000000006</v>
      </c>
      <c r="S134" s="4">
        <f t="shared" si="12"/>
        <v>99.548080000000013</v>
      </c>
      <c r="W134" s="22">
        <v>250.00497999999999</v>
      </c>
      <c r="X134">
        <v>65</v>
      </c>
      <c r="Y134" s="23">
        <v>91.700980000000001</v>
      </c>
      <c r="Z134" s="4">
        <f t="shared" si="13"/>
        <v>97.141810000000007</v>
      </c>
      <c r="AD134" s="24">
        <v>250.01523</v>
      </c>
      <c r="AE134">
        <v>65</v>
      </c>
      <c r="AF134" s="25">
        <v>98.322869999999995</v>
      </c>
      <c r="AG134" s="4">
        <f t="shared" si="14"/>
        <v>98.58435999999999</v>
      </c>
    </row>
    <row r="135" spans="2:33" x14ac:dyDescent="0.15">
      <c r="B135" s="22">
        <v>200.01414</v>
      </c>
      <c r="C135">
        <v>65.5</v>
      </c>
      <c r="D135" s="23">
        <v>99.5334</v>
      </c>
      <c r="E135" s="4">
        <f t="shared" si="10"/>
        <v>100.65984</v>
      </c>
      <c r="I135" s="22">
        <v>225.005</v>
      </c>
      <c r="J135">
        <v>65.5</v>
      </c>
      <c r="K135" s="23">
        <v>94.820300000000003</v>
      </c>
      <c r="L135" s="4">
        <f t="shared" si="11"/>
        <v>98.40737</v>
      </c>
      <c r="P135" s="24">
        <v>225.01059000000001</v>
      </c>
      <c r="Q135">
        <v>65.5</v>
      </c>
      <c r="R135" s="25">
        <v>99.562709999999996</v>
      </c>
      <c r="S135" s="4">
        <f t="shared" si="12"/>
        <v>99.486890000000002</v>
      </c>
      <c r="W135" s="22">
        <v>250.00698</v>
      </c>
      <c r="X135">
        <v>65.5</v>
      </c>
      <c r="Y135" s="4">
        <v>91.697289999999995</v>
      </c>
      <c r="Z135" s="4">
        <f t="shared" si="13"/>
        <v>97.138120000000001</v>
      </c>
      <c r="AD135" s="24">
        <v>250.01490999999999</v>
      </c>
      <c r="AE135">
        <v>65.5</v>
      </c>
      <c r="AF135" s="19">
        <v>98.27176</v>
      </c>
      <c r="AG135" s="4">
        <f t="shared" si="14"/>
        <v>98.533249999999995</v>
      </c>
    </row>
    <row r="136" spans="2:33" x14ac:dyDescent="0.15">
      <c r="B136" s="22">
        <v>200.02218999999999</v>
      </c>
      <c r="C136">
        <v>66</v>
      </c>
      <c r="D136" s="4">
        <v>99.508780000000002</v>
      </c>
      <c r="E136" s="4">
        <f t="shared" si="10"/>
        <v>100.63522</v>
      </c>
      <c r="I136" s="22">
        <v>225.00502</v>
      </c>
      <c r="J136">
        <v>66</v>
      </c>
      <c r="K136" s="4">
        <v>94.802260000000004</v>
      </c>
      <c r="L136" s="4">
        <f t="shared" si="11"/>
        <v>98.389330000000001</v>
      </c>
      <c r="P136" s="24">
        <v>225.01248000000001</v>
      </c>
      <c r="Q136">
        <v>66</v>
      </c>
      <c r="R136" s="19">
        <v>99.615719999999996</v>
      </c>
      <c r="S136" s="4">
        <f t="shared" si="12"/>
        <v>99.539900000000003</v>
      </c>
      <c r="W136" s="22">
        <v>250.00503</v>
      </c>
      <c r="X136">
        <v>66</v>
      </c>
      <c r="Y136" s="23">
        <v>91.653289999999998</v>
      </c>
      <c r="Z136" s="4">
        <f t="shared" si="13"/>
        <v>97.094120000000004</v>
      </c>
      <c r="AD136" s="24">
        <v>250.01867999999999</v>
      </c>
      <c r="AE136">
        <v>66</v>
      </c>
      <c r="AF136" s="25">
        <v>98.302369999999996</v>
      </c>
      <c r="AG136" s="4">
        <f t="shared" si="14"/>
        <v>98.563859999999991</v>
      </c>
    </row>
    <row r="137" spans="2:33" x14ac:dyDescent="0.15">
      <c r="B137" s="22">
        <v>200.03205</v>
      </c>
      <c r="C137">
        <v>66.5</v>
      </c>
      <c r="D137" s="23">
        <v>99.240719999999996</v>
      </c>
      <c r="E137" s="4">
        <f t="shared" si="10"/>
        <v>100.36716</v>
      </c>
      <c r="I137" s="22">
        <v>225.00390999999999</v>
      </c>
      <c r="J137">
        <v>66.5</v>
      </c>
      <c r="K137" s="23">
        <v>94.762270000000001</v>
      </c>
      <c r="L137" s="4">
        <f t="shared" si="11"/>
        <v>98.349339999999998</v>
      </c>
      <c r="P137" s="24">
        <v>225.01451</v>
      </c>
      <c r="Q137">
        <v>66.5</v>
      </c>
      <c r="R137" s="25">
        <v>99.721909999999994</v>
      </c>
      <c r="S137" s="4">
        <f t="shared" si="12"/>
        <v>99.646090000000001</v>
      </c>
      <c r="W137" s="22">
        <v>250.00599</v>
      </c>
      <c r="X137">
        <v>66.5</v>
      </c>
      <c r="Y137" s="4">
        <v>91.630120000000005</v>
      </c>
      <c r="Z137" s="4">
        <f t="shared" si="13"/>
        <v>97.070950000000011</v>
      </c>
      <c r="AD137" s="24">
        <v>250.01652000000001</v>
      </c>
      <c r="AE137">
        <v>66.5</v>
      </c>
      <c r="AF137" s="19">
        <v>98.313910000000007</v>
      </c>
      <c r="AG137" s="4">
        <f t="shared" si="14"/>
        <v>98.575400000000002</v>
      </c>
    </row>
    <row r="138" spans="2:33" x14ac:dyDescent="0.15">
      <c r="B138" s="22">
        <v>200.03925000000001</v>
      </c>
      <c r="C138">
        <v>67</v>
      </c>
      <c r="D138" s="4">
        <v>99.466290000000001</v>
      </c>
      <c r="E138" s="4">
        <f t="shared" si="10"/>
        <v>100.59273</v>
      </c>
      <c r="I138" s="22">
        <v>225.00585000000001</v>
      </c>
      <c r="J138">
        <v>67</v>
      </c>
      <c r="K138" s="4">
        <v>94.750979999999998</v>
      </c>
      <c r="L138" s="4">
        <f t="shared" si="11"/>
        <v>98.338049999999996</v>
      </c>
      <c r="P138" s="24">
        <v>225.01769999999999</v>
      </c>
      <c r="Q138">
        <v>67</v>
      </c>
      <c r="R138" s="19">
        <v>99.540430000000001</v>
      </c>
      <c r="S138" s="4">
        <f t="shared" si="12"/>
        <v>99.464610000000008</v>
      </c>
      <c r="W138" s="22">
        <v>250.00300999999999</v>
      </c>
      <c r="X138">
        <v>67</v>
      </c>
      <c r="Y138" s="23">
        <v>91.603309999999993</v>
      </c>
      <c r="Z138" s="4">
        <f t="shared" si="13"/>
        <v>97.044139999999999</v>
      </c>
      <c r="AD138" s="24">
        <v>250.01510999999999</v>
      </c>
      <c r="AE138">
        <v>67</v>
      </c>
      <c r="AF138" s="25">
        <v>98.223870000000005</v>
      </c>
      <c r="AG138" s="4">
        <f t="shared" si="14"/>
        <v>98.48536</v>
      </c>
    </row>
    <row r="139" spans="2:33" x14ac:dyDescent="0.15">
      <c r="B139" s="22">
        <v>200.03817000000001</v>
      </c>
      <c r="C139">
        <v>67.5</v>
      </c>
      <c r="D139" s="23">
        <v>99.35284</v>
      </c>
      <c r="E139" s="4">
        <f t="shared" si="10"/>
        <v>100.47928</v>
      </c>
      <c r="I139" s="22">
        <v>225.00977</v>
      </c>
      <c r="J139">
        <v>67.5</v>
      </c>
      <c r="K139" s="23">
        <v>94.744739999999993</v>
      </c>
      <c r="L139" s="4">
        <f t="shared" si="11"/>
        <v>98.33180999999999</v>
      </c>
      <c r="P139" s="24">
        <v>225.01563999999999</v>
      </c>
      <c r="Q139">
        <v>67.5</v>
      </c>
      <c r="R139" s="25">
        <v>99.615790000000004</v>
      </c>
      <c r="S139" s="4">
        <f t="shared" si="12"/>
        <v>99.539970000000011</v>
      </c>
      <c r="W139" s="22">
        <v>249.99996999999999</v>
      </c>
      <c r="X139">
        <v>67.5</v>
      </c>
      <c r="Y139" s="4">
        <v>91.568700000000007</v>
      </c>
      <c r="Z139" s="4">
        <f t="shared" si="13"/>
        <v>97.009530000000012</v>
      </c>
      <c r="AD139" s="24">
        <v>250.01312999999999</v>
      </c>
      <c r="AE139">
        <v>67.5</v>
      </c>
      <c r="AF139" s="19">
        <v>98.198719999999994</v>
      </c>
      <c r="AG139" s="4">
        <f t="shared" si="14"/>
        <v>98.460209999999989</v>
      </c>
    </row>
    <row r="140" spans="2:33" x14ac:dyDescent="0.15">
      <c r="B140" s="22">
        <v>200.03555</v>
      </c>
      <c r="C140">
        <v>68</v>
      </c>
      <c r="D140" s="4">
        <v>99.484319999999997</v>
      </c>
      <c r="E140" s="4">
        <f t="shared" si="10"/>
        <v>100.61076</v>
      </c>
      <c r="I140" s="22">
        <v>225.00894</v>
      </c>
      <c r="J140">
        <v>68</v>
      </c>
      <c r="K140" s="4">
        <v>94.692409999999995</v>
      </c>
      <c r="L140" s="4">
        <f t="shared" si="11"/>
        <v>98.279479999999992</v>
      </c>
      <c r="P140" s="24">
        <v>225.01564999999999</v>
      </c>
      <c r="Q140">
        <v>68</v>
      </c>
      <c r="R140" s="19">
        <v>99.434950000000001</v>
      </c>
      <c r="S140" s="4">
        <f t="shared" si="12"/>
        <v>99.359130000000007</v>
      </c>
      <c r="W140" s="22">
        <v>250.00299999999999</v>
      </c>
      <c r="X140">
        <v>68</v>
      </c>
      <c r="Y140" s="23">
        <v>91.555490000000006</v>
      </c>
      <c r="Z140" s="4">
        <f t="shared" si="13"/>
        <v>96.996320000000011</v>
      </c>
      <c r="AD140" s="24">
        <v>250.01541</v>
      </c>
      <c r="AE140">
        <v>68</v>
      </c>
      <c r="AF140" s="25">
        <v>98.20702</v>
      </c>
      <c r="AG140" s="4">
        <f t="shared" si="14"/>
        <v>98.468509999999995</v>
      </c>
    </row>
    <row r="141" spans="2:33" x14ac:dyDescent="0.15">
      <c r="B141" s="22">
        <v>200.0326</v>
      </c>
      <c r="C141">
        <v>68.5</v>
      </c>
      <c r="D141" s="23">
        <v>99.391040000000004</v>
      </c>
      <c r="E141" s="4">
        <f t="shared" si="10"/>
        <v>100.51748000000001</v>
      </c>
      <c r="I141" s="22">
        <v>225.00698</v>
      </c>
      <c r="J141">
        <v>68.5</v>
      </c>
      <c r="K141" s="23">
        <v>94.688429999999997</v>
      </c>
      <c r="L141" s="4">
        <f t="shared" si="11"/>
        <v>98.275499999999994</v>
      </c>
      <c r="P141" s="24">
        <v>225.01956000000001</v>
      </c>
      <c r="Q141">
        <v>68.5</v>
      </c>
      <c r="R141" s="25">
        <v>99.446349999999995</v>
      </c>
      <c r="S141" s="4">
        <f t="shared" si="12"/>
        <v>99.370530000000002</v>
      </c>
      <c r="W141" s="22">
        <v>250.00200000000001</v>
      </c>
      <c r="X141">
        <v>68.5</v>
      </c>
      <c r="Y141" s="4">
        <v>91.5304</v>
      </c>
      <c r="Z141" s="4">
        <f t="shared" si="13"/>
        <v>96.971230000000006</v>
      </c>
      <c r="AD141" s="24">
        <v>250.01579000000001</v>
      </c>
      <c r="AE141">
        <v>68.5</v>
      </c>
      <c r="AF141" s="19">
        <v>98.169539999999998</v>
      </c>
      <c r="AG141" s="4">
        <f t="shared" si="14"/>
        <v>98.431029999999993</v>
      </c>
    </row>
    <row r="142" spans="2:33" x14ac:dyDescent="0.15">
      <c r="B142" s="22">
        <v>200.02374</v>
      </c>
      <c r="C142">
        <v>69</v>
      </c>
      <c r="D142" s="4">
        <v>99.440119999999993</v>
      </c>
      <c r="E142" s="4">
        <f t="shared" si="10"/>
        <v>100.56656</v>
      </c>
      <c r="I142" s="22">
        <v>225.00606999999999</v>
      </c>
      <c r="J142">
        <v>69</v>
      </c>
      <c r="K142" s="4">
        <v>94.645510000000002</v>
      </c>
      <c r="L142" s="4">
        <f t="shared" si="11"/>
        <v>98.232579999999999</v>
      </c>
      <c r="P142" s="24">
        <v>225.02076</v>
      </c>
      <c r="Q142">
        <v>69</v>
      </c>
      <c r="R142" s="19">
        <v>99.515110000000007</v>
      </c>
      <c r="S142" s="4">
        <f t="shared" si="12"/>
        <v>99.439290000000014</v>
      </c>
      <c r="W142" s="22">
        <v>250.00503</v>
      </c>
      <c r="X142">
        <v>69</v>
      </c>
      <c r="Y142" s="23">
        <v>91.512900000000002</v>
      </c>
      <c r="Z142" s="4">
        <f t="shared" si="13"/>
        <v>96.953730000000007</v>
      </c>
      <c r="AD142" s="24">
        <v>250.01731000000001</v>
      </c>
      <c r="AE142">
        <v>69</v>
      </c>
      <c r="AF142" s="25">
        <v>98.213769999999997</v>
      </c>
      <c r="AG142" s="4">
        <f t="shared" si="14"/>
        <v>98.475259999999992</v>
      </c>
    </row>
    <row r="143" spans="2:33" x14ac:dyDescent="0.15">
      <c r="B143" s="22">
        <v>200.01461</v>
      </c>
      <c r="C143">
        <v>69.5</v>
      </c>
      <c r="D143" s="23">
        <v>99.333830000000006</v>
      </c>
      <c r="E143" s="4">
        <f t="shared" si="10"/>
        <v>100.46027000000001</v>
      </c>
      <c r="I143" s="22">
        <v>225.00515999999999</v>
      </c>
      <c r="J143">
        <v>69.5</v>
      </c>
      <c r="K143" s="23">
        <v>94.64161</v>
      </c>
      <c r="L143" s="4">
        <f t="shared" si="11"/>
        <v>98.228679999999997</v>
      </c>
      <c r="P143" s="24">
        <v>225.01670999999999</v>
      </c>
      <c r="Q143">
        <v>69.5</v>
      </c>
      <c r="R143" s="25">
        <v>99.469930000000005</v>
      </c>
      <c r="S143" s="4">
        <f t="shared" si="12"/>
        <v>99.394110000000012</v>
      </c>
      <c r="W143" s="22">
        <v>250.00802999999999</v>
      </c>
      <c r="X143">
        <v>69.5</v>
      </c>
      <c r="Y143" s="4">
        <v>91.474879999999999</v>
      </c>
      <c r="Z143" s="4">
        <f t="shared" si="13"/>
        <v>96.915710000000004</v>
      </c>
      <c r="AD143" s="24">
        <v>250.01770999999999</v>
      </c>
      <c r="AE143">
        <v>69.5</v>
      </c>
      <c r="AF143" s="19">
        <v>98.19341</v>
      </c>
      <c r="AG143" s="4">
        <f t="shared" si="14"/>
        <v>98.454899999999995</v>
      </c>
    </row>
    <row r="144" spans="2:33" x14ac:dyDescent="0.15">
      <c r="B144" s="22">
        <v>200.00743</v>
      </c>
      <c r="C144">
        <v>70</v>
      </c>
      <c r="D144" s="4">
        <v>99.520529999999994</v>
      </c>
      <c r="E144" s="4">
        <f t="shared" si="10"/>
        <v>100.64697</v>
      </c>
      <c r="I144" s="22">
        <v>225.00395</v>
      </c>
      <c r="J144">
        <v>70</v>
      </c>
      <c r="K144" s="4">
        <v>94.60284</v>
      </c>
      <c r="L144" s="4">
        <f t="shared" si="11"/>
        <v>98.189909999999998</v>
      </c>
      <c r="P144" s="24">
        <v>225.01614000000001</v>
      </c>
      <c r="Q144">
        <v>70</v>
      </c>
      <c r="R144" s="19">
        <v>99.447519999999997</v>
      </c>
      <c r="S144" s="4">
        <f t="shared" si="12"/>
        <v>99.371700000000004</v>
      </c>
      <c r="W144" s="22">
        <v>250.00299000000001</v>
      </c>
      <c r="X144">
        <v>70</v>
      </c>
      <c r="Y144" s="23">
        <v>91.426919999999996</v>
      </c>
      <c r="Z144" s="4">
        <f t="shared" si="13"/>
        <v>96.867750000000001</v>
      </c>
      <c r="AD144" s="24">
        <v>250.01791</v>
      </c>
      <c r="AE144">
        <v>70</v>
      </c>
      <c r="AF144" s="25">
        <v>98.195260000000005</v>
      </c>
      <c r="AG144" s="4">
        <f t="shared" si="14"/>
        <v>98.45675</v>
      </c>
    </row>
    <row r="145" spans="2:33" x14ac:dyDescent="0.15">
      <c r="B145" s="22">
        <v>200.00731999999999</v>
      </c>
      <c r="C145">
        <v>70.5</v>
      </c>
      <c r="D145" s="23">
        <v>99.385670000000005</v>
      </c>
      <c r="E145" s="4">
        <f t="shared" si="10"/>
        <v>100.51211000000001</v>
      </c>
      <c r="I145" s="22">
        <v>225.00711000000001</v>
      </c>
      <c r="J145">
        <v>70.5</v>
      </c>
      <c r="K145" s="23">
        <v>94.610079999999996</v>
      </c>
      <c r="L145" s="4">
        <f t="shared" si="11"/>
        <v>98.197149999999993</v>
      </c>
      <c r="P145" s="24">
        <v>225.01822000000001</v>
      </c>
      <c r="Q145">
        <v>70.5</v>
      </c>
      <c r="R145" s="25">
        <v>99.542119999999997</v>
      </c>
      <c r="S145" s="4">
        <f t="shared" si="12"/>
        <v>99.466300000000004</v>
      </c>
      <c r="W145" s="22">
        <v>250.00501</v>
      </c>
      <c r="X145">
        <v>70.5</v>
      </c>
      <c r="Y145" s="4">
        <v>91.413669999999996</v>
      </c>
      <c r="Z145" s="4">
        <f t="shared" si="13"/>
        <v>96.854500000000002</v>
      </c>
      <c r="AD145" s="24">
        <v>250.01229000000001</v>
      </c>
      <c r="AE145">
        <v>70.5</v>
      </c>
      <c r="AF145" s="19">
        <v>98.220529999999997</v>
      </c>
      <c r="AG145" s="4">
        <f t="shared" si="14"/>
        <v>98.482019999999991</v>
      </c>
    </row>
    <row r="146" spans="2:33" x14ac:dyDescent="0.15">
      <c r="B146" s="22">
        <v>200.01301000000001</v>
      </c>
      <c r="C146">
        <v>71</v>
      </c>
      <c r="D146" s="4">
        <v>99.264570000000006</v>
      </c>
      <c r="E146" s="4">
        <f t="shared" si="10"/>
        <v>100.39101000000001</v>
      </c>
      <c r="I146" s="22">
        <v>225.00201999999999</v>
      </c>
      <c r="J146">
        <v>71</v>
      </c>
      <c r="K146" s="4">
        <v>94.55556</v>
      </c>
      <c r="L146" s="4">
        <f t="shared" si="11"/>
        <v>98.142629999999997</v>
      </c>
      <c r="P146" s="24">
        <v>225.01854</v>
      </c>
      <c r="Q146">
        <v>71</v>
      </c>
      <c r="R146" s="19">
        <v>99.476879999999994</v>
      </c>
      <c r="S146" s="4">
        <f t="shared" si="12"/>
        <v>99.401060000000001</v>
      </c>
      <c r="W146" s="22">
        <v>250.00506999999999</v>
      </c>
      <c r="X146">
        <v>71</v>
      </c>
      <c r="Y146" s="23">
        <v>91.390420000000006</v>
      </c>
      <c r="Z146" s="4">
        <f t="shared" si="13"/>
        <v>96.831250000000011</v>
      </c>
      <c r="AD146" s="24">
        <v>250.00997000000001</v>
      </c>
      <c r="AE146">
        <v>71</v>
      </c>
      <c r="AF146" s="25">
        <v>98.101140000000001</v>
      </c>
      <c r="AG146" s="4">
        <f t="shared" si="14"/>
        <v>98.362629999999996</v>
      </c>
    </row>
    <row r="147" spans="2:33" x14ac:dyDescent="0.15">
      <c r="B147" s="22">
        <v>200.01859999999999</v>
      </c>
      <c r="C147">
        <v>71.5</v>
      </c>
      <c r="D147" s="23">
        <v>99.464680000000001</v>
      </c>
      <c r="E147" s="4">
        <f t="shared" si="10"/>
        <v>100.59112</v>
      </c>
      <c r="I147" s="22">
        <v>225.00595000000001</v>
      </c>
      <c r="J147">
        <v>71.5</v>
      </c>
      <c r="K147" s="23">
        <v>94.564009999999996</v>
      </c>
      <c r="L147" s="4">
        <f t="shared" si="11"/>
        <v>98.151079999999993</v>
      </c>
      <c r="P147" s="24">
        <v>225.02170000000001</v>
      </c>
      <c r="Q147">
        <v>71.5</v>
      </c>
      <c r="R147" s="25">
        <v>99.410889999999995</v>
      </c>
      <c r="S147" s="4">
        <f t="shared" si="12"/>
        <v>99.335070000000002</v>
      </c>
      <c r="W147" s="22">
        <v>250.00301999999999</v>
      </c>
      <c r="X147">
        <v>71.5</v>
      </c>
      <c r="Y147" s="4">
        <v>91.378900000000002</v>
      </c>
      <c r="Z147" s="4">
        <f t="shared" si="13"/>
        <v>96.819730000000007</v>
      </c>
      <c r="AD147" s="24">
        <v>250.01309000000001</v>
      </c>
      <c r="AE147">
        <v>71.5</v>
      </c>
      <c r="AF147" s="19">
        <v>98.135800000000003</v>
      </c>
      <c r="AG147" s="4">
        <f t="shared" si="14"/>
        <v>98.397289999999998</v>
      </c>
    </row>
    <row r="148" spans="2:33" x14ac:dyDescent="0.15">
      <c r="B148" s="22">
        <v>200.01899</v>
      </c>
      <c r="C148">
        <v>72</v>
      </c>
      <c r="D148" s="4">
        <v>99.418629999999993</v>
      </c>
      <c r="E148" s="4">
        <f t="shared" si="10"/>
        <v>100.54507</v>
      </c>
      <c r="I148" s="22">
        <v>225.00509</v>
      </c>
      <c r="J148">
        <v>72</v>
      </c>
      <c r="K148" s="4">
        <v>94.523300000000006</v>
      </c>
      <c r="L148" s="4">
        <f t="shared" si="11"/>
        <v>98.110370000000003</v>
      </c>
      <c r="P148" s="24">
        <v>225.01949999999999</v>
      </c>
      <c r="Q148">
        <v>72</v>
      </c>
      <c r="R148" s="19">
        <v>99.469939999999994</v>
      </c>
      <c r="S148" s="4">
        <f t="shared" si="12"/>
        <v>99.394120000000001</v>
      </c>
      <c r="W148" s="22">
        <v>250.00200000000001</v>
      </c>
      <c r="X148">
        <v>72</v>
      </c>
      <c r="Y148" s="23">
        <v>91.348389999999995</v>
      </c>
      <c r="Z148" s="4">
        <f t="shared" si="13"/>
        <v>96.78922</v>
      </c>
      <c r="AD148" s="24">
        <v>250.01671999999999</v>
      </c>
      <c r="AE148">
        <v>72</v>
      </c>
      <c r="AF148" s="25">
        <v>98.124440000000007</v>
      </c>
      <c r="AG148" s="4">
        <f t="shared" si="14"/>
        <v>98.385930000000002</v>
      </c>
    </row>
    <row r="149" spans="2:33" x14ac:dyDescent="0.15">
      <c r="B149" s="22">
        <v>200.01349999999999</v>
      </c>
      <c r="C149">
        <v>72.5</v>
      </c>
      <c r="D149" s="23">
        <v>99.350290000000001</v>
      </c>
      <c r="E149" s="4">
        <f t="shared" si="10"/>
        <v>100.47673</v>
      </c>
      <c r="I149" s="22">
        <v>225.00394</v>
      </c>
      <c r="J149">
        <v>72.5</v>
      </c>
      <c r="K149" s="23">
        <v>94.507930000000002</v>
      </c>
      <c r="L149" s="4">
        <f t="shared" si="11"/>
        <v>98.094999999999999</v>
      </c>
      <c r="P149" s="24">
        <v>225.01562999999999</v>
      </c>
      <c r="Q149">
        <v>72.5</v>
      </c>
      <c r="R149" s="25">
        <v>99.451250000000002</v>
      </c>
      <c r="S149" s="4">
        <f t="shared" si="12"/>
        <v>99.375430000000009</v>
      </c>
      <c r="W149" s="22">
        <v>250.00307000000001</v>
      </c>
      <c r="X149">
        <v>72.5</v>
      </c>
      <c r="Y149" s="4">
        <v>91.317689999999999</v>
      </c>
      <c r="Z149" s="4">
        <f t="shared" si="13"/>
        <v>96.758520000000004</v>
      </c>
      <c r="AD149" s="24">
        <v>250.01741999999999</v>
      </c>
      <c r="AE149">
        <v>72.5</v>
      </c>
      <c r="AF149" s="19">
        <v>98.106669999999994</v>
      </c>
      <c r="AG149" s="4">
        <f t="shared" si="14"/>
        <v>98.368159999999989</v>
      </c>
    </row>
    <row r="150" spans="2:33" x14ac:dyDescent="0.15">
      <c r="B150" s="22">
        <v>200.01330999999999</v>
      </c>
      <c r="C150">
        <v>73</v>
      </c>
      <c r="D150" s="4">
        <v>99.480459999999994</v>
      </c>
      <c r="E150" s="4">
        <f t="shared" si="10"/>
        <v>100.6069</v>
      </c>
      <c r="I150" s="22">
        <v>225.00704999999999</v>
      </c>
      <c r="J150">
        <v>73</v>
      </c>
      <c r="K150" s="4">
        <v>94.510069999999999</v>
      </c>
      <c r="L150" s="4">
        <f t="shared" si="11"/>
        <v>98.097139999999996</v>
      </c>
      <c r="P150" s="24">
        <v>225.01909000000001</v>
      </c>
      <c r="Q150">
        <v>73</v>
      </c>
      <c r="R150" s="19">
        <v>99.51491</v>
      </c>
      <c r="S150" s="4">
        <f t="shared" si="12"/>
        <v>99.439090000000007</v>
      </c>
      <c r="W150" s="22">
        <v>250.00201999999999</v>
      </c>
      <c r="X150">
        <v>73</v>
      </c>
      <c r="Y150" s="23">
        <v>91.294520000000006</v>
      </c>
      <c r="Z150" s="4">
        <f t="shared" si="13"/>
        <v>96.735350000000011</v>
      </c>
      <c r="AD150" s="24">
        <v>250.0171</v>
      </c>
      <c r="AE150">
        <v>73</v>
      </c>
      <c r="AF150" s="25">
        <v>98.116789999999995</v>
      </c>
      <c r="AG150" s="4">
        <f t="shared" si="14"/>
        <v>98.37827999999999</v>
      </c>
    </row>
    <row r="151" spans="2:33" x14ac:dyDescent="0.15">
      <c r="B151" s="22">
        <v>200.03753</v>
      </c>
      <c r="C151">
        <v>73.5</v>
      </c>
      <c r="D151" s="23">
        <v>99.533779999999993</v>
      </c>
      <c r="E151" s="4">
        <f t="shared" si="10"/>
        <v>100.66022</v>
      </c>
      <c r="I151" s="22">
        <v>225.00800000000001</v>
      </c>
      <c r="J151">
        <v>73.5</v>
      </c>
      <c r="K151" s="23">
        <v>94.462530000000001</v>
      </c>
      <c r="L151" s="4">
        <f t="shared" si="11"/>
        <v>98.049599999999998</v>
      </c>
      <c r="P151" s="24">
        <v>225.02094</v>
      </c>
      <c r="Q151">
        <v>73.5</v>
      </c>
      <c r="R151" s="25">
        <v>99.534210000000002</v>
      </c>
      <c r="S151" s="4">
        <f t="shared" si="12"/>
        <v>99.458390000000009</v>
      </c>
      <c r="W151" s="22">
        <v>250.00497999999999</v>
      </c>
      <c r="X151">
        <v>73.5</v>
      </c>
      <c r="Y151" s="4">
        <v>91.271969999999996</v>
      </c>
      <c r="Z151" s="4">
        <f t="shared" si="13"/>
        <v>96.712800000000001</v>
      </c>
      <c r="AD151" s="24">
        <v>250.01701</v>
      </c>
      <c r="AE151">
        <v>73.5</v>
      </c>
      <c r="AF151" s="19">
        <v>97.984030000000004</v>
      </c>
      <c r="AG151" s="4">
        <f t="shared" si="14"/>
        <v>98.245519999999999</v>
      </c>
    </row>
    <row r="152" spans="2:33" x14ac:dyDescent="0.15">
      <c r="B152" s="22">
        <v>200.07830000000001</v>
      </c>
      <c r="C152">
        <v>74</v>
      </c>
      <c r="D152" s="4">
        <v>99.477729999999994</v>
      </c>
      <c r="E152" s="4">
        <f t="shared" si="10"/>
        <v>100.60417</v>
      </c>
      <c r="I152" s="22">
        <v>225.00298000000001</v>
      </c>
      <c r="J152">
        <v>74</v>
      </c>
      <c r="K152" s="4">
        <v>94.430660000000003</v>
      </c>
      <c r="L152" s="4">
        <f t="shared" si="11"/>
        <v>98.01773</v>
      </c>
      <c r="P152" s="24">
        <v>225.02042</v>
      </c>
      <c r="Q152">
        <v>74</v>
      </c>
      <c r="R152" s="19">
        <v>99.519840000000002</v>
      </c>
      <c r="S152" s="4">
        <f t="shared" si="12"/>
        <v>99.444020000000009</v>
      </c>
      <c r="W152" s="22">
        <v>250.00299999999999</v>
      </c>
      <c r="X152">
        <v>74</v>
      </c>
      <c r="Y152" s="23">
        <v>91.247010000000003</v>
      </c>
      <c r="Z152" s="4">
        <f t="shared" si="13"/>
        <v>96.687840000000008</v>
      </c>
      <c r="AD152" s="24">
        <v>250.01651000000001</v>
      </c>
      <c r="AE152">
        <v>74</v>
      </c>
      <c r="AF152" s="25">
        <v>97.996799999999993</v>
      </c>
      <c r="AG152" s="4">
        <f t="shared" si="14"/>
        <v>98.258289999999988</v>
      </c>
    </row>
    <row r="153" spans="2:33" x14ac:dyDescent="0.15">
      <c r="B153" s="22">
        <v>200.11425</v>
      </c>
      <c r="C153">
        <v>74.5</v>
      </c>
      <c r="D153" s="23">
        <v>99.368600000000001</v>
      </c>
      <c r="E153" s="4">
        <f t="shared" si="10"/>
        <v>100.49504</v>
      </c>
      <c r="I153" s="22">
        <v>225.00894</v>
      </c>
      <c r="J153">
        <v>74.5</v>
      </c>
      <c r="K153" s="23">
        <v>94.440029999999993</v>
      </c>
      <c r="L153" s="4">
        <f t="shared" si="11"/>
        <v>98.02709999999999</v>
      </c>
      <c r="P153" s="24">
        <v>225.01864</v>
      </c>
      <c r="Q153">
        <v>74.5</v>
      </c>
      <c r="R153" s="25">
        <v>99.363380000000006</v>
      </c>
      <c r="S153" s="4">
        <f t="shared" si="12"/>
        <v>99.287560000000013</v>
      </c>
      <c r="W153" s="22">
        <v>249.99497</v>
      </c>
      <c r="X153">
        <v>74.5</v>
      </c>
      <c r="Y153" s="4">
        <v>91.216239999999999</v>
      </c>
      <c r="Z153" s="4">
        <f t="shared" si="13"/>
        <v>96.657070000000004</v>
      </c>
      <c r="AD153" s="24">
        <v>250.01433</v>
      </c>
      <c r="AE153">
        <v>74.5</v>
      </c>
      <c r="AF153" s="19">
        <v>98.088809999999995</v>
      </c>
      <c r="AG153" s="4">
        <f t="shared" si="14"/>
        <v>98.35029999999999</v>
      </c>
    </row>
    <row r="154" spans="2:33" x14ac:dyDescent="0.15">
      <c r="B154" s="22">
        <v>200.13558</v>
      </c>
      <c r="C154">
        <v>75</v>
      </c>
      <c r="D154" s="4">
        <v>99.348489999999998</v>
      </c>
      <c r="E154" s="4">
        <f t="shared" si="10"/>
        <v>100.47493</v>
      </c>
      <c r="I154" s="22">
        <v>225.00693999999999</v>
      </c>
      <c r="J154">
        <v>75</v>
      </c>
      <c r="K154" s="4">
        <v>94.411479999999997</v>
      </c>
      <c r="L154" s="4">
        <f t="shared" si="11"/>
        <v>97.998549999999994</v>
      </c>
      <c r="P154" s="24">
        <v>225.01596000000001</v>
      </c>
      <c r="Q154">
        <v>75</v>
      </c>
      <c r="R154" s="19">
        <v>99.538809999999998</v>
      </c>
      <c r="S154" s="4">
        <f t="shared" si="12"/>
        <v>99.462990000000005</v>
      </c>
      <c r="W154" s="22">
        <v>249.99902</v>
      </c>
      <c r="X154">
        <v>75</v>
      </c>
      <c r="Y154" s="23">
        <v>91.196759999999998</v>
      </c>
      <c r="Z154" s="4">
        <f t="shared" si="13"/>
        <v>96.637590000000003</v>
      </c>
      <c r="AD154" s="24">
        <v>250.01320999999999</v>
      </c>
      <c r="AE154">
        <v>75</v>
      </c>
      <c r="AF154" s="25">
        <v>98.06962</v>
      </c>
      <c r="AG154" s="4">
        <f t="shared" si="14"/>
        <v>98.331109999999995</v>
      </c>
    </row>
    <row r="155" spans="2:33" x14ac:dyDescent="0.15">
      <c r="B155" s="22">
        <v>200.13667000000001</v>
      </c>
      <c r="C155">
        <v>75.5</v>
      </c>
      <c r="D155" s="23">
        <v>99.371110000000002</v>
      </c>
      <c r="E155" s="4">
        <f t="shared" si="10"/>
        <v>100.49755</v>
      </c>
      <c r="I155" s="22">
        <v>225.00792000000001</v>
      </c>
      <c r="J155">
        <v>75.5</v>
      </c>
      <c r="K155" s="23">
        <v>94.394869999999997</v>
      </c>
      <c r="L155" s="4">
        <f t="shared" si="11"/>
        <v>97.981939999999994</v>
      </c>
      <c r="P155" s="24">
        <v>225.01367999999999</v>
      </c>
      <c r="Q155">
        <v>75.5</v>
      </c>
      <c r="R155" s="25">
        <v>99.460589999999996</v>
      </c>
      <c r="S155" s="4">
        <f t="shared" si="12"/>
        <v>99.384770000000003</v>
      </c>
      <c r="W155" s="22">
        <v>250.00304</v>
      </c>
      <c r="X155">
        <v>75.5</v>
      </c>
      <c r="Y155" s="4">
        <v>91.148939999999996</v>
      </c>
      <c r="Z155" s="4">
        <f t="shared" si="13"/>
        <v>96.589770000000001</v>
      </c>
      <c r="AD155" s="24">
        <v>250.01616000000001</v>
      </c>
      <c r="AE155">
        <v>75.5</v>
      </c>
      <c r="AF155" s="19">
        <v>98.015619999999998</v>
      </c>
      <c r="AG155" s="4">
        <f t="shared" si="14"/>
        <v>98.277109999999993</v>
      </c>
    </row>
    <row r="156" spans="2:33" x14ac:dyDescent="0.15">
      <c r="B156" s="22">
        <v>200.11429999999999</v>
      </c>
      <c r="C156">
        <v>76</v>
      </c>
      <c r="D156" s="4">
        <v>99.505250000000004</v>
      </c>
      <c r="E156" s="4">
        <f t="shared" si="10"/>
        <v>100.63169000000001</v>
      </c>
      <c r="I156" s="22">
        <v>225.00790000000001</v>
      </c>
      <c r="J156">
        <v>76</v>
      </c>
      <c r="K156" s="4">
        <v>94.375870000000006</v>
      </c>
      <c r="L156" s="4">
        <f t="shared" si="11"/>
        <v>97.962940000000003</v>
      </c>
      <c r="P156" s="24">
        <v>225.01421999999999</v>
      </c>
      <c r="Q156">
        <v>76</v>
      </c>
      <c r="R156" s="19">
        <v>99.521960000000007</v>
      </c>
      <c r="S156" s="4">
        <f t="shared" si="12"/>
        <v>99.446140000000014</v>
      </c>
      <c r="W156" s="22">
        <v>250.00599</v>
      </c>
      <c r="X156">
        <v>76</v>
      </c>
      <c r="Y156" s="23">
        <v>91.152820000000006</v>
      </c>
      <c r="Z156" s="4">
        <f t="shared" si="13"/>
        <v>96.593650000000011</v>
      </c>
      <c r="AD156" s="24">
        <v>250.01648</v>
      </c>
      <c r="AE156">
        <v>76</v>
      </c>
      <c r="AF156" s="25">
        <v>97.966750000000005</v>
      </c>
      <c r="AG156" s="4">
        <f t="shared" si="14"/>
        <v>98.22824</v>
      </c>
    </row>
    <row r="157" spans="2:33" x14ac:dyDescent="0.15">
      <c r="B157" s="22">
        <v>200.07680999999999</v>
      </c>
      <c r="C157">
        <v>76.5</v>
      </c>
      <c r="D157" s="23">
        <v>99.355400000000003</v>
      </c>
      <c r="E157" s="4">
        <f t="shared" si="10"/>
        <v>100.48184000000001</v>
      </c>
      <c r="I157" s="22">
        <v>225.00407000000001</v>
      </c>
      <c r="J157">
        <v>76.5</v>
      </c>
      <c r="K157" s="23">
        <v>94.349450000000004</v>
      </c>
      <c r="L157" s="4">
        <f t="shared" si="11"/>
        <v>97.936520000000002</v>
      </c>
      <c r="P157" s="24">
        <v>225.01161999999999</v>
      </c>
      <c r="Q157">
        <v>76.5</v>
      </c>
      <c r="R157" s="25">
        <v>99.483900000000006</v>
      </c>
      <c r="S157" s="4">
        <f t="shared" si="12"/>
        <v>99.408080000000012</v>
      </c>
      <c r="W157" s="22">
        <v>249.99903</v>
      </c>
      <c r="X157">
        <v>76.5</v>
      </c>
      <c r="Y157" s="4">
        <v>91.110309999999998</v>
      </c>
      <c r="Z157" s="4">
        <f t="shared" si="13"/>
        <v>96.551140000000004</v>
      </c>
      <c r="AD157" s="24">
        <v>250.01536999999999</v>
      </c>
      <c r="AE157">
        <v>76.5</v>
      </c>
      <c r="AF157" s="19">
        <v>97.969790000000003</v>
      </c>
      <c r="AG157" s="4">
        <f t="shared" si="14"/>
        <v>98.231279999999998</v>
      </c>
    </row>
    <row r="158" spans="2:33" x14ac:dyDescent="0.15">
      <c r="B158" s="22">
        <v>200.03979000000001</v>
      </c>
      <c r="C158">
        <v>77</v>
      </c>
      <c r="D158" s="4">
        <v>99.273989999999998</v>
      </c>
      <c r="E158" s="4">
        <f t="shared" si="10"/>
        <v>100.40043</v>
      </c>
      <c r="I158" s="22">
        <v>225.00591</v>
      </c>
      <c r="J158">
        <v>77</v>
      </c>
      <c r="K158" s="4">
        <v>94.342060000000004</v>
      </c>
      <c r="L158" s="4">
        <f t="shared" si="11"/>
        <v>97.929130000000001</v>
      </c>
      <c r="P158" s="24">
        <v>225.00944999999999</v>
      </c>
      <c r="Q158">
        <v>77</v>
      </c>
      <c r="R158" s="19">
        <v>99.385390000000001</v>
      </c>
      <c r="S158" s="4">
        <f t="shared" si="12"/>
        <v>99.309570000000008</v>
      </c>
      <c r="W158" s="22">
        <v>250.00502</v>
      </c>
      <c r="X158">
        <v>77</v>
      </c>
      <c r="Y158" s="23">
        <v>91.085480000000004</v>
      </c>
      <c r="Z158" s="4">
        <f t="shared" si="13"/>
        <v>96.526310000000009</v>
      </c>
      <c r="AD158" s="24">
        <v>250.01678000000001</v>
      </c>
      <c r="AE158">
        <v>77</v>
      </c>
      <c r="AF158" s="25">
        <v>97.958359999999999</v>
      </c>
      <c r="AG158" s="4">
        <f t="shared" si="14"/>
        <v>98.219849999999994</v>
      </c>
    </row>
    <row r="159" spans="2:33" x14ac:dyDescent="0.15">
      <c r="B159" s="22">
        <v>200.01085</v>
      </c>
      <c r="C159">
        <v>77.5</v>
      </c>
      <c r="D159" s="23">
        <v>99.279719999999998</v>
      </c>
      <c r="E159" s="4">
        <f t="shared" si="10"/>
        <v>100.40616</v>
      </c>
      <c r="I159" s="22">
        <v>225.00692000000001</v>
      </c>
      <c r="J159">
        <v>77.5</v>
      </c>
      <c r="K159" s="23">
        <v>94.344589999999997</v>
      </c>
      <c r="L159" s="4">
        <f t="shared" si="11"/>
        <v>97.931659999999994</v>
      </c>
      <c r="P159" s="24">
        <v>225.0087</v>
      </c>
      <c r="Q159">
        <v>77.5</v>
      </c>
      <c r="R159" s="25">
        <v>99.464770000000001</v>
      </c>
      <c r="S159" s="4">
        <f t="shared" si="12"/>
        <v>99.388950000000008</v>
      </c>
      <c r="W159" s="22">
        <v>250.00298000000001</v>
      </c>
      <c r="X159">
        <v>77.5</v>
      </c>
      <c r="Y159" s="4">
        <v>91.080010000000001</v>
      </c>
      <c r="Z159" s="4">
        <f t="shared" si="13"/>
        <v>96.520840000000007</v>
      </c>
      <c r="AD159" s="24">
        <v>250.01936000000001</v>
      </c>
      <c r="AE159">
        <v>77.5</v>
      </c>
      <c r="AF159" s="19">
        <v>97.904870000000003</v>
      </c>
      <c r="AG159" s="4">
        <f t="shared" si="14"/>
        <v>98.166359999999997</v>
      </c>
    </row>
    <row r="160" spans="2:33" x14ac:dyDescent="0.15">
      <c r="B160" s="22">
        <v>200.03054</v>
      </c>
      <c r="C160">
        <v>78</v>
      </c>
      <c r="D160" s="4">
        <v>99.469589999999997</v>
      </c>
      <c r="E160" s="4">
        <f t="shared" si="10"/>
        <v>100.59603</v>
      </c>
      <c r="I160" s="22">
        <v>225.00895</v>
      </c>
      <c r="J160">
        <v>78</v>
      </c>
      <c r="K160" s="4">
        <v>94.303719999999998</v>
      </c>
      <c r="L160" s="4">
        <f t="shared" si="11"/>
        <v>97.890789999999996</v>
      </c>
      <c r="P160" s="24">
        <v>225.00658999999999</v>
      </c>
      <c r="Q160">
        <v>78</v>
      </c>
      <c r="R160" s="19">
        <v>99.418689999999998</v>
      </c>
      <c r="S160" s="4">
        <f t="shared" si="12"/>
        <v>99.342870000000005</v>
      </c>
      <c r="W160" s="22">
        <v>250.00398999999999</v>
      </c>
      <c r="X160">
        <v>78</v>
      </c>
      <c r="Y160" s="23">
        <v>91.047259999999994</v>
      </c>
      <c r="Z160" s="4">
        <f t="shared" si="13"/>
        <v>96.48809</v>
      </c>
      <c r="AD160" s="24">
        <v>250.01848000000001</v>
      </c>
      <c r="AE160">
        <v>78</v>
      </c>
      <c r="AF160" s="25">
        <v>97.977339999999998</v>
      </c>
      <c r="AG160" s="4">
        <f t="shared" si="14"/>
        <v>98.238829999999993</v>
      </c>
    </row>
    <row r="161" spans="2:33" x14ac:dyDescent="0.15">
      <c r="B161" s="22">
        <v>200.11544000000001</v>
      </c>
      <c r="C161">
        <v>78.5</v>
      </c>
      <c r="D161" s="23">
        <v>99.397790000000001</v>
      </c>
      <c r="E161" s="4">
        <f t="shared" si="10"/>
        <v>100.52423</v>
      </c>
      <c r="I161" s="22">
        <v>225.00398000000001</v>
      </c>
      <c r="J161">
        <v>78.5</v>
      </c>
      <c r="K161" s="23">
        <v>94.283019999999993</v>
      </c>
      <c r="L161" s="4">
        <f t="shared" si="11"/>
        <v>97.87008999999999</v>
      </c>
      <c r="P161" s="24">
        <v>225.00522000000001</v>
      </c>
      <c r="Q161">
        <v>78.5</v>
      </c>
      <c r="R161" s="25">
        <v>99.371020000000001</v>
      </c>
      <c r="S161" s="4">
        <f t="shared" si="12"/>
        <v>99.295200000000008</v>
      </c>
      <c r="W161" s="22">
        <v>250.00700000000001</v>
      </c>
      <c r="X161">
        <v>78.5</v>
      </c>
      <c r="Y161" s="4">
        <v>91.030209999999997</v>
      </c>
      <c r="Z161" s="4">
        <f t="shared" si="13"/>
        <v>96.471040000000002</v>
      </c>
      <c r="AD161" s="24">
        <v>250.01778999999999</v>
      </c>
      <c r="AE161">
        <v>78.5</v>
      </c>
      <c r="AF161" s="19">
        <v>97.890439999999998</v>
      </c>
      <c r="AG161" s="4">
        <f t="shared" si="14"/>
        <v>98.151929999999993</v>
      </c>
    </row>
    <row r="162" spans="2:33" x14ac:dyDescent="0.15">
      <c r="B162" s="22">
        <v>200.21648999999999</v>
      </c>
      <c r="C162">
        <v>79</v>
      </c>
      <c r="D162" s="4">
        <v>99.416340000000005</v>
      </c>
      <c r="E162" s="4">
        <f t="shared" si="10"/>
        <v>100.54278000000001</v>
      </c>
      <c r="I162" s="22">
        <v>225.00298000000001</v>
      </c>
      <c r="J162">
        <v>79</v>
      </c>
      <c r="K162" s="4">
        <v>94.239549999999994</v>
      </c>
      <c r="L162" s="4">
        <f t="shared" si="11"/>
        <v>97.826619999999991</v>
      </c>
      <c r="P162" s="24">
        <v>225.00581</v>
      </c>
      <c r="Q162">
        <v>79</v>
      </c>
      <c r="R162" s="19">
        <v>99.397800000000004</v>
      </c>
      <c r="S162" s="4">
        <f t="shared" si="12"/>
        <v>99.321980000000011</v>
      </c>
      <c r="W162" s="22">
        <v>250.00202999999999</v>
      </c>
      <c r="X162">
        <v>79</v>
      </c>
      <c r="Y162" s="23">
        <v>91.012730000000005</v>
      </c>
      <c r="Z162" s="4">
        <f t="shared" si="13"/>
        <v>96.45356000000001</v>
      </c>
      <c r="AD162" s="24">
        <v>250.01859999999999</v>
      </c>
      <c r="AE162">
        <v>79</v>
      </c>
      <c r="AF162" s="25">
        <v>97.895650000000003</v>
      </c>
      <c r="AG162" s="4">
        <f t="shared" si="14"/>
        <v>98.157139999999998</v>
      </c>
    </row>
    <row r="163" spans="2:33" x14ac:dyDescent="0.15">
      <c r="B163" s="22">
        <v>200.29198</v>
      </c>
      <c r="C163">
        <v>79.5</v>
      </c>
      <c r="D163" s="23">
        <v>99.519829999999999</v>
      </c>
      <c r="E163" s="4">
        <f t="shared" si="10"/>
        <v>100.64627</v>
      </c>
      <c r="I163" s="22">
        <v>225.00790000000001</v>
      </c>
      <c r="J163">
        <v>79.5</v>
      </c>
      <c r="K163" s="23">
        <v>94.252250000000004</v>
      </c>
      <c r="L163" s="4">
        <f t="shared" si="11"/>
        <v>97.839320000000001</v>
      </c>
      <c r="P163" s="24">
        <v>225.00737000000001</v>
      </c>
      <c r="Q163">
        <v>79.5</v>
      </c>
      <c r="R163" s="25">
        <v>99.3566</v>
      </c>
      <c r="S163" s="4">
        <f t="shared" si="12"/>
        <v>99.280780000000007</v>
      </c>
      <c r="W163" s="22">
        <v>250.00398999999999</v>
      </c>
      <c r="X163">
        <v>79.5</v>
      </c>
      <c r="Y163" s="4">
        <v>90.97063</v>
      </c>
      <c r="Z163" s="4">
        <f t="shared" si="13"/>
        <v>96.411460000000005</v>
      </c>
      <c r="AD163" s="24">
        <v>250.02278000000001</v>
      </c>
      <c r="AE163">
        <v>79.5</v>
      </c>
      <c r="AF163" s="19">
        <v>97.86591</v>
      </c>
      <c r="AG163" s="4">
        <f t="shared" si="14"/>
        <v>98.127399999999994</v>
      </c>
    </row>
    <row r="164" spans="2:33" x14ac:dyDescent="0.15">
      <c r="B164" s="22">
        <v>200.31068999999999</v>
      </c>
      <c r="C164">
        <v>80</v>
      </c>
      <c r="D164" s="4">
        <v>99.318209999999993</v>
      </c>
      <c r="E164" s="4">
        <f t="shared" si="10"/>
        <v>100.44465</v>
      </c>
      <c r="I164" s="22">
        <v>225.00592</v>
      </c>
      <c r="J164">
        <v>80</v>
      </c>
      <c r="K164" s="4">
        <v>94.201239999999999</v>
      </c>
      <c r="L164" s="4">
        <f t="shared" si="11"/>
        <v>97.788309999999996</v>
      </c>
      <c r="P164" s="24">
        <v>225.00773000000001</v>
      </c>
      <c r="Q164">
        <v>80</v>
      </c>
      <c r="R164" s="19">
        <v>99.412239999999997</v>
      </c>
      <c r="S164" s="4">
        <f t="shared" si="12"/>
        <v>99.336420000000004</v>
      </c>
      <c r="W164" s="22">
        <v>249.99803</v>
      </c>
      <c r="X164">
        <v>80</v>
      </c>
      <c r="Y164" s="23">
        <v>90.953609999999998</v>
      </c>
      <c r="Z164" s="4">
        <f t="shared" si="13"/>
        <v>96.394440000000003</v>
      </c>
      <c r="AD164" s="24">
        <v>250.02293</v>
      </c>
      <c r="AE164">
        <v>80</v>
      </c>
      <c r="AF164" s="25">
        <v>97.857230000000001</v>
      </c>
      <c r="AG164" s="4">
        <f t="shared" si="14"/>
        <v>98.118719999999996</v>
      </c>
    </row>
    <row r="165" spans="2:33" x14ac:dyDescent="0.15">
      <c r="B165" s="22">
        <v>200.27090999999999</v>
      </c>
      <c r="C165">
        <v>80.5</v>
      </c>
      <c r="D165" s="23">
        <v>99.379199999999997</v>
      </c>
      <c r="E165" s="4">
        <f t="shared" si="10"/>
        <v>100.50564</v>
      </c>
      <c r="I165" s="22">
        <v>225.00800000000001</v>
      </c>
      <c r="J165">
        <v>80.5</v>
      </c>
      <c r="K165" s="23">
        <v>94.208470000000005</v>
      </c>
      <c r="L165" s="4">
        <f t="shared" si="11"/>
        <v>97.795540000000003</v>
      </c>
      <c r="P165" s="24">
        <v>225.00855999999999</v>
      </c>
      <c r="Q165">
        <v>80.5</v>
      </c>
      <c r="R165" s="25">
        <v>99.368610000000004</v>
      </c>
      <c r="S165" s="4">
        <f t="shared" si="12"/>
        <v>99.292790000000011</v>
      </c>
      <c r="W165" s="22">
        <v>250.00602000000001</v>
      </c>
      <c r="X165">
        <v>80.5</v>
      </c>
      <c r="Y165" s="4">
        <v>90.918809999999993</v>
      </c>
      <c r="Z165" s="4">
        <f t="shared" si="13"/>
        <v>96.359639999999999</v>
      </c>
      <c r="AD165" s="24">
        <v>250.02610999999999</v>
      </c>
      <c r="AE165">
        <v>80.5</v>
      </c>
      <c r="AF165" s="19">
        <v>97.806150000000002</v>
      </c>
      <c r="AG165" s="4">
        <f t="shared" si="14"/>
        <v>98.067639999999997</v>
      </c>
    </row>
    <row r="166" spans="2:33" x14ac:dyDescent="0.15">
      <c r="B166" s="22">
        <v>200.20401000000001</v>
      </c>
      <c r="C166">
        <v>81</v>
      </c>
      <c r="D166" s="4">
        <v>99.306650000000005</v>
      </c>
      <c r="E166" s="4">
        <f t="shared" si="10"/>
        <v>100.43309000000001</v>
      </c>
      <c r="I166" s="22">
        <v>225.00710000000001</v>
      </c>
      <c r="J166">
        <v>81</v>
      </c>
      <c r="K166" s="4">
        <v>94.184740000000005</v>
      </c>
      <c r="L166" s="4">
        <f t="shared" si="11"/>
        <v>97.771810000000002</v>
      </c>
      <c r="P166" s="24">
        <v>225.00924000000001</v>
      </c>
      <c r="Q166">
        <v>81</v>
      </c>
      <c r="R166" s="19">
        <v>99.372820000000004</v>
      </c>
      <c r="S166" s="4">
        <f t="shared" si="12"/>
        <v>99.297000000000011</v>
      </c>
      <c r="W166" s="22">
        <v>250.005</v>
      </c>
      <c r="X166">
        <v>81</v>
      </c>
      <c r="Y166" s="23">
        <v>90.903279999999995</v>
      </c>
      <c r="Z166" s="4">
        <f t="shared" si="13"/>
        <v>96.344110000000001</v>
      </c>
      <c r="AD166" s="24">
        <v>250.02328</v>
      </c>
      <c r="AE166">
        <v>81</v>
      </c>
      <c r="AF166" s="25">
        <v>97.883480000000006</v>
      </c>
      <c r="AG166" s="4">
        <f t="shared" si="14"/>
        <v>98.144970000000001</v>
      </c>
    </row>
    <row r="167" spans="2:33" x14ac:dyDescent="0.15">
      <c r="B167" s="22">
        <v>200.13284999999999</v>
      </c>
      <c r="C167">
        <v>81.5</v>
      </c>
      <c r="D167" s="23">
        <v>99.276110000000003</v>
      </c>
      <c r="E167" s="4">
        <f t="shared" si="10"/>
        <v>100.40255000000001</v>
      </c>
      <c r="I167" s="22">
        <v>225.00495000000001</v>
      </c>
      <c r="J167">
        <v>81.5</v>
      </c>
      <c r="K167" s="23">
        <v>94.164519999999996</v>
      </c>
      <c r="L167" s="4">
        <f t="shared" si="11"/>
        <v>97.751589999999993</v>
      </c>
      <c r="P167" s="24">
        <v>225.00698</v>
      </c>
      <c r="Q167">
        <v>81.5</v>
      </c>
      <c r="R167" s="25">
        <v>99.382350000000002</v>
      </c>
      <c r="S167" s="4">
        <f t="shared" si="12"/>
        <v>99.306530000000009</v>
      </c>
      <c r="W167" s="22">
        <v>250.00404</v>
      </c>
      <c r="X167">
        <v>81.5</v>
      </c>
      <c r="Y167" s="4">
        <v>90.888319999999993</v>
      </c>
      <c r="Z167" s="4">
        <f t="shared" si="13"/>
        <v>96.329149999999998</v>
      </c>
      <c r="AD167" s="24">
        <v>250.02017000000001</v>
      </c>
      <c r="AE167">
        <v>81.5</v>
      </c>
      <c r="AF167" s="19">
        <v>97.703680000000006</v>
      </c>
      <c r="AG167" s="4">
        <f t="shared" si="14"/>
        <v>97.965170000000001</v>
      </c>
    </row>
    <row r="168" spans="2:33" x14ac:dyDescent="0.15">
      <c r="B168" s="22">
        <v>200.07400000000001</v>
      </c>
      <c r="C168">
        <v>82</v>
      </c>
      <c r="D168" s="4">
        <v>99.393659999999997</v>
      </c>
      <c r="E168" s="4">
        <f t="shared" si="10"/>
        <v>100.5201</v>
      </c>
      <c r="I168" s="22">
        <v>225.00711000000001</v>
      </c>
      <c r="J168">
        <v>82</v>
      </c>
      <c r="K168" s="4">
        <v>94.143109999999993</v>
      </c>
      <c r="L168" s="4">
        <f t="shared" si="11"/>
        <v>97.73017999999999</v>
      </c>
      <c r="P168" s="24">
        <v>225.00742</v>
      </c>
      <c r="Q168">
        <v>82</v>
      </c>
      <c r="R168" s="19">
        <v>99.48357</v>
      </c>
      <c r="S168" s="4">
        <f t="shared" si="12"/>
        <v>99.407750000000007</v>
      </c>
      <c r="W168" s="22">
        <v>250.00601</v>
      </c>
      <c r="X168">
        <v>82</v>
      </c>
      <c r="Y168" s="23">
        <v>90.863169999999997</v>
      </c>
      <c r="Z168" s="4">
        <f t="shared" si="13"/>
        <v>96.304000000000002</v>
      </c>
      <c r="AD168" s="24">
        <v>250.01618999999999</v>
      </c>
      <c r="AE168">
        <v>82</v>
      </c>
      <c r="AF168" s="25">
        <v>97.846990000000005</v>
      </c>
      <c r="AG168" s="4">
        <f t="shared" si="14"/>
        <v>98.10848</v>
      </c>
    </row>
    <row r="169" spans="2:33" x14ac:dyDescent="0.15">
      <c r="B169" s="22">
        <v>200.03972999999999</v>
      </c>
      <c r="C169">
        <v>82.5</v>
      </c>
      <c r="D169" s="23">
        <v>99.391720000000007</v>
      </c>
      <c r="E169" s="4">
        <f t="shared" si="10"/>
        <v>100.51816000000001</v>
      </c>
      <c r="I169" s="22">
        <v>225.00585000000001</v>
      </c>
      <c r="J169">
        <v>82.5</v>
      </c>
      <c r="K169" s="23">
        <v>94.117270000000005</v>
      </c>
      <c r="L169" s="4">
        <f t="shared" si="11"/>
        <v>97.704340000000002</v>
      </c>
      <c r="P169" s="24">
        <v>225.0154</v>
      </c>
      <c r="Q169">
        <v>82.5</v>
      </c>
      <c r="R169" s="25">
        <v>99.416759999999996</v>
      </c>
      <c r="S169" s="4">
        <f t="shared" si="12"/>
        <v>99.340940000000003</v>
      </c>
      <c r="W169" s="22">
        <v>250.00103999999999</v>
      </c>
      <c r="X169">
        <v>82.5</v>
      </c>
      <c r="Y169" s="4">
        <v>90.832459999999998</v>
      </c>
      <c r="Z169" s="4">
        <f t="shared" si="13"/>
        <v>96.273290000000003</v>
      </c>
      <c r="AD169" s="24">
        <v>250.01562999999999</v>
      </c>
      <c r="AE169">
        <v>82.5</v>
      </c>
      <c r="AF169" s="19">
        <v>97.908760000000001</v>
      </c>
      <c r="AG169" s="4">
        <f t="shared" si="14"/>
        <v>98.170249999999996</v>
      </c>
    </row>
    <row r="170" spans="2:33" x14ac:dyDescent="0.15">
      <c r="B170" s="22">
        <v>200.03227999999999</v>
      </c>
      <c r="C170">
        <v>83</v>
      </c>
      <c r="D170" s="4">
        <v>99.32647</v>
      </c>
      <c r="E170" s="4">
        <f t="shared" si="10"/>
        <v>100.45291</v>
      </c>
      <c r="I170" s="22">
        <v>225.00701000000001</v>
      </c>
      <c r="J170">
        <v>83</v>
      </c>
      <c r="K170" s="4">
        <v>94.104470000000006</v>
      </c>
      <c r="L170" s="4">
        <f t="shared" si="11"/>
        <v>97.691540000000003</v>
      </c>
      <c r="P170" s="24">
        <v>225.01992999999999</v>
      </c>
      <c r="Q170">
        <v>83</v>
      </c>
      <c r="R170" s="19">
        <v>99.383600000000001</v>
      </c>
      <c r="S170" s="4">
        <f t="shared" si="12"/>
        <v>99.307780000000008</v>
      </c>
      <c r="W170" s="22">
        <v>250.00701000000001</v>
      </c>
      <c r="X170">
        <v>83</v>
      </c>
      <c r="Y170" s="23">
        <v>90.805499999999995</v>
      </c>
      <c r="Z170" s="4">
        <f t="shared" si="13"/>
        <v>96.24633</v>
      </c>
      <c r="AD170" s="24">
        <v>250.01533000000001</v>
      </c>
      <c r="AE170">
        <v>83</v>
      </c>
      <c r="AF170" s="25">
        <v>97.755020000000002</v>
      </c>
      <c r="AG170" s="4">
        <f t="shared" si="14"/>
        <v>98.016509999999997</v>
      </c>
    </row>
    <row r="171" spans="2:33" x14ac:dyDescent="0.15">
      <c r="B171" s="22">
        <v>200.03933000000001</v>
      </c>
      <c r="C171">
        <v>83.5</v>
      </c>
      <c r="D171" s="23">
        <v>99.477720000000005</v>
      </c>
      <c r="E171" s="4">
        <f t="shared" si="10"/>
        <v>100.60416000000001</v>
      </c>
      <c r="I171" s="22">
        <v>225.00697</v>
      </c>
      <c r="J171">
        <v>83.5</v>
      </c>
      <c r="K171" s="23">
        <v>94.084040000000002</v>
      </c>
      <c r="L171" s="4">
        <f t="shared" si="11"/>
        <v>97.671109999999999</v>
      </c>
      <c r="P171" s="24">
        <v>225.02193</v>
      </c>
      <c r="Q171">
        <v>83.5</v>
      </c>
      <c r="R171" s="25">
        <v>99.487759999999994</v>
      </c>
      <c r="S171" s="4">
        <f t="shared" si="12"/>
        <v>99.411940000000001</v>
      </c>
      <c r="W171" s="22">
        <v>250.00796</v>
      </c>
      <c r="X171">
        <v>83.5</v>
      </c>
      <c r="Y171" s="4">
        <v>90.79983</v>
      </c>
      <c r="Z171" s="4">
        <f t="shared" si="13"/>
        <v>96.240660000000005</v>
      </c>
      <c r="AD171" s="24">
        <v>250.01670999999999</v>
      </c>
      <c r="AE171">
        <v>83.5</v>
      </c>
      <c r="AF171" s="19">
        <v>97.79889</v>
      </c>
      <c r="AG171" s="4">
        <f t="shared" si="14"/>
        <v>98.060379999999995</v>
      </c>
    </row>
    <row r="172" spans="2:33" x14ac:dyDescent="0.15">
      <c r="B172" s="22">
        <v>200.05081999999999</v>
      </c>
      <c r="C172">
        <v>84</v>
      </c>
      <c r="D172" s="4">
        <v>99.255200000000002</v>
      </c>
      <c r="E172" s="4">
        <f t="shared" si="10"/>
        <v>100.38164</v>
      </c>
      <c r="I172" s="22">
        <v>225.00416000000001</v>
      </c>
      <c r="J172">
        <v>84</v>
      </c>
      <c r="K172" s="4">
        <v>94.065730000000002</v>
      </c>
      <c r="L172" s="4">
        <f t="shared" si="11"/>
        <v>97.652799999999999</v>
      </c>
      <c r="P172" s="24">
        <v>225.02424999999999</v>
      </c>
      <c r="Q172">
        <v>84</v>
      </c>
      <c r="R172" s="19">
        <v>99.438919999999996</v>
      </c>
      <c r="S172" s="4">
        <f t="shared" si="12"/>
        <v>99.363100000000003</v>
      </c>
      <c r="W172" s="22">
        <v>249.999</v>
      </c>
      <c r="X172">
        <v>84</v>
      </c>
      <c r="Y172" s="23">
        <v>90.786680000000004</v>
      </c>
      <c r="Z172" s="4">
        <f t="shared" si="13"/>
        <v>96.227510000000009</v>
      </c>
      <c r="AD172" s="24">
        <v>250.01784000000001</v>
      </c>
      <c r="AE172">
        <v>84</v>
      </c>
      <c r="AF172" s="25">
        <v>97.755009999999999</v>
      </c>
      <c r="AG172" s="4">
        <f t="shared" si="14"/>
        <v>98.016499999999994</v>
      </c>
    </row>
    <row r="173" spans="2:33" x14ac:dyDescent="0.15">
      <c r="B173" s="22">
        <v>200.06577999999999</v>
      </c>
      <c r="C173">
        <v>84.5</v>
      </c>
      <c r="D173" s="23">
        <v>99.345849999999999</v>
      </c>
      <c r="E173" s="4">
        <f t="shared" si="10"/>
        <v>100.47229</v>
      </c>
      <c r="I173" s="22">
        <v>225.00497999999999</v>
      </c>
      <c r="J173">
        <v>84.5</v>
      </c>
      <c r="K173" s="23">
        <v>94.058329999999998</v>
      </c>
      <c r="L173" s="4">
        <f t="shared" si="11"/>
        <v>97.645399999999995</v>
      </c>
      <c r="P173" s="24">
        <v>225.02626000000001</v>
      </c>
      <c r="Q173">
        <v>84.5</v>
      </c>
      <c r="R173" s="25">
        <v>99.331019999999995</v>
      </c>
      <c r="S173" s="4">
        <f t="shared" si="12"/>
        <v>99.255200000000002</v>
      </c>
      <c r="W173" s="22">
        <v>249.995</v>
      </c>
      <c r="X173">
        <v>84.5</v>
      </c>
      <c r="Y173" s="4">
        <v>90.753799999999998</v>
      </c>
      <c r="Z173" s="4">
        <f t="shared" si="13"/>
        <v>96.194630000000004</v>
      </c>
      <c r="AD173" s="24">
        <v>250.01732000000001</v>
      </c>
      <c r="AE173">
        <v>84.5</v>
      </c>
      <c r="AF173" s="19">
        <v>97.701629999999994</v>
      </c>
      <c r="AG173" s="4">
        <f t="shared" si="14"/>
        <v>97.963119999999989</v>
      </c>
    </row>
    <row r="174" spans="2:33" x14ac:dyDescent="0.15">
      <c r="B174" s="22">
        <v>200.07711</v>
      </c>
      <c r="C174">
        <v>85</v>
      </c>
      <c r="D174" s="4">
        <v>99.225099999999998</v>
      </c>
      <c r="E174" s="4">
        <f t="shared" si="10"/>
        <v>100.35154</v>
      </c>
      <c r="I174" s="22">
        <v>225.00308999999999</v>
      </c>
      <c r="J174">
        <v>85</v>
      </c>
      <c r="K174" s="4">
        <v>94.054670000000002</v>
      </c>
      <c r="L174" s="4">
        <f t="shared" si="11"/>
        <v>97.641739999999999</v>
      </c>
      <c r="P174" s="24">
        <v>225.02367000000001</v>
      </c>
      <c r="Q174">
        <v>85</v>
      </c>
      <c r="R174" s="19">
        <v>99.385329999999996</v>
      </c>
      <c r="S174" s="4">
        <f t="shared" si="12"/>
        <v>99.309510000000003</v>
      </c>
      <c r="W174" s="22">
        <v>249.99797000000001</v>
      </c>
      <c r="X174">
        <v>85</v>
      </c>
      <c r="Y174" s="23">
        <v>90.713560000000001</v>
      </c>
      <c r="Z174" s="4">
        <f t="shared" si="13"/>
        <v>96.154390000000006</v>
      </c>
      <c r="AD174" s="24">
        <v>250.01704000000001</v>
      </c>
      <c r="AE174">
        <v>85</v>
      </c>
      <c r="AF174" s="25">
        <v>97.732399999999998</v>
      </c>
      <c r="AG174" s="4">
        <f t="shared" si="14"/>
        <v>97.993889999999993</v>
      </c>
    </row>
    <row r="175" spans="2:33" x14ac:dyDescent="0.15">
      <c r="B175" s="22">
        <v>200.08485999999999</v>
      </c>
      <c r="C175">
        <v>85.5</v>
      </c>
      <c r="D175" s="23">
        <v>99.356669999999994</v>
      </c>
      <c r="E175" s="4">
        <f t="shared" si="10"/>
        <v>100.48311</v>
      </c>
      <c r="I175" s="22">
        <v>225.00196</v>
      </c>
      <c r="J175">
        <v>85.5</v>
      </c>
      <c r="K175" s="23">
        <v>94.033050000000003</v>
      </c>
      <c r="L175" s="4">
        <f t="shared" si="11"/>
        <v>97.62012</v>
      </c>
      <c r="P175" s="24">
        <v>225.02049</v>
      </c>
      <c r="Q175">
        <v>85.5</v>
      </c>
      <c r="R175" s="25">
        <v>99.359639999999999</v>
      </c>
      <c r="S175" s="4">
        <f t="shared" si="12"/>
        <v>99.283820000000006</v>
      </c>
      <c r="W175" s="22">
        <v>250.00303</v>
      </c>
      <c r="X175">
        <v>85.5</v>
      </c>
      <c r="Y175" s="4">
        <v>90.713639999999998</v>
      </c>
      <c r="Z175" s="4">
        <f t="shared" si="13"/>
        <v>96.154470000000003</v>
      </c>
      <c r="AD175" s="24">
        <v>250.01490999999999</v>
      </c>
      <c r="AE175">
        <v>85.5</v>
      </c>
      <c r="AF175" s="19">
        <v>97.763220000000004</v>
      </c>
      <c r="AG175" s="4">
        <f t="shared" si="14"/>
        <v>98.024709999999999</v>
      </c>
    </row>
    <row r="176" spans="2:33" x14ac:dyDescent="0.15">
      <c r="B176" s="22">
        <v>200.08894000000001</v>
      </c>
      <c r="C176">
        <v>86</v>
      </c>
      <c r="D176" s="4">
        <v>99.451549999999997</v>
      </c>
      <c r="E176" s="4">
        <f t="shared" si="10"/>
        <v>100.57799</v>
      </c>
      <c r="I176" s="22">
        <v>225.00405000000001</v>
      </c>
      <c r="J176">
        <v>86</v>
      </c>
      <c r="K176" s="4">
        <v>94.022040000000004</v>
      </c>
      <c r="L176" s="4">
        <f t="shared" si="11"/>
        <v>97.609110000000001</v>
      </c>
      <c r="P176" s="24">
        <v>225.02280999999999</v>
      </c>
      <c r="Q176">
        <v>86</v>
      </c>
      <c r="R176" s="19">
        <v>99.354089999999999</v>
      </c>
      <c r="S176" s="4">
        <f t="shared" si="12"/>
        <v>99.278270000000006</v>
      </c>
      <c r="W176" s="22">
        <v>250.00301999999999</v>
      </c>
      <c r="X176">
        <v>86</v>
      </c>
      <c r="Y176" s="23">
        <v>90.651920000000004</v>
      </c>
      <c r="Z176" s="4">
        <f t="shared" si="13"/>
        <v>96.092750000000009</v>
      </c>
      <c r="AD176" s="24">
        <v>250.01219</v>
      </c>
      <c r="AE176">
        <v>86</v>
      </c>
      <c r="AF176" s="25">
        <v>97.720730000000003</v>
      </c>
      <c r="AG176" s="4">
        <f t="shared" si="14"/>
        <v>97.982219999999998</v>
      </c>
    </row>
    <row r="177" spans="2:33" x14ac:dyDescent="0.15">
      <c r="B177" s="22">
        <v>200.09338</v>
      </c>
      <c r="C177">
        <v>86.5</v>
      </c>
      <c r="D177" s="23">
        <v>99.343389999999999</v>
      </c>
      <c r="E177" s="4">
        <f t="shared" si="10"/>
        <v>100.46983</v>
      </c>
      <c r="I177" s="22">
        <v>225.00103999999999</v>
      </c>
      <c r="J177">
        <v>86.5</v>
      </c>
      <c r="K177" s="23">
        <v>94.002549999999999</v>
      </c>
      <c r="L177" s="4">
        <f t="shared" si="11"/>
        <v>97.589619999999996</v>
      </c>
      <c r="P177" s="24">
        <v>225.02418</v>
      </c>
      <c r="Q177">
        <v>86.5</v>
      </c>
      <c r="R177" s="25">
        <v>99.502669999999995</v>
      </c>
      <c r="S177" s="4">
        <f t="shared" si="12"/>
        <v>99.426850000000002</v>
      </c>
      <c r="W177" s="22">
        <v>250.00300999999999</v>
      </c>
      <c r="X177">
        <v>86.5</v>
      </c>
      <c r="Y177" s="4">
        <v>90.658069999999995</v>
      </c>
      <c r="Z177" s="4">
        <f t="shared" si="13"/>
        <v>96.0989</v>
      </c>
      <c r="AD177" s="24">
        <v>250.01222999999999</v>
      </c>
      <c r="AE177">
        <v>86.5</v>
      </c>
      <c r="AF177" s="19">
        <v>97.716160000000002</v>
      </c>
      <c r="AG177" s="4">
        <f t="shared" si="14"/>
        <v>97.977649999999997</v>
      </c>
    </row>
    <row r="178" spans="2:33" x14ac:dyDescent="0.15">
      <c r="B178" s="22">
        <v>200.10256000000001</v>
      </c>
      <c r="C178">
        <v>87</v>
      </c>
      <c r="D178" s="4">
        <v>99.352639999999994</v>
      </c>
      <c r="E178" s="4">
        <f t="shared" si="10"/>
        <v>100.47908</v>
      </c>
      <c r="I178" s="22">
        <v>225.00700000000001</v>
      </c>
      <c r="J178">
        <v>87</v>
      </c>
      <c r="K178" s="4">
        <v>93.985569999999996</v>
      </c>
      <c r="L178" s="4">
        <f t="shared" si="11"/>
        <v>97.572639999999993</v>
      </c>
      <c r="P178" s="24">
        <v>225.01836</v>
      </c>
      <c r="Q178">
        <v>87</v>
      </c>
      <c r="R178" s="19">
        <v>99.40204</v>
      </c>
      <c r="S178" s="4">
        <f t="shared" si="12"/>
        <v>99.326220000000006</v>
      </c>
      <c r="W178" s="22">
        <v>250.00599</v>
      </c>
      <c r="X178">
        <v>87</v>
      </c>
      <c r="Y178" s="23">
        <v>90.60436</v>
      </c>
      <c r="Z178" s="4">
        <f t="shared" si="13"/>
        <v>96.045190000000005</v>
      </c>
      <c r="AD178" s="24">
        <v>250.01584</v>
      </c>
      <c r="AE178">
        <v>87</v>
      </c>
      <c r="AF178" s="25">
        <v>97.708560000000006</v>
      </c>
      <c r="AG178" s="4">
        <f t="shared" si="14"/>
        <v>97.970050000000001</v>
      </c>
    </row>
    <row r="179" spans="2:33" x14ac:dyDescent="0.15">
      <c r="B179" s="22">
        <v>200.11194</v>
      </c>
      <c r="C179">
        <v>87.5</v>
      </c>
      <c r="D179" s="23">
        <v>99.329710000000006</v>
      </c>
      <c r="E179" s="4">
        <f t="shared" si="10"/>
        <v>100.45615000000001</v>
      </c>
      <c r="I179" s="22">
        <v>225.00903</v>
      </c>
      <c r="J179">
        <v>87.5</v>
      </c>
      <c r="K179" s="23">
        <v>93.976910000000004</v>
      </c>
      <c r="L179" s="4">
        <f t="shared" si="11"/>
        <v>97.563980000000001</v>
      </c>
      <c r="P179" s="24">
        <v>225.01525000000001</v>
      </c>
      <c r="Q179">
        <v>87.5</v>
      </c>
      <c r="R179" s="25">
        <v>99.421379999999999</v>
      </c>
      <c r="S179" s="4">
        <f t="shared" si="12"/>
        <v>99.345560000000006</v>
      </c>
      <c r="W179" s="22">
        <v>250.00694999999999</v>
      </c>
      <c r="X179">
        <v>87.5</v>
      </c>
      <c r="Y179" s="4">
        <v>90.602459999999994</v>
      </c>
      <c r="Z179" s="4">
        <f t="shared" si="13"/>
        <v>96.043289999999999</v>
      </c>
      <c r="AD179" s="24">
        <v>250.01873000000001</v>
      </c>
      <c r="AE179">
        <v>87.5</v>
      </c>
      <c r="AF179" s="19">
        <v>97.671210000000002</v>
      </c>
      <c r="AG179" s="4">
        <f t="shared" si="14"/>
        <v>97.932699999999997</v>
      </c>
    </row>
    <row r="180" spans="2:33" x14ac:dyDescent="0.15">
      <c r="B180" s="22">
        <v>200.12051</v>
      </c>
      <c r="C180">
        <v>88</v>
      </c>
      <c r="D180" s="4">
        <v>99.400260000000003</v>
      </c>
      <c r="E180" s="4">
        <f t="shared" si="10"/>
        <v>100.52670000000001</v>
      </c>
      <c r="I180" s="22">
        <v>225.00788</v>
      </c>
      <c r="J180">
        <v>88</v>
      </c>
      <c r="K180" s="4">
        <v>93.947649999999996</v>
      </c>
      <c r="L180" s="4">
        <f t="shared" si="11"/>
        <v>97.534719999999993</v>
      </c>
      <c r="P180" s="24">
        <v>225.01794000000001</v>
      </c>
      <c r="Q180">
        <v>88</v>
      </c>
      <c r="R180" s="19">
        <v>99.324579999999997</v>
      </c>
      <c r="S180" s="4">
        <f t="shared" si="12"/>
        <v>99.248760000000004</v>
      </c>
      <c r="W180" s="22">
        <v>250.00998000000001</v>
      </c>
      <c r="X180">
        <v>88</v>
      </c>
      <c r="Y180" s="23">
        <v>90.583299999999994</v>
      </c>
      <c r="Z180" s="4">
        <f t="shared" si="13"/>
        <v>96.02413</v>
      </c>
      <c r="AD180" s="24">
        <v>250.01967999999999</v>
      </c>
      <c r="AE180">
        <v>88</v>
      </c>
      <c r="AF180" s="25">
        <v>97.610399999999998</v>
      </c>
      <c r="AG180" s="4">
        <f t="shared" si="14"/>
        <v>97.871889999999993</v>
      </c>
    </row>
    <row r="181" spans="2:33" x14ac:dyDescent="0.15">
      <c r="B181" s="22">
        <v>200.12656000000001</v>
      </c>
      <c r="C181">
        <v>88.5</v>
      </c>
      <c r="D181" s="23">
        <v>99.387360000000001</v>
      </c>
      <c r="E181" s="4">
        <f t="shared" si="10"/>
        <v>100.5138</v>
      </c>
      <c r="I181" s="22">
        <v>225.00908000000001</v>
      </c>
      <c r="J181">
        <v>88.5</v>
      </c>
      <c r="K181" s="23">
        <v>93.921430000000001</v>
      </c>
      <c r="L181" s="4">
        <f t="shared" si="11"/>
        <v>97.508499999999998</v>
      </c>
      <c r="P181" s="24">
        <v>225.01814999999999</v>
      </c>
      <c r="Q181">
        <v>88.5</v>
      </c>
      <c r="R181" s="25">
        <v>99.413349999999994</v>
      </c>
      <c r="S181" s="4">
        <f t="shared" si="12"/>
        <v>99.337530000000001</v>
      </c>
      <c r="W181" s="22">
        <v>250.00693999999999</v>
      </c>
      <c r="X181">
        <v>88.5</v>
      </c>
      <c r="Y181" s="4">
        <v>90.5565</v>
      </c>
      <c r="Z181" s="4">
        <f t="shared" si="13"/>
        <v>95.997330000000005</v>
      </c>
      <c r="AD181" s="24">
        <v>250.02003999999999</v>
      </c>
      <c r="AE181">
        <v>88.5</v>
      </c>
      <c r="AF181" s="19">
        <v>97.650829999999999</v>
      </c>
      <c r="AG181" s="4">
        <f t="shared" si="14"/>
        <v>97.912319999999994</v>
      </c>
    </row>
    <row r="182" spans="2:33" x14ac:dyDescent="0.15">
      <c r="B182" s="22">
        <v>200.13069999999999</v>
      </c>
      <c r="C182">
        <v>89</v>
      </c>
      <c r="D182" s="4">
        <v>99.41619</v>
      </c>
      <c r="E182" s="4">
        <f t="shared" si="10"/>
        <v>100.54263</v>
      </c>
      <c r="I182" s="22">
        <v>225.00595999999999</v>
      </c>
      <c r="J182">
        <v>89</v>
      </c>
      <c r="K182" s="4">
        <v>93.903270000000006</v>
      </c>
      <c r="L182" s="4">
        <f t="shared" si="11"/>
        <v>97.490340000000003</v>
      </c>
      <c r="P182" s="24">
        <v>225.02136999999999</v>
      </c>
      <c r="Q182">
        <v>89</v>
      </c>
      <c r="R182" s="19">
        <v>99.350009999999997</v>
      </c>
      <c r="S182" s="4">
        <f t="shared" si="12"/>
        <v>99.274190000000004</v>
      </c>
      <c r="W182" s="22">
        <v>250.00393</v>
      </c>
      <c r="X182">
        <v>89</v>
      </c>
      <c r="Y182" s="23">
        <v>90.531580000000005</v>
      </c>
      <c r="Z182" s="4">
        <f t="shared" si="13"/>
        <v>95.972410000000011</v>
      </c>
      <c r="AD182" s="24">
        <v>250.02225999999999</v>
      </c>
      <c r="AE182">
        <v>89</v>
      </c>
      <c r="AF182" s="25">
        <v>97.580629999999999</v>
      </c>
      <c r="AG182" s="4">
        <f t="shared" si="14"/>
        <v>97.842119999999994</v>
      </c>
    </row>
    <row r="183" spans="2:33" x14ac:dyDescent="0.15">
      <c r="B183" s="22">
        <v>200.13312999999999</v>
      </c>
      <c r="C183">
        <v>89.5</v>
      </c>
      <c r="D183" s="23">
        <v>99.441800000000001</v>
      </c>
      <c r="E183" s="4">
        <f t="shared" si="10"/>
        <v>100.56824</v>
      </c>
      <c r="I183" s="22">
        <v>225.00803999999999</v>
      </c>
      <c r="J183">
        <v>89.5</v>
      </c>
      <c r="K183" s="23">
        <v>93.886740000000003</v>
      </c>
      <c r="L183" s="4">
        <f t="shared" si="11"/>
        <v>97.47381</v>
      </c>
      <c r="P183" s="24">
        <v>225.02199999999999</v>
      </c>
      <c r="Q183">
        <v>89.5</v>
      </c>
      <c r="R183" s="25">
        <v>99.318600000000004</v>
      </c>
      <c r="S183" s="4">
        <f t="shared" si="12"/>
        <v>99.24278000000001</v>
      </c>
      <c r="W183" s="22">
        <v>250.00699</v>
      </c>
      <c r="X183">
        <v>89.5</v>
      </c>
      <c r="Y183" s="4">
        <v>90.543040000000005</v>
      </c>
      <c r="Z183" s="4">
        <f t="shared" si="13"/>
        <v>95.98387000000001</v>
      </c>
      <c r="AD183" s="24">
        <v>250.02553</v>
      </c>
      <c r="AE183">
        <v>89.5</v>
      </c>
      <c r="AF183" s="19">
        <v>97.624970000000005</v>
      </c>
      <c r="AG183" s="4">
        <f t="shared" si="14"/>
        <v>97.88646</v>
      </c>
    </row>
    <row r="184" spans="2:33" x14ac:dyDescent="0.15">
      <c r="B184" s="22">
        <v>200.13305</v>
      </c>
      <c r="C184">
        <v>90</v>
      </c>
      <c r="D184" s="4">
        <v>99.332939999999994</v>
      </c>
      <c r="E184" s="4">
        <f t="shared" si="10"/>
        <v>100.45938</v>
      </c>
      <c r="I184" s="22">
        <v>225.00701000000001</v>
      </c>
      <c r="J184">
        <v>90</v>
      </c>
      <c r="K184" s="4">
        <v>93.862960000000001</v>
      </c>
      <c r="L184" s="4">
        <f t="shared" si="11"/>
        <v>97.450029999999998</v>
      </c>
      <c r="P184" s="24">
        <v>225.02008000000001</v>
      </c>
      <c r="Q184">
        <v>90</v>
      </c>
      <c r="R184" s="19">
        <v>99.305350000000004</v>
      </c>
      <c r="S184" s="4">
        <f t="shared" si="12"/>
        <v>99.229530000000011</v>
      </c>
      <c r="W184" s="22">
        <v>250.00596999999999</v>
      </c>
      <c r="X184">
        <v>90</v>
      </c>
      <c r="Y184" s="23">
        <v>90.498829999999998</v>
      </c>
      <c r="Z184" s="4">
        <f t="shared" si="13"/>
        <v>95.939660000000003</v>
      </c>
      <c r="AD184" s="24">
        <v>250.02367000000001</v>
      </c>
      <c r="AE184">
        <v>90</v>
      </c>
      <c r="AF184" s="25">
        <v>97.668130000000005</v>
      </c>
      <c r="AG184" s="4">
        <f t="shared" si="14"/>
        <v>97.92962</v>
      </c>
    </row>
    <row r="185" spans="2:33" x14ac:dyDescent="0.15">
      <c r="B185" s="22">
        <v>200.13570999999999</v>
      </c>
      <c r="C185">
        <v>90.5</v>
      </c>
      <c r="D185" s="23">
        <v>99.339359999999999</v>
      </c>
      <c r="E185" s="4">
        <f t="shared" si="10"/>
        <v>100.4658</v>
      </c>
      <c r="I185" s="22">
        <v>225.00503</v>
      </c>
      <c r="J185">
        <v>90.5</v>
      </c>
      <c r="K185" s="23">
        <v>93.850279999999998</v>
      </c>
      <c r="L185" s="4">
        <f t="shared" si="11"/>
        <v>97.437349999999995</v>
      </c>
      <c r="P185" s="24">
        <v>225.01965000000001</v>
      </c>
      <c r="Q185">
        <v>90.5</v>
      </c>
      <c r="R185" s="25">
        <v>99.242750000000001</v>
      </c>
      <c r="S185" s="4">
        <f t="shared" si="12"/>
        <v>99.166930000000008</v>
      </c>
      <c r="W185" s="22">
        <v>250.00199000000001</v>
      </c>
      <c r="X185">
        <v>90.5</v>
      </c>
      <c r="Y185" s="4">
        <v>90.473939999999999</v>
      </c>
      <c r="Z185" s="4">
        <f t="shared" si="13"/>
        <v>95.914770000000004</v>
      </c>
      <c r="AD185" s="24">
        <v>250.02158</v>
      </c>
      <c r="AE185">
        <v>90.5</v>
      </c>
      <c r="AF185" s="19">
        <v>97.524969999999996</v>
      </c>
      <c r="AG185" s="4">
        <f t="shared" si="14"/>
        <v>97.786459999999991</v>
      </c>
    </row>
    <row r="186" spans="2:33" x14ac:dyDescent="0.15">
      <c r="B186" s="22">
        <v>200.13591</v>
      </c>
      <c r="C186">
        <v>91</v>
      </c>
      <c r="D186" s="4">
        <v>99.329700000000003</v>
      </c>
      <c r="E186" s="4">
        <f t="shared" si="10"/>
        <v>100.45614</v>
      </c>
      <c r="I186" s="22">
        <v>225.00794999999999</v>
      </c>
      <c r="J186">
        <v>91</v>
      </c>
      <c r="K186" s="4">
        <v>93.843260000000001</v>
      </c>
      <c r="L186" s="4">
        <f t="shared" si="11"/>
        <v>97.430329999999998</v>
      </c>
      <c r="P186" s="24">
        <v>225.0188</v>
      </c>
      <c r="Q186">
        <v>91</v>
      </c>
      <c r="R186" s="19">
        <v>99.202079999999995</v>
      </c>
      <c r="S186" s="4">
        <f t="shared" si="12"/>
        <v>99.126260000000002</v>
      </c>
      <c r="W186" s="22">
        <v>250.00597999999999</v>
      </c>
      <c r="X186">
        <v>91</v>
      </c>
      <c r="Y186" s="23">
        <v>90.454800000000006</v>
      </c>
      <c r="Z186" s="4">
        <f t="shared" si="13"/>
        <v>95.895630000000011</v>
      </c>
      <c r="AD186" s="24">
        <v>250.02095</v>
      </c>
      <c r="AE186">
        <v>91</v>
      </c>
      <c r="AF186" s="25">
        <v>97.541380000000004</v>
      </c>
      <c r="AG186" s="4">
        <f t="shared" si="14"/>
        <v>97.802869999999999</v>
      </c>
    </row>
    <row r="187" spans="2:33" x14ac:dyDescent="0.15">
      <c r="B187" s="22">
        <v>200.13065</v>
      </c>
      <c r="C187">
        <v>91.5</v>
      </c>
      <c r="D187" s="23">
        <v>99.392880000000005</v>
      </c>
      <c r="E187" s="4">
        <f t="shared" si="10"/>
        <v>100.51932000000001</v>
      </c>
      <c r="I187" s="22">
        <v>225.00989999999999</v>
      </c>
      <c r="J187">
        <v>91.5</v>
      </c>
      <c r="K187" s="23">
        <v>93.819580000000002</v>
      </c>
      <c r="L187" s="4">
        <f t="shared" si="11"/>
        <v>97.406649999999999</v>
      </c>
      <c r="P187" s="24">
        <v>225.01866999999999</v>
      </c>
      <c r="Q187">
        <v>91.5</v>
      </c>
      <c r="R187" s="25">
        <v>99.316400000000002</v>
      </c>
      <c r="S187" s="4">
        <f t="shared" si="12"/>
        <v>99.240580000000008</v>
      </c>
      <c r="W187" s="22">
        <v>250.00202999999999</v>
      </c>
      <c r="X187">
        <v>91.5</v>
      </c>
      <c r="Y187" s="4">
        <v>90.429879999999997</v>
      </c>
      <c r="Z187" s="4">
        <f t="shared" si="13"/>
        <v>95.870710000000003</v>
      </c>
      <c r="AD187" s="24">
        <v>250.01711</v>
      </c>
      <c r="AE187">
        <v>91.5</v>
      </c>
      <c r="AF187" s="19">
        <v>97.519270000000006</v>
      </c>
      <c r="AG187" s="4">
        <f t="shared" si="14"/>
        <v>97.780760000000001</v>
      </c>
    </row>
    <row r="188" spans="2:33" x14ac:dyDescent="0.15">
      <c r="B188" s="22">
        <v>200.11534</v>
      </c>
      <c r="C188">
        <v>92</v>
      </c>
      <c r="D188" s="4">
        <v>99.352980000000002</v>
      </c>
      <c r="E188" s="4">
        <f t="shared" si="10"/>
        <v>100.47942</v>
      </c>
      <c r="I188" s="22">
        <v>225.00511</v>
      </c>
      <c r="J188">
        <v>92</v>
      </c>
      <c r="K188" s="4">
        <v>93.819339999999997</v>
      </c>
      <c r="L188" s="4">
        <f t="shared" si="11"/>
        <v>97.406409999999994</v>
      </c>
      <c r="P188" s="24">
        <v>225.01495</v>
      </c>
      <c r="Q188">
        <v>92</v>
      </c>
      <c r="R188" s="19">
        <v>99.314329999999998</v>
      </c>
      <c r="S188" s="4">
        <f t="shared" si="12"/>
        <v>99.238510000000005</v>
      </c>
      <c r="W188" s="22">
        <v>250.00297</v>
      </c>
      <c r="X188">
        <v>92</v>
      </c>
      <c r="Y188" s="23">
        <v>90.41825</v>
      </c>
      <c r="Z188" s="4">
        <f t="shared" si="13"/>
        <v>95.859080000000006</v>
      </c>
      <c r="AD188" s="24">
        <v>250.01420999999999</v>
      </c>
      <c r="AE188">
        <v>92</v>
      </c>
      <c r="AF188" s="25">
        <v>97.594549999999998</v>
      </c>
      <c r="AG188" s="4">
        <f t="shared" si="14"/>
        <v>97.856039999999993</v>
      </c>
    </row>
    <row r="189" spans="2:33" x14ac:dyDescent="0.15">
      <c r="B189" s="22">
        <v>200.10140999999999</v>
      </c>
      <c r="C189">
        <v>92.5</v>
      </c>
      <c r="D189" s="23">
        <v>99.417580000000001</v>
      </c>
      <c r="E189" s="4">
        <f t="shared" si="10"/>
        <v>100.54402</v>
      </c>
      <c r="I189" s="22">
        <v>225.00683000000001</v>
      </c>
      <c r="J189">
        <v>92.5</v>
      </c>
      <c r="K189" s="23">
        <v>93.793660000000003</v>
      </c>
      <c r="L189" s="4">
        <f t="shared" si="11"/>
        <v>97.38073</v>
      </c>
      <c r="P189" s="24">
        <v>225.01474999999999</v>
      </c>
      <c r="Q189">
        <v>92.5</v>
      </c>
      <c r="R189" s="25">
        <v>99.381919999999994</v>
      </c>
      <c r="S189" s="4">
        <f t="shared" si="12"/>
        <v>99.306100000000001</v>
      </c>
      <c r="W189" s="22">
        <v>250.00402</v>
      </c>
      <c r="X189">
        <v>92.5</v>
      </c>
      <c r="Y189" s="4">
        <v>90.395420000000001</v>
      </c>
      <c r="Z189" s="4">
        <f t="shared" si="13"/>
        <v>95.836250000000007</v>
      </c>
      <c r="AD189" s="24">
        <v>250.01275000000001</v>
      </c>
      <c r="AE189">
        <v>92.5</v>
      </c>
      <c r="AF189" s="19">
        <v>97.544399999999996</v>
      </c>
      <c r="AG189" s="4">
        <f t="shared" si="14"/>
        <v>97.805889999999991</v>
      </c>
    </row>
    <row r="190" spans="2:33" x14ac:dyDescent="0.15">
      <c r="B190" s="22">
        <v>200.09157999999999</v>
      </c>
      <c r="C190">
        <v>93</v>
      </c>
      <c r="D190" s="4">
        <v>99.383409999999998</v>
      </c>
      <c r="E190" s="4">
        <f t="shared" si="10"/>
        <v>100.50985</v>
      </c>
      <c r="I190" s="22">
        <v>225.00796</v>
      </c>
      <c r="J190">
        <v>93</v>
      </c>
      <c r="K190" s="4">
        <v>93.76361</v>
      </c>
      <c r="L190" s="4">
        <f t="shared" si="11"/>
        <v>97.350679999999997</v>
      </c>
      <c r="P190" s="24">
        <v>225.01469</v>
      </c>
      <c r="Q190">
        <v>93</v>
      </c>
      <c r="R190" s="19">
        <v>99.419250000000005</v>
      </c>
      <c r="S190" s="4">
        <f t="shared" si="12"/>
        <v>99.343430000000012</v>
      </c>
      <c r="W190" s="22">
        <v>250.00399999999999</v>
      </c>
      <c r="X190">
        <v>93</v>
      </c>
      <c r="Y190" s="23">
        <v>90.378119999999996</v>
      </c>
      <c r="Z190" s="4">
        <f t="shared" si="13"/>
        <v>95.818950000000001</v>
      </c>
      <c r="AD190" s="24">
        <v>250.00980999999999</v>
      </c>
      <c r="AE190">
        <v>93</v>
      </c>
      <c r="AF190" s="25">
        <v>97.462980000000002</v>
      </c>
      <c r="AG190" s="4">
        <f t="shared" si="14"/>
        <v>97.724469999999997</v>
      </c>
    </row>
    <row r="191" spans="2:33" x14ac:dyDescent="0.15">
      <c r="B191" s="22">
        <v>200.09075000000001</v>
      </c>
      <c r="C191">
        <v>93.5</v>
      </c>
      <c r="D191" s="23">
        <v>99.311809999999994</v>
      </c>
      <c r="E191" s="4">
        <f t="shared" si="10"/>
        <v>100.43825</v>
      </c>
      <c r="I191" s="22">
        <v>225.00384</v>
      </c>
      <c r="J191">
        <v>93.5</v>
      </c>
      <c r="K191" s="23">
        <v>93.746279999999999</v>
      </c>
      <c r="L191" s="4">
        <f t="shared" si="11"/>
        <v>97.333349999999996</v>
      </c>
      <c r="P191" s="24">
        <v>225.01559</v>
      </c>
      <c r="Q191">
        <v>93.5</v>
      </c>
      <c r="R191" s="25">
        <v>99.346339999999998</v>
      </c>
      <c r="S191" s="4">
        <f t="shared" si="12"/>
        <v>99.270520000000005</v>
      </c>
      <c r="W191" s="22">
        <v>250.00398000000001</v>
      </c>
      <c r="X191">
        <v>93.5</v>
      </c>
      <c r="Y191" s="4">
        <v>90.337919999999997</v>
      </c>
      <c r="Z191" s="4">
        <f t="shared" si="13"/>
        <v>95.778750000000002</v>
      </c>
      <c r="AD191" s="24">
        <v>250.01273</v>
      </c>
      <c r="AE191">
        <v>93.5</v>
      </c>
      <c r="AF191" s="19">
        <v>97.457499999999996</v>
      </c>
      <c r="AG191" s="4">
        <f t="shared" si="14"/>
        <v>97.718989999999991</v>
      </c>
    </row>
    <row r="192" spans="2:33" x14ac:dyDescent="0.15">
      <c r="B192" s="22">
        <v>200.09372999999999</v>
      </c>
      <c r="C192">
        <v>94</v>
      </c>
      <c r="D192" s="4">
        <v>99.276849999999996</v>
      </c>
      <c r="E192" s="4">
        <f t="shared" si="10"/>
        <v>100.40329</v>
      </c>
      <c r="I192" s="22">
        <v>225.00289000000001</v>
      </c>
      <c r="J192">
        <v>94</v>
      </c>
      <c r="K192" s="4">
        <v>93.753410000000002</v>
      </c>
      <c r="L192" s="4">
        <f t="shared" si="11"/>
        <v>97.340479999999999</v>
      </c>
      <c r="P192" s="24">
        <v>225.01824999999999</v>
      </c>
      <c r="Q192">
        <v>94</v>
      </c>
      <c r="R192" s="19">
        <v>99.310699999999997</v>
      </c>
      <c r="S192" s="4">
        <f t="shared" si="12"/>
        <v>99.234880000000004</v>
      </c>
      <c r="W192" s="22">
        <v>250.00303</v>
      </c>
      <c r="X192">
        <v>94</v>
      </c>
      <c r="Y192" s="23">
        <v>90.307109999999994</v>
      </c>
      <c r="Z192" s="4">
        <f t="shared" si="13"/>
        <v>95.74794</v>
      </c>
      <c r="AD192" s="24">
        <v>250.01130000000001</v>
      </c>
      <c r="AE192">
        <v>94</v>
      </c>
      <c r="AF192" s="25">
        <v>97.455160000000006</v>
      </c>
      <c r="AG192" s="4">
        <f t="shared" si="14"/>
        <v>97.716650000000001</v>
      </c>
    </row>
    <row r="193" spans="2:33" x14ac:dyDescent="0.15">
      <c r="B193" s="22">
        <v>200.09936999999999</v>
      </c>
      <c r="C193">
        <v>94.5</v>
      </c>
      <c r="D193" s="23">
        <v>99.396799999999999</v>
      </c>
      <c r="E193" s="4">
        <f t="shared" si="10"/>
        <v>100.52324</v>
      </c>
      <c r="I193" s="22">
        <v>225.00207</v>
      </c>
      <c r="J193">
        <v>94.5</v>
      </c>
      <c r="K193" s="23">
        <v>93.717110000000005</v>
      </c>
      <c r="L193" s="4">
        <f t="shared" si="11"/>
        <v>97.304180000000002</v>
      </c>
      <c r="P193" s="24">
        <v>225.02182999999999</v>
      </c>
      <c r="Q193">
        <v>94.5</v>
      </c>
      <c r="R193" s="25">
        <v>99.344530000000006</v>
      </c>
      <c r="S193" s="4">
        <f t="shared" si="12"/>
        <v>99.268710000000013</v>
      </c>
      <c r="W193" s="22">
        <v>250.00002000000001</v>
      </c>
      <c r="X193">
        <v>94.5</v>
      </c>
      <c r="Y193" s="4">
        <v>90.282259999999994</v>
      </c>
      <c r="Z193" s="4">
        <f t="shared" si="13"/>
        <v>95.723089999999999</v>
      </c>
      <c r="AD193" s="24">
        <v>250.01400000000001</v>
      </c>
      <c r="AE193">
        <v>94.5</v>
      </c>
      <c r="AF193" s="19">
        <v>97.484539999999996</v>
      </c>
      <c r="AG193" s="4">
        <f t="shared" si="14"/>
        <v>97.74602999999999</v>
      </c>
    </row>
    <row r="194" spans="2:33" x14ac:dyDescent="0.15">
      <c r="B194" s="22">
        <v>200.10396</v>
      </c>
      <c r="C194">
        <v>95</v>
      </c>
      <c r="D194" s="4">
        <v>99.304119999999998</v>
      </c>
      <c r="E194" s="4">
        <f t="shared" si="10"/>
        <v>100.43056</v>
      </c>
      <c r="I194" s="22">
        <v>225.00691</v>
      </c>
      <c r="J194">
        <v>95</v>
      </c>
      <c r="K194" s="4">
        <v>93.727450000000005</v>
      </c>
      <c r="L194" s="4">
        <f t="shared" si="11"/>
        <v>97.314520000000002</v>
      </c>
      <c r="P194" s="24">
        <v>225.02468999999999</v>
      </c>
      <c r="Q194">
        <v>95</v>
      </c>
      <c r="R194" s="19">
        <v>99.259979999999999</v>
      </c>
      <c r="S194" s="4">
        <f t="shared" si="12"/>
        <v>99.184160000000006</v>
      </c>
      <c r="W194" s="22">
        <v>250.00998000000001</v>
      </c>
      <c r="X194">
        <v>95</v>
      </c>
      <c r="Y194" s="23">
        <v>90.265039999999999</v>
      </c>
      <c r="Z194" s="4">
        <f t="shared" si="13"/>
        <v>95.705870000000004</v>
      </c>
      <c r="AD194" s="24">
        <v>250.01694000000001</v>
      </c>
      <c r="AE194">
        <v>95</v>
      </c>
      <c r="AF194" s="25">
        <v>97.429860000000005</v>
      </c>
      <c r="AG194" s="4">
        <f t="shared" si="14"/>
        <v>97.69135</v>
      </c>
    </row>
    <row r="195" spans="2:33" x14ac:dyDescent="0.15">
      <c r="B195" s="22">
        <v>200.11108999999999</v>
      </c>
      <c r="C195">
        <v>95.5</v>
      </c>
      <c r="D195" s="23">
        <v>99.32902</v>
      </c>
      <c r="E195" s="4">
        <f t="shared" si="10"/>
        <v>100.45546</v>
      </c>
      <c r="I195" s="22">
        <v>225.00809000000001</v>
      </c>
      <c r="J195">
        <v>95.5</v>
      </c>
      <c r="K195" s="23">
        <v>93.707790000000003</v>
      </c>
      <c r="L195" s="4">
        <f t="shared" si="11"/>
        <v>97.29486</v>
      </c>
      <c r="P195" s="24">
        <v>225.02216000000001</v>
      </c>
      <c r="Q195">
        <v>95.5</v>
      </c>
      <c r="R195" s="25">
        <v>99.293229999999994</v>
      </c>
      <c r="S195" s="4">
        <f t="shared" si="12"/>
        <v>99.217410000000001</v>
      </c>
      <c r="W195" s="22">
        <v>250.00301999999999</v>
      </c>
      <c r="X195">
        <v>95.5</v>
      </c>
      <c r="Y195" s="4">
        <v>90.247709999999998</v>
      </c>
      <c r="Z195" s="4">
        <f t="shared" si="13"/>
        <v>95.688540000000003</v>
      </c>
      <c r="AD195" s="24">
        <v>250.01778999999999</v>
      </c>
      <c r="AE195">
        <v>95.5</v>
      </c>
      <c r="AF195" s="19">
        <v>97.418580000000006</v>
      </c>
      <c r="AG195" s="4">
        <f t="shared" si="14"/>
        <v>97.680070000000001</v>
      </c>
    </row>
    <row r="196" spans="2:33" x14ac:dyDescent="0.15">
      <c r="B196" s="22">
        <v>200.11355</v>
      </c>
      <c r="C196">
        <v>96</v>
      </c>
      <c r="D196" s="4">
        <v>99.441999999999993</v>
      </c>
      <c r="E196" s="4">
        <f t="shared" si="10"/>
        <v>100.56844</v>
      </c>
      <c r="I196" s="22">
        <v>225.00811999999999</v>
      </c>
      <c r="J196">
        <v>96</v>
      </c>
      <c r="K196" s="4">
        <v>93.690089999999998</v>
      </c>
      <c r="L196" s="4">
        <f t="shared" si="11"/>
        <v>97.277159999999995</v>
      </c>
      <c r="P196" s="24">
        <v>225.01706999999999</v>
      </c>
      <c r="Q196">
        <v>96</v>
      </c>
      <c r="R196" s="19">
        <v>99.295540000000003</v>
      </c>
      <c r="S196" s="4">
        <f t="shared" si="12"/>
        <v>99.219720000000009</v>
      </c>
      <c r="W196" s="22">
        <v>250.00407000000001</v>
      </c>
      <c r="X196">
        <v>96</v>
      </c>
      <c r="Y196" s="23">
        <v>90.213380000000001</v>
      </c>
      <c r="Z196" s="4">
        <f t="shared" si="13"/>
        <v>95.654210000000006</v>
      </c>
      <c r="AD196" s="24">
        <v>250.01749000000001</v>
      </c>
      <c r="AE196">
        <v>96</v>
      </c>
      <c r="AF196" s="25">
        <v>97.283109999999994</v>
      </c>
      <c r="AG196" s="4">
        <f t="shared" si="14"/>
        <v>97.544599999999988</v>
      </c>
    </row>
    <row r="197" spans="2:33" x14ac:dyDescent="0.15">
      <c r="B197" s="22">
        <v>200.1105</v>
      </c>
      <c r="C197">
        <v>96.5</v>
      </c>
      <c r="D197" s="23">
        <v>99.353849999999994</v>
      </c>
      <c r="E197" s="4">
        <f t="shared" ref="E197:E260" si="15">100-($D$4-D197)</f>
        <v>100.48029</v>
      </c>
      <c r="I197" s="22">
        <v>225.00509</v>
      </c>
      <c r="J197">
        <v>96.5</v>
      </c>
      <c r="K197" s="23">
        <v>93.664450000000002</v>
      </c>
      <c r="L197" s="4">
        <f t="shared" ref="L197:L260" si="16">100-($K$4-K197)</f>
        <v>97.251519999999999</v>
      </c>
      <c r="P197" s="24">
        <v>225.01812000000001</v>
      </c>
      <c r="Q197">
        <v>96.5</v>
      </c>
      <c r="R197" s="25">
        <v>99.2714</v>
      </c>
      <c r="S197" s="4">
        <f t="shared" ref="S197:S260" si="17">100-($R$4-R197)</f>
        <v>99.195580000000007</v>
      </c>
      <c r="W197" s="22">
        <v>250.005</v>
      </c>
      <c r="X197">
        <v>96.5</v>
      </c>
      <c r="Y197" s="4">
        <v>90.216949999999997</v>
      </c>
      <c r="Z197" s="4">
        <f t="shared" ref="Z197:Z260" si="18">100-($Y$4-Y197)</f>
        <v>95.657780000000002</v>
      </c>
      <c r="AD197" s="24">
        <v>250.01974999999999</v>
      </c>
      <c r="AE197">
        <v>96.5</v>
      </c>
      <c r="AF197" s="19">
        <v>97.366039999999998</v>
      </c>
      <c r="AG197" s="4">
        <f t="shared" ref="AG197:AG260" si="19">100-($AF$4-AF197)</f>
        <v>97.627529999999993</v>
      </c>
    </row>
    <row r="198" spans="2:33" x14ac:dyDescent="0.15">
      <c r="B198" s="22">
        <v>200.11239</v>
      </c>
      <c r="C198">
        <v>97</v>
      </c>
      <c r="D198" s="4">
        <v>99.495670000000004</v>
      </c>
      <c r="E198" s="4">
        <f t="shared" si="15"/>
        <v>100.62211000000001</v>
      </c>
      <c r="I198" s="22">
        <v>225.00398999999999</v>
      </c>
      <c r="J198">
        <v>97</v>
      </c>
      <c r="K198" s="4">
        <v>93.656800000000004</v>
      </c>
      <c r="L198" s="4">
        <f t="shared" si="16"/>
        <v>97.243870000000001</v>
      </c>
      <c r="P198" s="24">
        <v>225.02051</v>
      </c>
      <c r="Q198">
        <v>97</v>
      </c>
      <c r="R198" s="19">
        <v>99.246960000000001</v>
      </c>
      <c r="S198" s="4">
        <f t="shared" si="17"/>
        <v>99.171140000000008</v>
      </c>
      <c r="W198" s="22">
        <v>250.006</v>
      </c>
      <c r="X198">
        <v>97</v>
      </c>
      <c r="Y198" s="23">
        <v>90.195909999999998</v>
      </c>
      <c r="Z198" s="4">
        <f t="shared" si="18"/>
        <v>95.636740000000003</v>
      </c>
      <c r="AD198" s="24">
        <v>250.01915</v>
      </c>
      <c r="AE198">
        <v>97</v>
      </c>
      <c r="AF198" s="25">
        <v>97.44014</v>
      </c>
      <c r="AG198" s="4">
        <f t="shared" si="19"/>
        <v>97.701629999999994</v>
      </c>
    </row>
    <row r="199" spans="2:33" x14ac:dyDescent="0.15">
      <c r="B199" s="22">
        <v>200.10712000000001</v>
      </c>
      <c r="C199">
        <v>97.5</v>
      </c>
      <c r="D199" s="23">
        <v>99.424490000000006</v>
      </c>
      <c r="E199" s="4">
        <f t="shared" si="15"/>
        <v>100.55093000000001</v>
      </c>
      <c r="I199" s="22">
        <v>225.00299000000001</v>
      </c>
      <c r="J199">
        <v>97.5</v>
      </c>
      <c r="K199" s="23">
        <v>93.635149999999996</v>
      </c>
      <c r="L199" s="4">
        <f t="shared" si="16"/>
        <v>97.222219999999993</v>
      </c>
      <c r="P199" s="24">
        <v>225.0197</v>
      </c>
      <c r="Q199">
        <v>97.5</v>
      </c>
      <c r="R199" s="25">
        <v>99.218710000000002</v>
      </c>
      <c r="S199" s="4">
        <f t="shared" si="17"/>
        <v>99.142890000000008</v>
      </c>
      <c r="W199" s="22">
        <v>250.00398000000001</v>
      </c>
      <c r="X199">
        <v>97.5</v>
      </c>
      <c r="Y199" s="4">
        <v>90.163160000000005</v>
      </c>
      <c r="Z199" s="4">
        <f t="shared" si="18"/>
        <v>95.60399000000001</v>
      </c>
      <c r="AD199" s="24">
        <v>250.01516000000001</v>
      </c>
      <c r="AE199">
        <v>97.5</v>
      </c>
      <c r="AF199" s="19">
        <v>97.306160000000006</v>
      </c>
      <c r="AG199" s="4">
        <f t="shared" si="19"/>
        <v>97.56765</v>
      </c>
    </row>
    <row r="200" spans="2:33" x14ac:dyDescent="0.15">
      <c r="B200" s="22">
        <v>200.10068999999999</v>
      </c>
      <c r="C200">
        <v>98</v>
      </c>
      <c r="D200" s="4">
        <v>99.376400000000004</v>
      </c>
      <c r="E200" s="4">
        <f t="shared" si="15"/>
        <v>100.50284000000001</v>
      </c>
      <c r="I200" s="22">
        <v>225.00494</v>
      </c>
      <c r="J200">
        <v>98</v>
      </c>
      <c r="K200" s="4">
        <v>93.633499999999998</v>
      </c>
      <c r="L200" s="4">
        <f t="shared" si="16"/>
        <v>97.220569999999995</v>
      </c>
      <c r="P200" s="24">
        <v>225.01779999999999</v>
      </c>
      <c r="Q200">
        <v>98</v>
      </c>
      <c r="R200" s="19">
        <v>99.156700000000001</v>
      </c>
      <c r="S200" s="4">
        <f t="shared" si="17"/>
        <v>99.080880000000008</v>
      </c>
      <c r="W200" s="22">
        <v>250.01</v>
      </c>
      <c r="X200">
        <v>98</v>
      </c>
      <c r="Y200" s="23">
        <v>90.134739999999994</v>
      </c>
      <c r="Z200" s="4">
        <f t="shared" si="18"/>
        <v>95.575569999999999</v>
      </c>
      <c r="AD200" s="24">
        <v>250.01362</v>
      </c>
      <c r="AE200">
        <v>98</v>
      </c>
      <c r="AF200" s="25">
        <v>97.269679999999994</v>
      </c>
      <c r="AG200" s="4">
        <f t="shared" si="19"/>
        <v>97.531169999999989</v>
      </c>
    </row>
    <row r="201" spans="2:33" x14ac:dyDescent="0.15">
      <c r="B201" s="22">
        <v>200.09286</v>
      </c>
      <c r="C201">
        <v>98.5</v>
      </c>
      <c r="D201" s="23">
        <v>99.487290000000002</v>
      </c>
      <c r="E201" s="4">
        <f t="shared" si="15"/>
        <v>100.61373</v>
      </c>
      <c r="I201" s="22">
        <v>225.00097</v>
      </c>
      <c r="J201">
        <v>98.5</v>
      </c>
      <c r="K201" s="23">
        <v>93.601990000000001</v>
      </c>
      <c r="L201" s="4">
        <f t="shared" si="16"/>
        <v>97.189059999999998</v>
      </c>
      <c r="P201" s="24">
        <v>225.01689999999999</v>
      </c>
      <c r="Q201">
        <v>98.5</v>
      </c>
      <c r="R201" s="25">
        <v>99.202039999999997</v>
      </c>
      <c r="S201" s="4">
        <f t="shared" si="17"/>
        <v>99.126220000000004</v>
      </c>
      <c r="W201" s="22">
        <v>250.01101</v>
      </c>
      <c r="X201">
        <v>98.5</v>
      </c>
      <c r="Y201" s="4">
        <v>90.117440000000002</v>
      </c>
      <c r="Z201" s="4">
        <f t="shared" si="18"/>
        <v>95.558270000000007</v>
      </c>
      <c r="AD201" s="24">
        <v>250.00912</v>
      </c>
      <c r="AE201">
        <v>98.5</v>
      </c>
      <c r="AF201" s="19">
        <v>97.398259999999993</v>
      </c>
      <c r="AG201" s="4">
        <f t="shared" si="19"/>
        <v>97.659749999999988</v>
      </c>
    </row>
    <row r="202" spans="2:33" x14ac:dyDescent="0.15">
      <c r="B202" s="22">
        <v>200.08356000000001</v>
      </c>
      <c r="C202">
        <v>99</v>
      </c>
      <c r="D202" s="4">
        <v>99.261129999999994</v>
      </c>
      <c r="E202" s="4">
        <f t="shared" si="15"/>
        <v>100.38757</v>
      </c>
      <c r="I202" s="22">
        <v>225.00706</v>
      </c>
      <c r="J202">
        <v>99</v>
      </c>
      <c r="K202" s="4">
        <v>93.589169999999996</v>
      </c>
      <c r="L202" s="4">
        <f t="shared" si="16"/>
        <v>97.176239999999993</v>
      </c>
      <c r="P202" s="24">
        <v>225.017</v>
      </c>
      <c r="Q202">
        <v>99</v>
      </c>
      <c r="R202" s="19">
        <v>99.186539999999994</v>
      </c>
      <c r="S202" s="4">
        <f t="shared" si="17"/>
        <v>99.110720000000001</v>
      </c>
      <c r="W202" s="22">
        <v>250.00998000000001</v>
      </c>
      <c r="X202">
        <v>99</v>
      </c>
      <c r="Y202" s="23">
        <v>90.086690000000004</v>
      </c>
      <c r="Z202" s="4">
        <f t="shared" si="18"/>
        <v>95.52752000000001</v>
      </c>
      <c r="AD202" s="24">
        <v>250.00702999999999</v>
      </c>
      <c r="AE202">
        <v>99</v>
      </c>
      <c r="AF202" s="25">
        <v>97.318849999999998</v>
      </c>
      <c r="AG202" s="4">
        <f t="shared" si="19"/>
        <v>97.580339999999993</v>
      </c>
    </row>
    <row r="203" spans="2:33" x14ac:dyDescent="0.15">
      <c r="B203" s="22">
        <v>200.0761</v>
      </c>
      <c r="C203">
        <v>99.5</v>
      </c>
      <c r="D203" s="23">
        <v>99.368449999999996</v>
      </c>
      <c r="E203" s="4">
        <f t="shared" si="15"/>
        <v>100.49489</v>
      </c>
      <c r="I203" s="22">
        <v>225.0059</v>
      </c>
      <c r="J203">
        <v>99.5</v>
      </c>
      <c r="K203" s="23">
        <v>93.568870000000004</v>
      </c>
      <c r="L203" s="4">
        <f t="shared" si="16"/>
        <v>97.155940000000001</v>
      </c>
      <c r="P203" s="24">
        <v>225.01449</v>
      </c>
      <c r="Q203">
        <v>99.5</v>
      </c>
      <c r="R203" s="25">
        <v>99.194280000000006</v>
      </c>
      <c r="S203" s="4">
        <f t="shared" si="17"/>
        <v>99.118460000000013</v>
      </c>
      <c r="W203" s="22">
        <v>250.00699</v>
      </c>
      <c r="X203">
        <v>99.5</v>
      </c>
      <c r="Y203" s="4">
        <v>90.069370000000006</v>
      </c>
      <c r="Z203" s="4">
        <f t="shared" si="18"/>
        <v>95.510200000000012</v>
      </c>
      <c r="AD203" s="24">
        <v>250.00998999999999</v>
      </c>
      <c r="AE203">
        <v>99.5</v>
      </c>
      <c r="AF203" s="19">
        <v>97.309790000000007</v>
      </c>
      <c r="AG203" s="4">
        <f t="shared" si="19"/>
        <v>97.571280000000002</v>
      </c>
    </row>
    <row r="204" spans="2:33" x14ac:dyDescent="0.15">
      <c r="B204" s="22">
        <v>200.07060999999999</v>
      </c>
      <c r="C204">
        <v>100</v>
      </c>
      <c r="D204" s="4">
        <v>99.311440000000005</v>
      </c>
      <c r="E204" s="4">
        <f t="shared" si="15"/>
        <v>100.43788000000001</v>
      </c>
      <c r="I204" s="22">
        <v>225.00300999999999</v>
      </c>
      <c r="J204">
        <v>100</v>
      </c>
      <c r="K204" s="4">
        <v>93.554760000000002</v>
      </c>
      <c r="L204" s="4">
        <f t="shared" si="16"/>
        <v>97.141829999999999</v>
      </c>
      <c r="P204" s="24">
        <v>225.01366999999999</v>
      </c>
      <c r="Q204">
        <v>100</v>
      </c>
      <c r="R204" s="19">
        <v>99.145939999999996</v>
      </c>
      <c r="S204" s="4">
        <f t="shared" si="17"/>
        <v>99.070120000000003</v>
      </c>
      <c r="W204" s="22">
        <v>250.00900999999999</v>
      </c>
      <c r="X204">
        <v>100</v>
      </c>
      <c r="Y204" s="23">
        <v>90.042500000000004</v>
      </c>
      <c r="Z204" s="4">
        <f t="shared" si="18"/>
        <v>95.483330000000009</v>
      </c>
      <c r="AD204" s="24">
        <v>250.01439999999999</v>
      </c>
      <c r="AE204">
        <v>100</v>
      </c>
      <c r="AF204" s="25">
        <v>97.07987</v>
      </c>
      <c r="AG204" s="4">
        <f t="shared" si="19"/>
        <v>97.341359999999995</v>
      </c>
    </row>
    <row r="205" spans="2:33" x14ac:dyDescent="0.15">
      <c r="B205" s="22">
        <v>200.06182000000001</v>
      </c>
      <c r="C205">
        <v>100.5</v>
      </c>
      <c r="D205" s="23">
        <v>99.372789999999995</v>
      </c>
      <c r="E205" s="4">
        <f t="shared" si="15"/>
        <v>100.49923</v>
      </c>
      <c r="I205" s="22">
        <v>225.00404</v>
      </c>
      <c r="J205">
        <v>100.5</v>
      </c>
      <c r="K205" s="23">
        <v>93.53613</v>
      </c>
      <c r="L205" s="4">
        <f t="shared" si="16"/>
        <v>97.123199999999997</v>
      </c>
      <c r="P205" s="24">
        <v>225.01593</v>
      </c>
      <c r="Q205">
        <v>100.5</v>
      </c>
      <c r="R205" s="25">
        <v>99.338440000000006</v>
      </c>
      <c r="S205" s="4">
        <f t="shared" si="17"/>
        <v>99.262620000000013</v>
      </c>
      <c r="W205" s="22">
        <v>250.00998000000001</v>
      </c>
      <c r="X205">
        <v>100.5</v>
      </c>
      <c r="Y205" s="4">
        <v>90.021690000000007</v>
      </c>
      <c r="Z205" s="4">
        <f t="shared" si="18"/>
        <v>95.462520000000012</v>
      </c>
      <c r="AD205" s="24">
        <v>250.01535000000001</v>
      </c>
      <c r="AE205">
        <v>100.5</v>
      </c>
      <c r="AF205" s="19">
        <v>97.319019999999995</v>
      </c>
      <c r="AG205" s="4">
        <f t="shared" si="19"/>
        <v>97.58050999999999</v>
      </c>
    </row>
    <row r="206" spans="2:33" x14ac:dyDescent="0.15">
      <c r="B206" s="22">
        <v>200.05529000000001</v>
      </c>
      <c r="C206">
        <v>101</v>
      </c>
      <c r="D206" s="4">
        <v>99.238129999999998</v>
      </c>
      <c r="E206" s="4">
        <f t="shared" si="15"/>
        <v>100.36457</v>
      </c>
      <c r="I206" s="22">
        <v>225.01</v>
      </c>
      <c r="J206">
        <v>101</v>
      </c>
      <c r="K206" s="4">
        <v>93.544020000000003</v>
      </c>
      <c r="L206" s="4">
        <f t="shared" si="16"/>
        <v>97.13109</v>
      </c>
      <c r="P206" s="24">
        <v>225.01627999999999</v>
      </c>
      <c r="Q206">
        <v>101</v>
      </c>
      <c r="R206" s="19">
        <v>99.214089999999999</v>
      </c>
      <c r="S206" s="4">
        <f t="shared" si="17"/>
        <v>99.138270000000006</v>
      </c>
      <c r="W206" s="22">
        <v>250.00599</v>
      </c>
      <c r="X206">
        <v>101</v>
      </c>
      <c r="Y206" s="23">
        <v>89.996510000000001</v>
      </c>
      <c r="Z206" s="4">
        <f t="shared" si="18"/>
        <v>95.437340000000006</v>
      </c>
      <c r="AD206" s="24">
        <v>250.01346000000001</v>
      </c>
      <c r="AE206">
        <v>101</v>
      </c>
      <c r="AF206" s="25">
        <v>97.281949999999995</v>
      </c>
      <c r="AG206" s="4">
        <f t="shared" si="19"/>
        <v>97.54343999999999</v>
      </c>
    </row>
    <row r="207" spans="2:33" x14ac:dyDescent="0.15">
      <c r="B207" s="22">
        <v>200.0487</v>
      </c>
      <c r="C207">
        <v>101.5</v>
      </c>
      <c r="D207" s="23">
        <v>99.327579999999998</v>
      </c>
      <c r="E207" s="4">
        <f t="shared" si="15"/>
        <v>100.45402</v>
      </c>
      <c r="I207" s="22">
        <v>225.00790000000001</v>
      </c>
      <c r="J207">
        <v>101.5</v>
      </c>
      <c r="K207" s="23">
        <v>93.517970000000005</v>
      </c>
      <c r="L207" s="4">
        <f t="shared" si="16"/>
        <v>97.105040000000002</v>
      </c>
      <c r="P207" s="24">
        <v>225.01426000000001</v>
      </c>
      <c r="Q207">
        <v>101.5</v>
      </c>
      <c r="R207" s="25">
        <v>99.192920000000001</v>
      </c>
      <c r="S207" s="4">
        <f t="shared" si="17"/>
        <v>99.117100000000008</v>
      </c>
      <c r="W207" s="22">
        <v>250.001</v>
      </c>
      <c r="X207">
        <v>101.5</v>
      </c>
      <c r="Y207" s="4">
        <v>89.960130000000007</v>
      </c>
      <c r="Z207" s="4">
        <f t="shared" si="18"/>
        <v>95.400960000000012</v>
      </c>
      <c r="AD207" s="24">
        <v>250.01338000000001</v>
      </c>
      <c r="AE207">
        <v>101.5</v>
      </c>
      <c r="AF207" s="19">
        <v>97.271420000000006</v>
      </c>
      <c r="AG207" s="4">
        <f t="shared" si="19"/>
        <v>97.532910000000001</v>
      </c>
    </row>
    <row r="208" spans="2:33" x14ac:dyDescent="0.15">
      <c r="B208" s="22">
        <v>200.04442</v>
      </c>
      <c r="C208">
        <v>102</v>
      </c>
      <c r="D208" s="4">
        <v>99.400940000000006</v>
      </c>
      <c r="E208" s="4">
        <f t="shared" si="15"/>
        <v>100.52738000000001</v>
      </c>
      <c r="I208" s="22">
        <v>225.00907000000001</v>
      </c>
      <c r="J208">
        <v>102</v>
      </c>
      <c r="K208" s="4">
        <v>93.494020000000006</v>
      </c>
      <c r="L208" s="4">
        <f t="shared" si="16"/>
        <v>97.081090000000003</v>
      </c>
      <c r="P208" s="24">
        <v>225.01581999999999</v>
      </c>
      <c r="Q208">
        <v>102</v>
      </c>
      <c r="R208" s="19">
        <v>99.279709999999994</v>
      </c>
      <c r="S208" s="4">
        <f t="shared" si="17"/>
        <v>99.203890000000001</v>
      </c>
      <c r="W208" s="22">
        <v>250.00299000000001</v>
      </c>
      <c r="X208">
        <v>102</v>
      </c>
      <c r="Y208" s="23">
        <v>89.962130000000002</v>
      </c>
      <c r="Z208" s="4">
        <f t="shared" si="18"/>
        <v>95.402960000000007</v>
      </c>
      <c r="AD208" s="24">
        <v>250.01365000000001</v>
      </c>
      <c r="AE208">
        <v>102</v>
      </c>
      <c r="AF208" s="25">
        <v>97.238479999999996</v>
      </c>
      <c r="AG208" s="4">
        <f t="shared" si="19"/>
        <v>97.49996999999999</v>
      </c>
    </row>
    <row r="209" spans="2:33" x14ac:dyDescent="0.15">
      <c r="B209" s="22">
        <v>200.03737000000001</v>
      </c>
      <c r="C209">
        <v>102.5</v>
      </c>
      <c r="D209" s="23">
        <v>99.238050000000001</v>
      </c>
      <c r="E209" s="4">
        <f t="shared" si="15"/>
        <v>100.36449</v>
      </c>
      <c r="I209" s="22">
        <v>225.00201000000001</v>
      </c>
      <c r="J209">
        <v>102.5</v>
      </c>
      <c r="K209" s="23">
        <v>93.481859999999998</v>
      </c>
      <c r="L209" s="4">
        <f t="shared" si="16"/>
        <v>97.068929999999995</v>
      </c>
      <c r="P209" s="24">
        <v>225.01797999999999</v>
      </c>
      <c r="Q209">
        <v>102.5</v>
      </c>
      <c r="R209" s="25">
        <v>99.286060000000006</v>
      </c>
      <c r="S209" s="4">
        <f t="shared" si="17"/>
        <v>99.210240000000013</v>
      </c>
      <c r="W209" s="22">
        <v>250.00599</v>
      </c>
      <c r="X209">
        <v>102.5</v>
      </c>
      <c r="Y209" s="4">
        <v>89.935119999999998</v>
      </c>
      <c r="Z209" s="4">
        <f t="shared" si="18"/>
        <v>95.375950000000003</v>
      </c>
      <c r="AD209" s="24">
        <v>250.01605000000001</v>
      </c>
      <c r="AE209">
        <v>102.5</v>
      </c>
      <c r="AF209" s="19">
        <v>97.274910000000006</v>
      </c>
      <c r="AG209" s="4">
        <f t="shared" si="19"/>
        <v>97.5364</v>
      </c>
    </row>
    <row r="210" spans="2:33" x14ac:dyDescent="0.15">
      <c r="B210" s="22">
        <v>200.03245000000001</v>
      </c>
      <c r="C210">
        <v>103</v>
      </c>
      <c r="D210" s="4">
        <v>99.567040000000006</v>
      </c>
      <c r="E210" s="4">
        <f t="shared" si="15"/>
        <v>100.69348000000001</v>
      </c>
      <c r="I210" s="22">
        <v>225.00710000000001</v>
      </c>
      <c r="J210">
        <v>103</v>
      </c>
      <c r="K210" s="4">
        <v>93.466279999999998</v>
      </c>
      <c r="L210" s="4">
        <f t="shared" si="16"/>
        <v>97.053349999999995</v>
      </c>
      <c r="P210" s="24">
        <v>225.01867999999999</v>
      </c>
      <c r="Q210">
        <v>103</v>
      </c>
      <c r="R210" s="19">
        <v>99.259309999999999</v>
      </c>
      <c r="S210" s="4">
        <f t="shared" si="17"/>
        <v>99.183490000000006</v>
      </c>
      <c r="W210" s="22">
        <v>250.00299000000001</v>
      </c>
      <c r="X210">
        <v>103</v>
      </c>
      <c r="Y210" s="23">
        <v>89.900639999999996</v>
      </c>
      <c r="Z210" s="4">
        <f t="shared" si="18"/>
        <v>95.341470000000001</v>
      </c>
      <c r="AD210" s="24">
        <v>250.02100999999999</v>
      </c>
      <c r="AE210">
        <v>103</v>
      </c>
      <c r="AF210" s="25">
        <v>97.126739999999998</v>
      </c>
      <c r="AG210" s="4">
        <f t="shared" si="19"/>
        <v>97.388229999999993</v>
      </c>
    </row>
    <row r="211" spans="2:33" x14ac:dyDescent="0.15">
      <c r="B211" s="22">
        <v>200.02909</v>
      </c>
      <c r="C211">
        <v>103.5</v>
      </c>
      <c r="D211" s="23">
        <v>99.240899999999996</v>
      </c>
      <c r="E211" s="4">
        <f t="shared" si="15"/>
        <v>100.36734</v>
      </c>
      <c r="I211" s="22">
        <v>225.00899999999999</v>
      </c>
      <c r="J211">
        <v>103.5</v>
      </c>
      <c r="K211" s="23">
        <v>93.442909999999998</v>
      </c>
      <c r="L211" s="4">
        <f t="shared" si="16"/>
        <v>97.029979999999995</v>
      </c>
      <c r="P211" s="24">
        <v>225.02104</v>
      </c>
      <c r="Q211">
        <v>103.5</v>
      </c>
      <c r="R211" s="25">
        <v>99.219740000000002</v>
      </c>
      <c r="S211" s="4">
        <f t="shared" si="17"/>
        <v>99.143920000000008</v>
      </c>
      <c r="W211" s="22">
        <v>250.00497999999999</v>
      </c>
      <c r="X211">
        <v>103.5</v>
      </c>
      <c r="Y211" s="4">
        <v>89.891099999999994</v>
      </c>
      <c r="Z211" s="4">
        <f t="shared" si="18"/>
        <v>95.33193</v>
      </c>
      <c r="AD211" s="24">
        <v>250.02412000000001</v>
      </c>
      <c r="AE211">
        <v>103.5</v>
      </c>
      <c r="AF211" s="19">
        <v>97.159329999999997</v>
      </c>
      <c r="AG211" s="4">
        <f t="shared" si="19"/>
        <v>97.420819999999992</v>
      </c>
    </row>
    <row r="212" spans="2:33" x14ac:dyDescent="0.15">
      <c r="B212" s="22">
        <v>200.02906999999999</v>
      </c>
      <c r="C212">
        <v>104</v>
      </c>
      <c r="D212" s="4">
        <v>99.279949999999999</v>
      </c>
      <c r="E212" s="4">
        <f t="shared" si="15"/>
        <v>100.40639</v>
      </c>
      <c r="I212" s="22">
        <v>225.00703999999999</v>
      </c>
      <c r="J212">
        <v>104</v>
      </c>
      <c r="K212" s="4">
        <v>93.439430000000002</v>
      </c>
      <c r="L212" s="4">
        <f t="shared" si="16"/>
        <v>97.026499999999999</v>
      </c>
      <c r="P212" s="24">
        <v>225.01599999999999</v>
      </c>
      <c r="Q212">
        <v>104</v>
      </c>
      <c r="R212" s="19">
        <v>99.312479999999994</v>
      </c>
      <c r="S212" s="4">
        <f t="shared" si="17"/>
        <v>99.236660000000001</v>
      </c>
      <c r="W212" s="22">
        <v>250.00399999999999</v>
      </c>
      <c r="X212">
        <v>104</v>
      </c>
      <c r="Y212" s="23">
        <v>89.862229999999997</v>
      </c>
      <c r="Z212" s="4">
        <f t="shared" si="18"/>
        <v>95.303060000000002</v>
      </c>
      <c r="AD212" s="24">
        <v>250.02255</v>
      </c>
      <c r="AE212">
        <v>104</v>
      </c>
      <c r="AF212" s="25">
        <v>97.160430000000005</v>
      </c>
      <c r="AG212" s="4">
        <f t="shared" si="19"/>
        <v>97.42192</v>
      </c>
    </row>
    <row r="213" spans="2:33" x14ac:dyDescent="0.15">
      <c r="B213" s="22">
        <v>200.02644000000001</v>
      </c>
      <c r="C213">
        <v>104.5</v>
      </c>
      <c r="D213" s="23">
        <v>99.35324</v>
      </c>
      <c r="E213" s="4">
        <f t="shared" si="15"/>
        <v>100.47968</v>
      </c>
      <c r="I213" s="22">
        <v>225.005</v>
      </c>
      <c r="J213">
        <v>104.5</v>
      </c>
      <c r="K213" s="23">
        <v>93.419659999999993</v>
      </c>
      <c r="L213" s="4">
        <f t="shared" si="16"/>
        <v>97.00672999999999</v>
      </c>
      <c r="P213" s="24">
        <v>225.01507000000001</v>
      </c>
      <c r="Q213">
        <v>104.5</v>
      </c>
      <c r="R213" s="25">
        <v>99.171400000000006</v>
      </c>
      <c r="S213" s="4">
        <f t="shared" si="17"/>
        <v>99.095580000000012</v>
      </c>
      <c r="W213" s="22">
        <v>250.00703999999999</v>
      </c>
      <c r="X213">
        <v>104.5</v>
      </c>
      <c r="Y213" s="4">
        <v>89.856459999999998</v>
      </c>
      <c r="Z213" s="4">
        <f t="shared" si="18"/>
        <v>95.297290000000004</v>
      </c>
      <c r="AD213" s="24">
        <v>250.02379999999999</v>
      </c>
      <c r="AE213">
        <v>104.5</v>
      </c>
      <c r="AF213" s="19">
        <v>97.145910000000001</v>
      </c>
      <c r="AG213" s="4">
        <f t="shared" si="19"/>
        <v>97.407399999999996</v>
      </c>
    </row>
    <row r="214" spans="2:33" x14ac:dyDescent="0.15">
      <c r="B214" s="22">
        <v>200.02501000000001</v>
      </c>
      <c r="C214">
        <v>105</v>
      </c>
      <c r="D214" s="4">
        <v>99.384140000000002</v>
      </c>
      <c r="E214" s="4">
        <f t="shared" si="15"/>
        <v>100.51058</v>
      </c>
      <c r="I214" s="22">
        <v>225.00495000000001</v>
      </c>
      <c r="J214">
        <v>105</v>
      </c>
      <c r="K214" s="4">
        <v>93.403090000000006</v>
      </c>
      <c r="L214" s="4">
        <f t="shared" si="16"/>
        <v>96.990160000000003</v>
      </c>
      <c r="P214" s="24">
        <v>225.01168999999999</v>
      </c>
      <c r="Q214">
        <v>105</v>
      </c>
      <c r="R214" s="19">
        <v>99.128159999999994</v>
      </c>
      <c r="S214" s="4">
        <f t="shared" si="17"/>
        <v>99.052340000000001</v>
      </c>
      <c r="W214" s="22">
        <v>250.00398999999999</v>
      </c>
      <c r="X214">
        <v>105</v>
      </c>
      <c r="Y214" s="23">
        <v>89.814310000000006</v>
      </c>
      <c r="Z214" s="4">
        <f t="shared" si="18"/>
        <v>95.255140000000011</v>
      </c>
      <c r="AD214" s="24">
        <v>250.02357000000001</v>
      </c>
      <c r="AE214">
        <v>105</v>
      </c>
      <c r="AF214" s="25">
        <v>97.212059999999994</v>
      </c>
      <c r="AG214" s="4">
        <f t="shared" si="19"/>
        <v>97.473549999999989</v>
      </c>
    </row>
    <row r="215" spans="2:33" x14ac:dyDescent="0.15">
      <c r="B215" s="22">
        <v>200.02334999999999</v>
      </c>
      <c r="C215">
        <v>105.5</v>
      </c>
      <c r="D215" s="23">
        <v>99.252889999999994</v>
      </c>
      <c r="E215" s="4">
        <f t="shared" si="15"/>
        <v>100.37933</v>
      </c>
      <c r="I215" s="22">
        <v>225.01214999999999</v>
      </c>
      <c r="J215">
        <v>105.5</v>
      </c>
      <c r="K215" s="23">
        <v>93.393730000000005</v>
      </c>
      <c r="L215" s="4">
        <f t="shared" si="16"/>
        <v>96.980800000000002</v>
      </c>
      <c r="P215" s="24">
        <v>225.01062999999999</v>
      </c>
      <c r="Q215">
        <v>105.5</v>
      </c>
      <c r="R215" s="25">
        <v>99.193049999999999</v>
      </c>
      <c r="S215" s="4">
        <f t="shared" si="17"/>
        <v>99.117230000000006</v>
      </c>
      <c r="W215" s="22">
        <v>250.00402</v>
      </c>
      <c r="X215">
        <v>105.5</v>
      </c>
      <c r="Y215" s="4">
        <v>89.799009999999996</v>
      </c>
      <c r="Z215" s="4">
        <f t="shared" si="18"/>
        <v>95.239840000000001</v>
      </c>
      <c r="AD215" s="24">
        <v>250.01685000000001</v>
      </c>
      <c r="AE215">
        <v>105.5</v>
      </c>
      <c r="AF215" s="19">
        <v>97.134110000000007</v>
      </c>
      <c r="AG215" s="4">
        <f t="shared" si="19"/>
        <v>97.395600000000002</v>
      </c>
    </row>
    <row r="216" spans="2:33" x14ac:dyDescent="0.15">
      <c r="B216" s="22">
        <v>200.01920000000001</v>
      </c>
      <c r="C216">
        <v>106</v>
      </c>
      <c r="D216" s="4">
        <v>99.354200000000006</v>
      </c>
      <c r="E216" s="4">
        <f t="shared" si="15"/>
        <v>100.48064000000001</v>
      </c>
      <c r="I216" s="22">
        <v>225.00308000000001</v>
      </c>
      <c r="J216">
        <v>106</v>
      </c>
      <c r="K216" s="4">
        <v>93.347949999999997</v>
      </c>
      <c r="L216" s="4">
        <f t="shared" si="16"/>
        <v>96.935019999999994</v>
      </c>
      <c r="P216" s="24">
        <v>225.01160999999999</v>
      </c>
      <c r="Q216">
        <v>106</v>
      </c>
      <c r="R216" s="19">
        <v>99.320419999999999</v>
      </c>
      <c r="S216" s="4">
        <f t="shared" si="17"/>
        <v>99.244600000000005</v>
      </c>
      <c r="W216" s="22">
        <v>250.00201000000001</v>
      </c>
      <c r="X216">
        <v>106</v>
      </c>
      <c r="Y216" s="23">
        <v>89.787629999999993</v>
      </c>
      <c r="Z216" s="4">
        <f t="shared" si="18"/>
        <v>95.228459999999998</v>
      </c>
      <c r="AD216" s="24">
        <v>250.01499999999999</v>
      </c>
      <c r="AE216">
        <v>106</v>
      </c>
      <c r="AF216" s="25">
        <v>97.154579999999996</v>
      </c>
      <c r="AG216" s="4">
        <f t="shared" si="19"/>
        <v>97.416069999999991</v>
      </c>
    </row>
    <row r="217" spans="2:33" x14ac:dyDescent="0.15">
      <c r="B217" s="22">
        <v>200.01756</v>
      </c>
      <c r="C217">
        <v>106.5</v>
      </c>
      <c r="D217" s="23">
        <v>99.339070000000007</v>
      </c>
      <c r="E217" s="4">
        <f t="shared" si="15"/>
        <v>100.46551000000001</v>
      </c>
      <c r="I217" s="22">
        <v>225.00891999999999</v>
      </c>
      <c r="J217">
        <v>106.5</v>
      </c>
      <c r="K217" s="23">
        <v>93.342799999999997</v>
      </c>
      <c r="L217" s="4">
        <f t="shared" si="16"/>
        <v>96.929869999999994</v>
      </c>
      <c r="P217" s="24">
        <v>225.01265000000001</v>
      </c>
      <c r="Q217">
        <v>106.5</v>
      </c>
      <c r="R217" s="25">
        <v>99.129189999999994</v>
      </c>
      <c r="S217" s="4">
        <f t="shared" si="17"/>
        <v>99.053370000000001</v>
      </c>
      <c r="W217" s="22">
        <v>250.00502</v>
      </c>
      <c r="X217">
        <v>106.5</v>
      </c>
      <c r="Y217" s="4">
        <v>89.776049999999998</v>
      </c>
      <c r="Z217" s="4">
        <f t="shared" si="18"/>
        <v>95.216880000000003</v>
      </c>
      <c r="AD217" s="24">
        <v>250.01740000000001</v>
      </c>
      <c r="AE217">
        <v>106.5</v>
      </c>
      <c r="AF217" s="19">
        <v>97.087530000000001</v>
      </c>
      <c r="AG217" s="4">
        <f t="shared" si="19"/>
        <v>97.349019999999996</v>
      </c>
    </row>
    <row r="218" spans="2:33" x14ac:dyDescent="0.15">
      <c r="B218" s="22">
        <v>200.02489</v>
      </c>
      <c r="C218">
        <v>107</v>
      </c>
      <c r="D218" s="4">
        <v>99.314329999999998</v>
      </c>
      <c r="E218" s="4">
        <f t="shared" si="15"/>
        <v>100.44077</v>
      </c>
      <c r="I218" s="22">
        <v>225.00400999999999</v>
      </c>
      <c r="J218">
        <v>107</v>
      </c>
      <c r="K218" s="4">
        <v>93.326449999999994</v>
      </c>
      <c r="L218" s="4">
        <f t="shared" si="16"/>
        <v>96.913519999999991</v>
      </c>
      <c r="P218" s="24">
        <v>225.01291000000001</v>
      </c>
      <c r="Q218">
        <v>107</v>
      </c>
      <c r="R218" s="19">
        <v>99.152690000000007</v>
      </c>
      <c r="S218" s="4">
        <f t="shared" si="17"/>
        <v>99.076870000000014</v>
      </c>
      <c r="W218" s="22">
        <v>250.00699</v>
      </c>
      <c r="X218">
        <v>107</v>
      </c>
      <c r="Y218" s="23">
        <v>89.749099999999999</v>
      </c>
      <c r="Z218" s="4">
        <f t="shared" si="18"/>
        <v>95.189930000000004</v>
      </c>
      <c r="AD218" s="24">
        <v>250.02026000000001</v>
      </c>
      <c r="AE218">
        <v>107</v>
      </c>
      <c r="AF218" s="25">
        <v>97.154539999999997</v>
      </c>
      <c r="AG218" s="4">
        <f t="shared" si="19"/>
        <v>97.416029999999992</v>
      </c>
    </row>
    <row r="219" spans="2:33" x14ac:dyDescent="0.15">
      <c r="B219" s="22">
        <v>200.02645000000001</v>
      </c>
      <c r="C219">
        <v>107.5</v>
      </c>
      <c r="D219" s="23">
        <v>99.271069999999995</v>
      </c>
      <c r="E219" s="4">
        <f t="shared" si="15"/>
        <v>100.39751</v>
      </c>
      <c r="I219" s="22">
        <v>225.00591</v>
      </c>
      <c r="J219">
        <v>107.5</v>
      </c>
      <c r="K219" s="23">
        <v>93.324380000000005</v>
      </c>
      <c r="L219" s="4">
        <f t="shared" si="16"/>
        <v>96.911450000000002</v>
      </c>
      <c r="P219" s="24">
        <v>225.01316</v>
      </c>
      <c r="Q219">
        <v>107.5</v>
      </c>
      <c r="R219" s="25">
        <v>99.056439999999995</v>
      </c>
      <c r="S219" s="4">
        <f t="shared" si="17"/>
        <v>98.980620000000002</v>
      </c>
      <c r="W219" s="22">
        <v>250.00599</v>
      </c>
      <c r="X219">
        <v>107.5</v>
      </c>
      <c r="Y219" s="4">
        <v>89.735680000000002</v>
      </c>
      <c r="Z219" s="4">
        <f t="shared" si="18"/>
        <v>95.176510000000007</v>
      </c>
      <c r="AD219" s="24">
        <v>250.01850999999999</v>
      </c>
      <c r="AE219">
        <v>107.5</v>
      </c>
      <c r="AF219" s="19">
        <v>97.037739999999999</v>
      </c>
      <c r="AG219" s="4">
        <f t="shared" si="19"/>
        <v>97.299229999999994</v>
      </c>
    </row>
    <row r="220" spans="2:33" x14ac:dyDescent="0.15">
      <c r="B220" s="22">
        <v>200.00656000000001</v>
      </c>
      <c r="C220">
        <v>108</v>
      </c>
      <c r="D220" s="4">
        <v>99.414640000000006</v>
      </c>
      <c r="E220" s="4">
        <f t="shared" si="15"/>
        <v>100.54108000000001</v>
      </c>
      <c r="I220" s="22">
        <v>225.00592</v>
      </c>
      <c r="J220">
        <v>108</v>
      </c>
      <c r="K220" s="4">
        <v>93.307450000000003</v>
      </c>
      <c r="L220" s="4">
        <f t="shared" si="16"/>
        <v>96.89452</v>
      </c>
      <c r="P220" s="24">
        <v>225.01499999999999</v>
      </c>
      <c r="Q220">
        <v>108</v>
      </c>
      <c r="R220" s="19">
        <v>99.084249999999997</v>
      </c>
      <c r="S220" s="4">
        <f t="shared" si="17"/>
        <v>99.008430000000004</v>
      </c>
      <c r="W220" s="22">
        <v>250</v>
      </c>
      <c r="X220">
        <v>108</v>
      </c>
      <c r="Y220" s="23">
        <v>89.708839999999995</v>
      </c>
      <c r="Z220" s="4">
        <f t="shared" si="18"/>
        <v>95.14967</v>
      </c>
      <c r="AD220" s="24">
        <v>250.01621</v>
      </c>
      <c r="AE220">
        <v>108</v>
      </c>
      <c r="AF220" s="25">
        <v>96.985339999999994</v>
      </c>
      <c r="AG220" s="4">
        <f t="shared" si="19"/>
        <v>97.246829999999989</v>
      </c>
    </row>
    <row r="221" spans="2:33" x14ac:dyDescent="0.15">
      <c r="B221" s="22">
        <v>199.97026</v>
      </c>
      <c r="C221">
        <v>108.5</v>
      </c>
      <c r="D221" s="23">
        <v>99.383930000000007</v>
      </c>
      <c r="E221" s="4">
        <f t="shared" si="15"/>
        <v>100.51037000000001</v>
      </c>
      <c r="I221" s="22">
        <v>225.00789</v>
      </c>
      <c r="J221">
        <v>108.5</v>
      </c>
      <c r="K221" s="23">
        <v>93.302440000000004</v>
      </c>
      <c r="L221" s="4">
        <f t="shared" si="16"/>
        <v>96.889510000000001</v>
      </c>
      <c r="P221" s="24">
        <v>225.01643000000001</v>
      </c>
      <c r="Q221">
        <v>108.5</v>
      </c>
      <c r="R221" s="25">
        <v>99.196100000000001</v>
      </c>
      <c r="S221" s="4">
        <f t="shared" si="17"/>
        <v>99.120280000000008</v>
      </c>
      <c r="W221" s="22">
        <v>249.99804</v>
      </c>
      <c r="X221">
        <v>108.5</v>
      </c>
      <c r="Y221" s="4">
        <v>89.676240000000007</v>
      </c>
      <c r="Z221" s="4">
        <f t="shared" si="18"/>
        <v>95.117070000000012</v>
      </c>
      <c r="AD221" s="24">
        <v>250.01743999999999</v>
      </c>
      <c r="AE221">
        <v>108.5</v>
      </c>
      <c r="AF221" s="19">
        <v>97.119879999999995</v>
      </c>
      <c r="AG221" s="4">
        <f t="shared" si="19"/>
        <v>97.38136999999999</v>
      </c>
    </row>
    <row r="222" spans="2:33" x14ac:dyDescent="0.15">
      <c r="B222" s="22">
        <v>199.94150999999999</v>
      </c>
      <c r="C222">
        <v>109</v>
      </c>
      <c r="D222" s="4">
        <v>99.408199999999994</v>
      </c>
      <c r="E222" s="4">
        <f t="shared" si="15"/>
        <v>100.53464</v>
      </c>
      <c r="I222" s="22">
        <v>225.00608</v>
      </c>
      <c r="J222">
        <v>109</v>
      </c>
      <c r="K222" s="4">
        <v>93.289590000000004</v>
      </c>
      <c r="L222" s="4">
        <f t="shared" si="16"/>
        <v>96.876660000000001</v>
      </c>
      <c r="P222" s="24">
        <v>225.01832999999999</v>
      </c>
      <c r="Q222">
        <v>109</v>
      </c>
      <c r="R222" s="19">
        <v>99.170599999999993</v>
      </c>
      <c r="S222" s="4">
        <f t="shared" si="17"/>
        <v>99.09478</v>
      </c>
      <c r="W222" s="22">
        <v>249.99903</v>
      </c>
      <c r="X222">
        <v>109</v>
      </c>
      <c r="Y222" s="23">
        <v>89.651489999999995</v>
      </c>
      <c r="Z222" s="4">
        <f t="shared" si="18"/>
        <v>95.092320000000001</v>
      </c>
      <c r="AD222" s="24">
        <v>250.01569000000001</v>
      </c>
      <c r="AE222">
        <v>109</v>
      </c>
      <c r="AF222" s="25">
        <v>97.00873</v>
      </c>
      <c r="AG222" s="4">
        <f t="shared" si="19"/>
        <v>97.270219999999995</v>
      </c>
    </row>
    <row r="223" spans="2:33" x14ac:dyDescent="0.15">
      <c r="B223" s="22">
        <v>199.93315000000001</v>
      </c>
      <c r="C223">
        <v>109.5</v>
      </c>
      <c r="D223" s="23">
        <v>99.172020000000003</v>
      </c>
      <c r="E223" s="4">
        <f t="shared" si="15"/>
        <v>100.29846000000001</v>
      </c>
      <c r="I223" s="22">
        <v>225.00303</v>
      </c>
      <c r="J223">
        <v>109.5</v>
      </c>
      <c r="K223" s="23">
        <v>93.254059999999996</v>
      </c>
      <c r="L223" s="4">
        <f t="shared" si="16"/>
        <v>96.841129999999993</v>
      </c>
      <c r="P223" s="24">
        <v>225.02080000000001</v>
      </c>
      <c r="Q223">
        <v>109.5</v>
      </c>
      <c r="R223" s="25">
        <v>99.137410000000003</v>
      </c>
      <c r="S223" s="4">
        <f t="shared" si="17"/>
        <v>99.06159000000001</v>
      </c>
      <c r="W223" s="22">
        <v>250.00996000000001</v>
      </c>
      <c r="X223">
        <v>109.5</v>
      </c>
      <c r="Y223" s="4">
        <v>89.626390000000001</v>
      </c>
      <c r="Z223" s="4">
        <f t="shared" si="18"/>
        <v>95.067220000000006</v>
      </c>
      <c r="AD223" s="24">
        <v>250.01473999999999</v>
      </c>
      <c r="AE223">
        <v>109.5</v>
      </c>
      <c r="AF223" s="19">
        <v>96.98066</v>
      </c>
      <c r="AG223" s="4">
        <f t="shared" si="19"/>
        <v>97.242149999999995</v>
      </c>
    </row>
    <row r="224" spans="2:33" x14ac:dyDescent="0.15">
      <c r="B224" s="22">
        <v>199.94424000000001</v>
      </c>
      <c r="C224">
        <v>110</v>
      </c>
      <c r="D224" s="4">
        <v>99.312070000000006</v>
      </c>
      <c r="E224" s="4">
        <f t="shared" si="15"/>
        <v>100.43851000000001</v>
      </c>
      <c r="I224" s="22">
        <v>225.00900999999999</v>
      </c>
      <c r="J224">
        <v>110</v>
      </c>
      <c r="K224" s="4">
        <v>93.264619999999994</v>
      </c>
      <c r="L224" s="4">
        <f t="shared" si="16"/>
        <v>96.851689999999991</v>
      </c>
      <c r="P224" s="24">
        <v>225.02170000000001</v>
      </c>
      <c r="Q224">
        <v>110</v>
      </c>
      <c r="R224" s="19">
        <v>99.106210000000004</v>
      </c>
      <c r="S224" s="4">
        <f t="shared" si="17"/>
        <v>99.030390000000011</v>
      </c>
      <c r="W224" s="22">
        <v>250.011</v>
      </c>
      <c r="X224">
        <v>110</v>
      </c>
      <c r="Y224" s="23">
        <v>89.605429999999998</v>
      </c>
      <c r="Z224" s="4">
        <f t="shared" si="18"/>
        <v>95.046260000000004</v>
      </c>
      <c r="AD224" s="24">
        <v>250.01173</v>
      </c>
      <c r="AE224">
        <v>110</v>
      </c>
      <c r="AF224" s="25">
        <v>97.007959999999997</v>
      </c>
      <c r="AG224" s="4">
        <f t="shared" si="19"/>
        <v>97.269449999999992</v>
      </c>
    </row>
    <row r="225" spans="2:33" x14ac:dyDescent="0.15">
      <c r="B225" s="22">
        <v>199.96877000000001</v>
      </c>
      <c r="C225">
        <v>110.5</v>
      </c>
      <c r="D225" s="23">
        <v>99.330920000000006</v>
      </c>
      <c r="E225" s="4">
        <f t="shared" si="15"/>
        <v>100.45736000000001</v>
      </c>
      <c r="I225" s="22">
        <v>225.00794999999999</v>
      </c>
      <c r="J225">
        <v>110.5</v>
      </c>
      <c r="K225" s="23">
        <v>93.260900000000007</v>
      </c>
      <c r="L225" s="4">
        <f t="shared" si="16"/>
        <v>96.847970000000004</v>
      </c>
      <c r="P225" s="24">
        <v>225.02144000000001</v>
      </c>
      <c r="Q225">
        <v>110.5</v>
      </c>
      <c r="R225" s="25">
        <v>99.161100000000005</v>
      </c>
      <c r="S225" s="4">
        <f t="shared" si="17"/>
        <v>99.085280000000012</v>
      </c>
      <c r="W225" s="22">
        <v>250.00700000000001</v>
      </c>
      <c r="X225">
        <v>110.5</v>
      </c>
      <c r="Y225" s="4">
        <v>89.599590000000006</v>
      </c>
      <c r="Z225" s="4">
        <f t="shared" si="18"/>
        <v>95.040420000000012</v>
      </c>
      <c r="AD225" s="24">
        <v>250.01</v>
      </c>
      <c r="AE225">
        <v>110.5</v>
      </c>
      <c r="AF225" s="19">
        <v>96.936809999999994</v>
      </c>
      <c r="AG225" s="4">
        <f t="shared" si="19"/>
        <v>97.198299999999989</v>
      </c>
    </row>
    <row r="226" spans="2:33" x14ac:dyDescent="0.15">
      <c r="B226" s="22">
        <v>199.99533</v>
      </c>
      <c r="C226">
        <v>111</v>
      </c>
      <c r="D226" s="4">
        <v>99.336349999999996</v>
      </c>
      <c r="E226" s="4">
        <f t="shared" si="15"/>
        <v>100.46279</v>
      </c>
      <c r="I226" s="22">
        <v>225.00602000000001</v>
      </c>
      <c r="J226">
        <v>111</v>
      </c>
      <c r="K226" s="4">
        <v>93.231309999999993</v>
      </c>
      <c r="L226" s="4">
        <f t="shared" si="16"/>
        <v>96.818379999999991</v>
      </c>
      <c r="P226" s="24">
        <v>225.02309</v>
      </c>
      <c r="Q226">
        <v>111</v>
      </c>
      <c r="R226" s="19">
        <v>99.180250000000001</v>
      </c>
      <c r="S226" s="4">
        <f t="shared" si="17"/>
        <v>99.104430000000008</v>
      </c>
      <c r="W226" s="22">
        <v>250.00395</v>
      </c>
      <c r="X226">
        <v>111</v>
      </c>
      <c r="Y226" s="23">
        <v>89.578500000000005</v>
      </c>
      <c r="Z226" s="4">
        <f t="shared" si="18"/>
        <v>95.019330000000011</v>
      </c>
      <c r="AD226" s="24">
        <v>250.00919999999999</v>
      </c>
      <c r="AE226">
        <v>111</v>
      </c>
      <c r="AF226" s="25">
        <v>96.942729999999997</v>
      </c>
      <c r="AG226" s="4">
        <f t="shared" si="19"/>
        <v>97.204219999999992</v>
      </c>
    </row>
    <row r="227" spans="2:33" x14ac:dyDescent="0.15">
      <c r="B227" s="22">
        <v>200.01366999999999</v>
      </c>
      <c r="C227">
        <v>111.5</v>
      </c>
      <c r="D227" s="23">
        <v>99.357439999999997</v>
      </c>
      <c r="E227" s="4">
        <f t="shared" si="15"/>
        <v>100.48388</v>
      </c>
      <c r="I227" s="22">
        <v>225.00201999999999</v>
      </c>
      <c r="J227">
        <v>111.5</v>
      </c>
      <c r="K227" s="23">
        <v>93.209209999999999</v>
      </c>
      <c r="L227" s="4">
        <f t="shared" si="16"/>
        <v>96.796279999999996</v>
      </c>
      <c r="P227" s="24">
        <v>225.02395999999999</v>
      </c>
      <c r="Q227">
        <v>111.5</v>
      </c>
      <c r="R227" s="25">
        <v>99.176810000000003</v>
      </c>
      <c r="S227" s="4">
        <f t="shared" si="17"/>
        <v>99.10099000000001</v>
      </c>
      <c r="W227" s="22">
        <v>250.00099</v>
      </c>
      <c r="X227">
        <v>111.5</v>
      </c>
      <c r="Y227" s="4">
        <v>89.549629999999993</v>
      </c>
      <c r="Z227" s="4">
        <f t="shared" si="18"/>
        <v>94.990459999999999</v>
      </c>
      <c r="AD227" s="24">
        <v>250.00842</v>
      </c>
      <c r="AE227">
        <v>111.5</v>
      </c>
      <c r="AF227" s="19">
        <v>97.065669999999997</v>
      </c>
      <c r="AG227" s="4">
        <f t="shared" si="19"/>
        <v>97.327159999999992</v>
      </c>
    </row>
    <row r="228" spans="2:33" x14ac:dyDescent="0.15">
      <c r="B228" s="22">
        <v>200.01569000000001</v>
      </c>
      <c r="C228">
        <v>112</v>
      </c>
      <c r="D228" s="4">
        <v>99.538870000000003</v>
      </c>
      <c r="E228" s="4">
        <f t="shared" si="15"/>
        <v>100.66531000000001</v>
      </c>
      <c r="I228" s="22">
        <v>225.00299000000001</v>
      </c>
      <c r="J228">
        <v>112</v>
      </c>
      <c r="K228" s="4">
        <v>93.191190000000006</v>
      </c>
      <c r="L228" s="4">
        <f t="shared" si="16"/>
        <v>96.778260000000003</v>
      </c>
      <c r="P228" s="24">
        <v>225.0224</v>
      </c>
      <c r="Q228">
        <v>112</v>
      </c>
      <c r="R228" s="19">
        <v>99.120090000000005</v>
      </c>
      <c r="S228" s="4">
        <f t="shared" si="17"/>
        <v>99.044270000000012</v>
      </c>
      <c r="W228" s="22">
        <v>250.00201999999999</v>
      </c>
      <c r="X228">
        <v>112</v>
      </c>
      <c r="Y228" s="23">
        <v>89.523009999999999</v>
      </c>
      <c r="Z228" s="4">
        <f t="shared" si="18"/>
        <v>94.963840000000005</v>
      </c>
      <c r="AD228" s="24">
        <v>250.01013</v>
      </c>
      <c r="AE228">
        <v>112</v>
      </c>
      <c r="AF228" s="25">
        <v>96.963520000000003</v>
      </c>
      <c r="AG228" s="4">
        <f t="shared" si="19"/>
        <v>97.225009999999997</v>
      </c>
    </row>
    <row r="229" spans="2:33" x14ac:dyDescent="0.15">
      <c r="B229" s="22">
        <v>200.00710000000001</v>
      </c>
      <c r="C229">
        <v>112.5</v>
      </c>
      <c r="D229" s="23">
        <v>99.262100000000004</v>
      </c>
      <c r="E229" s="4">
        <f t="shared" si="15"/>
        <v>100.38854000000001</v>
      </c>
      <c r="I229" s="22">
        <v>225.00400999999999</v>
      </c>
      <c r="J229">
        <v>112.5</v>
      </c>
      <c r="K229" s="23">
        <v>93.189409999999995</v>
      </c>
      <c r="L229" s="4">
        <f t="shared" si="16"/>
        <v>96.776479999999992</v>
      </c>
      <c r="P229" s="24">
        <v>225.02125000000001</v>
      </c>
      <c r="Q229">
        <v>112.5</v>
      </c>
      <c r="R229" s="25">
        <v>99.138249999999999</v>
      </c>
      <c r="S229" s="4">
        <f t="shared" si="17"/>
        <v>99.062430000000006</v>
      </c>
      <c r="W229" s="22">
        <v>249.99904000000001</v>
      </c>
      <c r="X229">
        <v>112.5</v>
      </c>
      <c r="Y229" s="4">
        <v>89.490020000000001</v>
      </c>
      <c r="Z229" s="4">
        <f t="shared" si="18"/>
        <v>94.930850000000007</v>
      </c>
      <c r="AD229" s="24">
        <v>250.01224999999999</v>
      </c>
      <c r="AE229">
        <v>112.5</v>
      </c>
      <c r="AF229" s="19">
        <v>96.935220000000001</v>
      </c>
      <c r="AG229" s="4">
        <f t="shared" si="19"/>
        <v>97.196709999999996</v>
      </c>
    </row>
    <row r="230" spans="2:33" x14ac:dyDescent="0.15">
      <c r="B230" s="22">
        <v>199.99329</v>
      </c>
      <c r="C230">
        <v>113</v>
      </c>
      <c r="D230" s="4">
        <v>99.276669999999996</v>
      </c>
      <c r="E230" s="4">
        <f t="shared" si="15"/>
        <v>100.40311</v>
      </c>
      <c r="I230" s="22">
        <v>225.00708</v>
      </c>
      <c r="J230">
        <v>113</v>
      </c>
      <c r="K230" s="4">
        <v>93.162000000000006</v>
      </c>
      <c r="L230" s="4">
        <f t="shared" si="16"/>
        <v>96.749070000000003</v>
      </c>
      <c r="P230" s="24">
        <v>225.02216000000001</v>
      </c>
      <c r="Q230">
        <v>113</v>
      </c>
      <c r="R230" s="19">
        <v>99.208699999999993</v>
      </c>
      <c r="S230" s="4">
        <f t="shared" si="17"/>
        <v>99.13288</v>
      </c>
      <c r="W230" s="22">
        <v>250.00502</v>
      </c>
      <c r="X230">
        <v>113</v>
      </c>
      <c r="Y230" s="23">
        <v>89.480890000000002</v>
      </c>
      <c r="Z230" s="4">
        <f t="shared" si="18"/>
        <v>94.921720000000008</v>
      </c>
      <c r="AD230" s="24">
        <v>250.01417000000001</v>
      </c>
      <c r="AE230">
        <v>113</v>
      </c>
      <c r="AF230" s="25">
        <v>97.011279999999999</v>
      </c>
      <c r="AG230" s="4">
        <f t="shared" si="19"/>
        <v>97.272769999999994</v>
      </c>
    </row>
    <row r="231" spans="2:33" x14ac:dyDescent="0.15">
      <c r="B231" s="22">
        <v>199.98054999999999</v>
      </c>
      <c r="C231">
        <v>113.5</v>
      </c>
      <c r="D231" s="23">
        <v>99.387569999999997</v>
      </c>
      <c r="E231" s="4">
        <f t="shared" si="15"/>
        <v>100.51401</v>
      </c>
      <c r="I231" s="22">
        <v>225.00597999999999</v>
      </c>
      <c r="J231">
        <v>113.5</v>
      </c>
      <c r="K231" s="23">
        <v>93.159760000000006</v>
      </c>
      <c r="L231" s="4">
        <f t="shared" si="16"/>
        <v>96.746830000000003</v>
      </c>
      <c r="P231" s="24">
        <v>225.02413000000001</v>
      </c>
      <c r="Q231">
        <v>113.5</v>
      </c>
      <c r="R231" s="25">
        <v>99.124870000000001</v>
      </c>
      <c r="S231" s="4">
        <f t="shared" si="17"/>
        <v>99.049050000000008</v>
      </c>
      <c r="W231" s="22">
        <v>250.00498999999999</v>
      </c>
      <c r="X231">
        <v>113.5</v>
      </c>
      <c r="Y231" s="4">
        <v>89.453819999999993</v>
      </c>
      <c r="Z231" s="4">
        <f t="shared" si="18"/>
        <v>94.894649999999999</v>
      </c>
      <c r="AD231" s="24">
        <v>250.01322999999999</v>
      </c>
      <c r="AE231">
        <v>113.5</v>
      </c>
      <c r="AF231" s="19">
        <v>96.877970000000005</v>
      </c>
      <c r="AG231" s="4">
        <f t="shared" si="19"/>
        <v>97.13946</v>
      </c>
    </row>
    <row r="232" spans="2:33" x14ac:dyDescent="0.15">
      <c r="B232" s="22">
        <v>199.97911999999999</v>
      </c>
      <c r="C232">
        <v>114</v>
      </c>
      <c r="D232" s="4">
        <v>99.379739999999998</v>
      </c>
      <c r="E232" s="4">
        <f t="shared" si="15"/>
        <v>100.50618</v>
      </c>
      <c r="I232" s="22">
        <v>225.00506999999999</v>
      </c>
      <c r="J232">
        <v>114</v>
      </c>
      <c r="K232" s="4">
        <v>93.125529999999998</v>
      </c>
      <c r="L232" s="4">
        <f t="shared" si="16"/>
        <v>96.712599999999995</v>
      </c>
      <c r="P232" s="24">
        <v>225.02428</v>
      </c>
      <c r="Q232">
        <v>114</v>
      </c>
      <c r="R232" s="19">
        <v>99.094080000000005</v>
      </c>
      <c r="S232" s="4">
        <f t="shared" si="17"/>
        <v>99.018260000000012</v>
      </c>
      <c r="W232" s="22">
        <v>250.00402</v>
      </c>
      <c r="X232">
        <v>114</v>
      </c>
      <c r="Y232" s="23">
        <v>89.423180000000002</v>
      </c>
      <c r="Z232" s="4">
        <f t="shared" si="18"/>
        <v>94.864010000000007</v>
      </c>
      <c r="AD232" s="24">
        <v>250.01195000000001</v>
      </c>
      <c r="AE232">
        <v>114</v>
      </c>
      <c r="AF232" s="25">
        <v>96.776929999999993</v>
      </c>
      <c r="AG232" s="4">
        <f t="shared" si="19"/>
        <v>97.038419999999988</v>
      </c>
    </row>
    <row r="233" spans="2:33" x14ac:dyDescent="0.15">
      <c r="B233" s="22">
        <v>199.98406</v>
      </c>
      <c r="C233">
        <v>114.5</v>
      </c>
      <c r="D233" s="23">
        <v>99.433679999999995</v>
      </c>
      <c r="E233" s="4">
        <f t="shared" si="15"/>
        <v>100.56012</v>
      </c>
      <c r="I233" s="22">
        <v>225.00314</v>
      </c>
      <c r="J233">
        <v>114.5</v>
      </c>
      <c r="K233" s="23">
        <v>93.13073</v>
      </c>
      <c r="L233" s="4">
        <f t="shared" si="16"/>
        <v>96.717799999999997</v>
      </c>
      <c r="P233" s="24">
        <v>225.02141</v>
      </c>
      <c r="Q233">
        <v>114.5</v>
      </c>
      <c r="R233" s="25">
        <v>99.109840000000005</v>
      </c>
      <c r="S233" s="4">
        <f t="shared" si="17"/>
        <v>99.034020000000012</v>
      </c>
      <c r="W233" s="22">
        <v>250.00496000000001</v>
      </c>
      <c r="X233">
        <v>114.5</v>
      </c>
      <c r="Y233" s="4">
        <v>89.405860000000004</v>
      </c>
      <c r="Z233" s="4">
        <f t="shared" si="18"/>
        <v>94.846690000000009</v>
      </c>
      <c r="AD233" s="24">
        <v>250.01277999999999</v>
      </c>
      <c r="AE233">
        <v>114.5</v>
      </c>
      <c r="AF233" s="19">
        <v>96.952190000000002</v>
      </c>
      <c r="AG233" s="4">
        <f t="shared" si="19"/>
        <v>97.213679999999997</v>
      </c>
    </row>
    <row r="234" spans="2:33" x14ac:dyDescent="0.15">
      <c r="B234" s="22">
        <v>199.98859999999999</v>
      </c>
      <c r="C234">
        <v>115</v>
      </c>
      <c r="D234" s="4">
        <v>99.253259999999997</v>
      </c>
      <c r="E234" s="4">
        <f t="shared" si="15"/>
        <v>100.3797</v>
      </c>
      <c r="I234" s="22">
        <v>225.00595999999999</v>
      </c>
      <c r="J234">
        <v>115</v>
      </c>
      <c r="K234" s="4">
        <v>93.105069999999998</v>
      </c>
      <c r="L234" s="4">
        <f t="shared" si="16"/>
        <v>96.692139999999995</v>
      </c>
      <c r="P234" s="24">
        <v>225.02153000000001</v>
      </c>
      <c r="Q234">
        <v>115</v>
      </c>
      <c r="R234" s="19">
        <v>99.052800000000005</v>
      </c>
      <c r="S234" s="4">
        <f t="shared" si="17"/>
        <v>98.976980000000012</v>
      </c>
      <c r="W234" s="22">
        <v>249.99999</v>
      </c>
      <c r="X234">
        <v>115</v>
      </c>
      <c r="Y234" s="23">
        <v>89.386750000000006</v>
      </c>
      <c r="Z234" s="4">
        <f t="shared" si="18"/>
        <v>94.827580000000012</v>
      </c>
      <c r="AD234" s="24">
        <v>250.01458</v>
      </c>
      <c r="AE234">
        <v>115</v>
      </c>
      <c r="AF234" s="25">
        <v>96.885800000000003</v>
      </c>
      <c r="AG234" s="4">
        <f t="shared" si="19"/>
        <v>97.147289999999998</v>
      </c>
    </row>
    <row r="235" spans="2:33" x14ac:dyDescent="0.15">
      <c r="B235" s="22">
        <v>199.99172999999999</v>
      </c>
      <c r="C235">
        <v>115.5</v>
      </c>
      <c r="D235" s="23">
        <v>99.448750000000004</v>
      </c>
      <c r="E235" s="4">
        <f t="shared" si="15"/>
        <v>100.57519000000001</v>
      </c>
      <c r="I235" s="22">
        <v>225.00808000000001</v>
      </c>
      <c r="J235">
        <v>115.5</v>
      </c>
      <c r="K235" s="23">
        <v>93.103179999999995</v>
      </c>
      <c r="L235" s="4">
        <f t="shared" si="16"/>
        <v>96.690249999999992</v>
      </c>
      <c r="P235" s="24">
        <v>225.02314999999999</v>
      </c>
      <c r="Q235">
        <v>115.5</v>
      </c>
      <c r="R235" s="25">
        <v>99.137060000000005</v>
      </c>
      <c r="S235" s="4">
        <f t="shared" si="17"/>
        <v>99.061240000000012</v>
      </c>
      <c r="W235" s="22">
        <v>250.00201000000001</v>
      </c>
      <c r="X235">
        <v>115.5</v>
      </c>
      <c r="Y235" s="4">
        <v>89.359960000000001</v>
      </c>
      <c r="Z235" s="4">
        <f t="shared" si="18"/>
        <v>94.800790000000006</v>
      </c>
      <c r="AD235" s="24">
        <v>250.02132</v>
      </c>
      <c r="AE235">
        <v>115.5</v>
      </c>
      <c r="AF235" s="19">
        <v>96.873040000000003</v>
      </c>
      <c r="AG235" s="4">
        <f t="shared" si="19"/>
        <v>97.134529999999998</v>
      </c>
    </row>
    <row r="236" spans="2:33" x14ac:dyDescent="0.15">
      <c r="B236" s="22">
        <v>199.99363</v>
      </c>
      <c r="C236">
        <v>116</v>
      </c>
      <c r="D236" s="4">
        <v>99.312060000000002</v>
      </c>
      <c r="E236" s="4">
        <f t="shared" si="15"/>
        <v>100.4385</v>
      </c>
      <c r="I236" s="22">
        <v>225.00693000000001</v>
      </c>
      <c r="J236">
        <v>116</v>
      </c>
      <c r="K236" s="4">
        <v>93.085470000000001</v>
      </c>
      <c r="L236" s="4">
        <f t="shared" si="16"/>
        <v>96.672539999999998</v>
      </c>
      <c r="P236" s="24">
        <v>225.02444</v>
      </c>
      <c r="Q236">
        <v>116</v>
      </c>
      <c r="R236" s="19">
        <v>99.131079999999997</v>
      </c>
      <c r="S236" s="4">
        <f t="shared" si="17"/>
        <v>99.055260000000004</v>
      </c>
      <c r="W236" s="22">
        <v>250.00403</v>
      </c>
      <c r="X236">
        <v>116</v>
      </c>
      <c r="Y236" s="23">
        <v>89.344679999999997</v>
      </c>
      <c r="Z236" s="4">
        <f t="shared" si="18"/>
        <v>94.785510000000002</v>
      </c>
      <c r="AD236" s="24">
        <v>250.02468999999999</v>
      </c>
      <c r="AE236">
        <v>116</v>
      </c>
      <c r="AF236" s="25">
        <v>96.870050000000006</v>
      </c>
      <c r="AG236" s="4">
        <f t="shared" si="19"/>
        <v>97.131540000000001</v>
      </c>
    </row>
    <row r="237" spans="2:33" x14ac:dyDescent="0.15">
      <c r="B237" s="22">
        <v>199.99216999999999</v>
      </c>
      <c r="C237">
        <v>116.5</v>
      </c>
      <c r="D237" s="23">
        <v>99.259960000000007</v>
      </c>
      <c r="E237" s="4">
        <f t="shared" si="15"/>
        <v>100.38640000000001</v>
      </c>
      <c r="I237" s="22">
        <v>225.00299000000001</v>
      </c>
      <c r="J237">
        <v>116.5</v>
      </c>
      <c r="K237" s="23">
        <v>93.058070000000001</v>
      </c>
      <c r="L237" s="4">
        <f t="shared" si="16"/>
        <v>96.645139999999998</v>
      </c>
      <c r="P237" s="24">
        <v>225.02456000000001</v>
      </c>
      <c r="Q237">
        <v>116.5</v>
      </c>
      <c r="R237" s="25">
        <v>99.067610000000002</v>
      </c>
      <c r="S237" s="4">
        <f t="shared" si="17"/>
        <v>98.991790000000009</v>
      </c>
      <c r="W237" s="22">
        <v>249.99903</v>
      </c>
      <c r="X237">
        <v>116.5</v>
      </c>
      <c r="Y237" s="4">
        <v>89.310119999999998</v>
      </c>
      <c r="Z237" s="4">
        <f t="shared" si="18"/>
        <v>94.750950000000003</v>
      </c>
      <c r="AD237" s="24">
        <v>250.02956</v>
      </c>
      <c r="AE237">
        <v>116.5</v>
      </c>
      <c r="AF237" s="19">
        <v>96.804910000000007</v>
      </c>
      <c r="AG237" s="4">
        <f t="shared" si="19"/>
        <v>97.066400000000002</v>
      </c>
    </row>
    <row r="238" spans="2:33" x14ac:dyDescent="0.15">
      <c r="B238" s="22">
        <v>199.98857000000001</v>
      </c>
      <c r="C238">
        <v>117</v>
      </c>
      <c r="D238" s="4">
        <v>99.421449999999993</v>
      </c>
      <c r="E238" s="4">
        <f t="shared" si="15"/>
        <v>100.54789</v>
      </c>
      <c r="I238" s="22">
        <v>225.00504000000001</v>
      </c>
      <c r="J238">
        <v>117</v>
      </c>
      <c r="K238" s="4">
        <v>93.033249999999995</v>
      </c>
      <c r="L238" s="4">
        <f t="shared" si="16"/>
        <v>96.620319999999992</v>
      </c>
      <c r="P238" s="24">
        <v>225.0258</v>
      </c>
      <c r="Q238">
        <v>117</v>
      </c>
      <c r="R238" s="19">
        <v>98.933850000000007</v>
      </c>
      <c r="S238" s="4">
        <f t="shared" si="17"/>
        <v>98.858030000000014</v>
      </c>
      <c r="W238" s="22">
        <v>250.00402</v>
      </c>
      <c r="X238">
        <v>117</v>
      </c>
      <c r="Y238" s="23">
        <v>89.28922</v>
      </c>
      <c r="Z238" s="4">
        <f t="shared" si="18"/>
        <v>94.730050000000006</v>
      </c>
      <c r="AD238" s="24">
        <v>250.02794</v>
      </c>
      <c r="AE238">
        <v>117</v>
      </c>
      <c r="AF238" s="25">
        <v>96.808490000000006</v>
      </c>
      <c r="AG238" s="4">
        <f t="shared" si="19"/>
        <v>97.069980000000001</v>
      </c>
    </row>
    <row r="239" spans="2:33" x14ac:dyDescent="0.15">
      <c r="B239" s="22">
        <v>199.97593000000001</v>
      </c>
      <c r="C239">
        <v>117.5</v>
      </c>
      <c r="D239" s="23">
        <v>99.393249999999995</v>
      </c>
      <c r="E239" s="4">
        <f t="shared" si="15"/>
        <v>100.51969</v>
      </c>
      <c r="I239" s="22">
        <v>225.00704999999999</v>
      </c>
      <c r="J239">
        <v>117.5</v>
      </c>
      <c r="K239" s="23">
        <v>93.051969999999997</v>
      </c>
      <c r="L239" s="4">
        <f t="shared" si="16"/>
        <v>96.639039999999994</v>
      </c>
      <c r="P239" s="24">
        <v>225.02745999999999</v>
      </c>
      <c r="Q239">
        <v>117.5</v>
      </c>
      <c r="R239" s="25">
        <v>99.089200000000005</v>
      </c>
      <c r="S239" s="4">
        <f t="shared" si="17"/>
        <v>99.013380000000012</v>
      </c>
      <c r="W239" s="22">
        <v>250.00303</v>
      </c>
      <c r="X239">
        <v>117.5</v>
      </c>
      <c r="Y239" s="4">
        <v>89.277360000000002</v>
      </c>
      <c r="Z239" s="4">
        <f t="shared" si="18"/>
        <v>94.718190000000007</v>
      </c>
      <c r="AD239" s="24">
        <v>250.02812</v>
      </c>
      <c r="AE239">
        <v>117.5</v>
      </c>
      <c r="AF239" s="19">
        <v>96.835139999999996</v>
      </c>
      <c r="AG239" s="4">
        <f t="shared" si="19"/>
        <v>97.09662999999999</v>
      </c>
    </row>
    <row r="240" spans="2:33" x14ac:dyDescent="0.15">
      <c r="B240" s="22">
        <v>199.96293</v>
      </c>
      <c r="C240">
        <v>118</v>
      </c>
      <c r="D240" s="4">
        <v>99.309449999999998</v>
      </c>
      <c r="E240" s="4">
        <f t="shared" si="15"/>
        <v>100.43589</v>
      </c>
      <c r="I240" s="22">
        <v>225.00702999999999</v>
      </c>
      <c r="J240">
        <v>118</v>
      </c>
      <c r="K240" s="4">
        <v>93.03116</v>
      </c>
      <c r="L240" s="4">
        <f t="shared" si="16"/>
        <v>96.618229999999997</v>
      </c>
      <c r="P240" s="24">
        <v>225.02731</v>
      </c>
      <c r="Q240">
        <v>118</v>
      </c>
      <c r="R240" s="19">
        <v>99.066400000000002</v>
      </c>
      <c r="S240" s="4">
        <f t="shared" si="17"/>
        <v>98.990580000000008</v>
      </c>
      <c r="W240" s="22">
        <v>250.00098</v>
      </c>
      <c r="X240">
        <v>118</v>
      </c>
      <c r="Y240" s="23">
        <v>89.254469999999998</v>
      </c>
      <c r="Z240" s="4">
        <f t="shared" si="18"/>
        <v>94.695300000000003</v>
      </c>
      <c r="AD240" s="24">
        <v>250.02622</v>
      </c>
      <c r="AE240">
        <v>118</v>
      </c>
      <c r="AF240" s="25">
        <v>96.817480000000003</v>
      </c>
      <c r="AG240" s="4">
        <f t="shared" si="19"/>
        <v>97.078969999999998</v>
      </c>
    </row>
    <row r="241" spans="2:33" x14ac:dyDescent="0.15">
      <c r="B241" s="22">
        <v>199.94667999999999</v>
      </c>
      <c r="C241">
        <v>118.5</v>
      </c>
      <c r="D241" s="23">
        <v>99.502489999999995</v>
      </c>
      <c r="E241" s="4">
        <f t="shared" si="15"/>
        <v>100.62893</v>
      </c>
      <c r="I241" s="22">
        <v>225.00306</v>
      </c>
      <c r="J241">
        <v>118.5</v>
      </c>
      <c r="K241" s="23">
        <v>93.016409999999993</v>
      </c>
      <c r="L241" s="4">
        <f t="shared" si="16"/>
        <v>96.60347999999999</v>
      </c>
      <c r="P241" s="24">
        <v>225.02287999999999</v>
      </c>
      <c r="Q241">
        <v>118.5</v>
      </c>
      <c r="R241" s="25">
        <v>98.963939999999994</v>
      </c>
      <c r="S241" s="4">
        <f t="shared" si="17"/>
        <v>98.888120000000001</v>
      </c>
      <c r="W241" s="22">
        <v>250.00707</v>
      </c>
      <c r="X241">
        <v>118.5</v>
      </c>
      <c r="Y241" s="4">
        <v>89.227649999999997</v>
      </c>
      <c r="Z241" s="4">
        <f t="shared" si="18"/>
        <v>94.668480000000002</v>
      </c>
      <c r="AD241" s="24">
        <v>250.02251000000001</v>
      </c>
      <c r="AE241">
        <v>118.5</v>
      </c>
      <c r="AF241" s="19">
        <v>96.755600000000001</v>
      </c>
      <c r="AG241" s="4">
        <f t="shared" si="19"/>
        <v>97.017089999999996</v>
      </c>
    </row>
    <row r="242" spans="2:33" x14ac:dyDescent="0.15">
      <c r="B242" s="22">
        <v>199.92012</v>
      </c>
      <c r="C242">
        <v>119</v>
      </c>
      <c r="D242" s="4">
        <v>99.277760000000001</v>
      </c>
      <c r="E242" s="4">
        <f t="shared" si="15"/>
        <v>100.4042</v>
      </c>
      <c r="I242" s="22">
        <v>225.00314</v>
      </c>
      <c r="J242">
        <v>119</v>
      </c>
      <c r="K242" s="4">
        <v>92.988730000000004</v>
      </c>
      <c r="L242" s="4">
        <f t="shared" si="16"/>
        <v>96.575800000000001</v>
      </c>
      <c r="P242" s="24">
        <v>225.01920999999999</v>
      </c>
      <c r="Q242">
        <v>119</v>
      </c>
      <c r="R242" s="19">
        <v>99.075190000000006</v>
      </c>
      <c r="S242" s="4">
        <f t="shared" si="17"/>
        <v>98.999370000000013</v>
      </c>
      <c r="W242" s="22">
        <v>250.01104000000001</v>
      </c>
      <c r="X242">
        <v>119</v>
      </c>
      <c r="Y242" s="23">
        <v>89.210380000000001</v>
      </c>
      <c r="Z242" s="4">
        <f t="shared" si="18"/>
        <v>94.651210000000006</v>
      </c>
      <c r="AD242" s="24">
        <v>250.02027000000001</v>
      </c>
      <c r="AE242">
        <v>119</v>
      </c>
      <c r="AF242" s="25">
        <v>96.808980000000005</v>
      </c>
      <c r="AG242" s="4">
        <f t="shared" si="19"/>
        <v>97.07047</v>
      </c>
    </row>
    <row r="243" spans="2:33" x14ac:dyDescent="0.15">
      <c r="B243" s="22">
        <v>199.90652</v>
      </c>
      <c r="C243">
        <v>119.5</v>
      </c>
      <c r="D243" s="23">
        <v>99.378420000000006</v>
      </c>
      <c r="E243" s="4">
        <f t="shared" si="15"/>
        <v>100.50486000000001</v>
      </c>
      <c r="I243" s="22">
        <v>225.00901999999999</v>
      </c>
      <c r="J243">
        <v>119.5</v>
      </c>
      <c r="K243" s="23">
        <v>92.997290000000007</v>
      </c>
      <c r="L243" s="4">
        <f t="shared" si="16"/>
        <v>96.584360000000004</v>
      </c>
      <c r="P243" s="24">
        <v>225.01647</v>
      </c>
      <c r="Q243">
        <v>119.5</v>
      </c>
      <c r="R243" s="25">
        <v>99.154420000000002</v>
      </c>
      <c r="S243" s="4">
        <f t="shared" si="17"/>
        <v>99.078600000000009</v>
      </c>
      <c r="W243" s="22">
        <v>250.00905</v>
      </c>
      <c r="X243">
        <v>119.5</v>
      </c>
      <c r="Y243" s="4">
        <v>89.202680000000001</v>
      </c>
      <c r="Z243" s="4">
        <f t="shared" si="18"/>
        <v>94.643510000000006</v>
      </c>
      <c r="AD243" s="24">
        <v>250.01705000000001</v>
      </c>
      <c r="AE243">
        <v>119.5</v>
      </c>
      <c r="AF243" s="19">
        <v>96.740480000000005</v>
      </c>
      <c r="AG243" s="4">
        <f t="shared" si="19"/>
        <v>97.00197</v>
      </c>
    </row>
    <row r="244" spans="2:33" x14ac:dyDescent="0.15">
      <c r="B244" s="22">
        <v>199.91453000000001</v>
      </c>
      <c r="C244">
        <v>120</v>
      </c>
      <c r="D244" s="4">
        <v>99.432540000000003</v>
      </c>
      <c r="E244" s="4">
        <f t="shared" si="15"/>
        <v>100.55898000000001</v>
      </c>
      <c r="I244" s="22">
        <v>225.01025000000001</v>
      </c>
      <c r="J244">
        <v>120</v>
      </c>
      <c r="K244" s="4">
        <v>92.984849999999994</v>
      </c>
      <c r="L244" s="4">
        <f t="shared" si="16"/>
        <v>96.571919999999992</v>
      </c>
      <c r="P244" s="24">
        <v>225.01571000000001</v>
      </c>
      <c r="Q244">
        <v>120</v>
      </c>
      <c r="R244" s="19">
        <v>99.059690000000003</v>
      </c>
      <c r="S244" s="4">
        <f t="shared" si="17"/>
        <v>98.98387000000001</v>
      </c>
      <c r="W244" s="22">
        <v>250.00398999999999</v>
      </c>
      <c r="X244">
        <v>120</v>
      </c>
      <c r="Y244" s="23">
        <v>89.17783</v>
      </c>
      <c r="Z244" s="4">
        <f t="shared" si="18"/>
        <v>94.618660000000006</v>
      </c>
      <c r="AD244" s="24">
        <v>250.01033000000001</v>
      </c>
      <c r="AE244">
        <v>120</v>
      </c>
      <c r="AF244" s="25">
        <v>96.756079999999997</v>
      </c>
      <c r="AG244" s="4">
        <f t="shared" si="19"/>
        <v>97.017569999999992</v>
      </c>
    </row>
    <row r="245" spans="2:33" x14ac:dyDescent="0.15">
      <c r="B245" s="22">
        <v>199.93351999999999</v>
      </c>
      <c r="C245">
        <v>120.5</v>
      </c>
      <c r="D245" s="23">
        <v>99.35548</v>
      </c>
      <c r="E245" s="4">
        <f t="shared" si="15"/>
        <v>100.48192</v>
      </c>
      <c r="I245" s="22">
        <v>225.00497999999999</v>
      </c>
      <c r="J245">
        <v>120.5</v>
      </c>
      <c r="K245" s="23">
        <v>92.963160000000002</v>
      </c>
      <c r="L245" s="4">
        <f t="shared" si="16"/>
        <v>96.550229999999999</v>
      </c>
      <c r="P245" s="24">
        <v>225.01684</v>
      </c>
      <c r="Q245">
        <v>120.5</v>
      </c>
      <c r="R245" s="25">
        <v>99.112639999999999</v>
      </c>
      <c r="S245" s="4">
        <f t="shared" si="17"/>
        <v>99.036820000000006</v>
      </c>
      <c r="W245" s="22">
        <v>250.00098</v>
      </c>
      <c r="X245">
        <v>120.5</v>
      </c>
      <c r="Y245" s="4">
        <v>89.1584</v>
      </c>
      <c r="Z245" s="4">
        <f t="shared" si="18"/>
        <v>94.599230000000006</v>
      </c>
      <c r="AD245" s="24">
        <v>250.00957</v>
      </c>
      <c r="AE245">
        <v>120.5</v>
      </c>
      <c r="AF245" s="19">
        <v>96.73563</v>
      </c>
      <c r="AG245" s="4">
        <f t="shared" si="19"/>
        <v>96.997119999999995</v>
      </c>
    </row>
    <row r="246" spans="2:33" x14ac:dyDescent="0.15">
      <c r="B246" s="22">
        <v>199.94391999999999</v>
      </c>
      <c r="C246">
        <v>121</v>
      </c>
      <c r="D246" s="4">
        <v>99.306020000000004</v>
      </c>
      <c r="E246" s="4">
        <f t="shared" si="15"/>
        <v>100.43246000000001</v>
      </c>
      <c r="I246" s="22">
        <v>225.00704999999999</v>
      </c>
      <c r="J246">
        <v>121</v>
      </c>
      <c r="K246" s="4">
        <v>92.945779999999999</v>
      </c>
      <c r="L246" s="4">
        <f t="shared" si="16"/>
        <v>96.532849999999996</v>
      </c>
      <c r="P246" s="24">
        <v>225.01497000000001</v>
      </c>
      <c r="Q246">
        <v>121</v>
      </c>
      <c r="R246" s="19">
        <v>99.097930000000005</v>
      </c>
      <c r="S246" s="4">
        <f t="shared" si="17"/>
        <v>99.022110000000012</v>
      </c>
      <c r="W246" s="22">
        <v>250.00702999999999</v>
      </c>
      <c r="X246">
        <v>121</v>
      </c>
      <c r="Y246" s="23">
        <v>89.123850000000004</v>
      </c>
      <c r="Z246" s="4">
        <f t="shared" si="18"/>
        <v>94.56468000000001</v>
      </c>
      <c r="AD246" s="24">
        <v>250.00993</v>
      </c>
      <c r="AE246">
        <v>121</v>
      </c>
      <c r="AF246" s="25">
        <v>96.679180000000002</v>
      </c>
      <c r="AG246" s="4">
        <f t="shared" si="19"/>
        <v>96.940669999999997</v>
      </c>
    </row>
    <row r="247" spans="2:33" x14ac:dyDescent="0.15">
      <c r="B247" s="22">
        <v>199.93621999999999</v>
      </c>
      <c r="C247">
        <v>121.5</v>
      </c>
      <c r="D247" s="23">
        <v>99.242239999999995</v>
      </c>
      <c r="E247" s="4">
        <f t="shared" si="15"/>
        <v>100.36868</v>
      </c>
      <c r="I247" s="22">
        <v>225.00615999999999</v>
      </c>
      <c r="J247">
        <v>121.5</v>
      </c>
      <c r="K247" s="23">
        <v>92.917370000000005</v>
      </c>
      <c r="L247" s="4">
        <f t="shared" si="16"/>
        <v>96.504440000000002</v>
      </c>
      <c r="P247" s="24">
        <v>225.01047</v>
      </c>
      <c r="Q247">
        <v>121.5</v>
      </c>
      <c r="R247" s="25">
        <v>98.974699999999999</v>
      </c>
      <c r="S247" s="4">
        <f t="shared" si="17"/>
        <v>98.898880000000005</v>
      </c>
      <c r="W247" s="22">
        <v>250.00403</v>
      </c>
      <c r="X247">
        <v>121.5</v>
      </c>
      <c r="Y247" s="4">
        <v>89.101179999999999</v>
      </c>
      <c r="Z247" s="4">
        <f t="shared" si="18"/>
        <v>94.542010000000005</v>
      </c>
      <c r="AD247" s="24">
        <v>250.01175000000001</v>
      </c>
      <c r="AE247">
        <v>121.5</v>
      </c>
      <c r="AF247" s="19">
        <v>96.690010000000001</v>
      </c>
      <c r="AG247" s="4">
        <f t="shared" si="19"/>
        <v>96.951499999999996</v>
      </c>
    </row>
    <row r="248" spans="2:33" x14ac:dyDescent="0.15">
      <c r="B248" s="22">
        <v>199.92705000000001</v>
      </c>
      <c r="C248">
        <v>122</v>
      </c>
      <c r="D248" s="4">
        <v>99.176869999999994</v>
      </c>
      <c r="E248" s="4">
        <f t="shared" si="15"/>
        <v>100.30331</v>
      </c>
      <c r="I248" s="22">
        <v>225.00403</v>
      </c>
      <c r="J248">
        <v>122</v>
      </c>
      <c r="K248" s="4">
        <v>92.911879999999996</v>
      </c>
      <c r="L248" s="4">
        <f t="shared" si="16"/>
        <v>96.498949999999994</v>
      </c>
      <c r="P248" s="24">
        <v>225.00973999999999</v>
      </c>
      <c r="Q248">
        <v>122</v>
      </c>
      <c r="R248" s="19">
        <v>98.980770000000007</v>
      </c>
      <c r="S248" s="4">
        <f t="shared" si="17"/>
        <v>98.904950000000014</v>
      </c>
      <c r="W248" s="22">
        <v>250.005</v>
      </c>
      <c r="X248">
        <v>122</v>
      </c>
      <c r="Y248" s="23">
        <v>89.083749999999995</v>
      </c>
      <c r="Z248" s="4">
        <f t="shared" si="18"/>
        <v>94.52458</v>
      </c>
      <c r="AD248" s="24">
        <v>250.01005000000001</v>
      </c>
      <c r="AE248">
        <v>122</v>
      </c>
      <c r="AF248" s="25">
        <v>96.677409999999995</v>
      </c>
      <c r="AG248" s="4">
        <f t="shared" si="19"/>
        <v>96.93889999999999</v>
      </c>
    </row>
    <row r="249" spans="2:33" x14ac:dyDescent="0.15">
      <c r="B249" s="22">
        <v>199.92836</v>
      </c>
      <c r="C249">
        <v>122.5</v>
      </c>
      <c r="D249" s="23">
        <v>99.529300000000006</v>
      </c>
      <c r="E249" s="4">
        <f t="shared" si="15"/>
        <v>100.65574000000001</v>
      </c>
      <c r="I249" s="22">
        <v>225.00295</v>
      </c>
      <c r="J249">
        <v>122.5</v>
      </c>
      <c r="K249" s="23">
        <v>92.884320000000002</v>
      </c>
      <c r="L249" s="4">
        <f t="shared" si="16"/>
        <v>96.47139</v>
      </c>
      <c r="P249" s="24">
        <v>225.00937999999999</v>
      </c>
      <c r="Q249">
        <v>122.5</v>
      </c>
      <c r="R249" s="25">
        <v>99.041129999999995</v>
      </c>
      <c r="S249" s="4">
        <f t="shared" si="17"/>
        <v>98.965310000000002</v>
      </c>
      <c r="W249" s="22">
        <v>250.00695999999999</v>
      </c>
      <c r="X249">
        <v>122.5</v>
      </c>
      <c r="Y249" s="4">
        <v>89.068629999999999</v>
      </c>
      <c r="Z249" s="4">
        <f t="shared" si="18"/>
        <v>94.509460000000004</v>
      </c>
      <c r="AD249" s="24">
        <v>250.00939</v>
      </c>
      <c r="AE249">
        <v>122.5</v>
      </c>
      <c r="AF249" s="19">
        <v>96.608059999999995</v>
      </c>
      <c r="AG249" s="4">
        <f t="shared" si="19"/>
        <v>96.86954999999999</v>
      </c>
    </row>
    <row r="250" spans="2:33" x14ac:dyDescent="0.15">
      <c r="B250" s="22">
        <v>199.94030000000001</v>
      </c>
      <c r="C250">
        <v>123</v>
      </c>
      <c r="D250" s="4">
        <v>99.091679999999997</v>
      </c>
      <c r="E250" s="4">
        <f t="shared" si="15"/>
        <v>100.21812</v>
      </c>
      <c r="I250" s="22">
        <v>225.00393</v>
      </c>
      <c r="J250">
        <v>123</v>
      </c>
      <c r="K250" s="4">
        <v>92.883859999999999</v>
      </c>
      <c r="L250" s="4">
        <f t="shared" si="16"/>
        <v>96.470929999999996</v>
      </c>
      <c r="P250" s="24">
        <v>225.00883999999999</v>
      </c>
      <c r="Q250">
        <v>123</v>
      </c>
      <c r="R250" s="19">
        <v>98.97175</v>
      </c>
      <c r="S250" s="4">
        <f t="shared" si="17"/>
        <v>98.895930000000007</v>
      </c>
      <c r="W250" s="22">
        <v>250.00497999999999</v>
      </c>
      <c r="X250">
        <v>123</v>
      </c>
      <c r="Y250" s="23">
        <v>89.045540000000003</v>
      </c>
      <c r="Z250" s="4">
        <f t="shared" si="18"/>
        <v>94.486370000000008</v>
      </c>
      <c r="AD250" s="24">
        <v>250.01309000000001</v>
      </c>
      <c r="AE250">
        <v>123</v>
      </c>
      <c r="AF250" s="25">
        <v>96.75385</v>
      </c>
      <c r="AG250" s="4">
        <f t="shared" si="19"/>
        <v>97.015339999999995</v>
      </c>
    </row>
    <row r="251" spans="2:33" x14ac:dyDescent="0.15">
      <c r="B251" s="22">
        <v>199.96247</v>
      </c>
      <c r="C251">
        <v>123.5</v>
      </c>
      <c r="D251" s="23">
        <v>99.302729999999997</v>
      </c>
      <c r="E251" s="4">
        <f t="shared" si="15"/>
        <v>100.42917</v>
      </c>
      <c r="I251" s="22">
        <v>225.00197</v>
      </c>
      <c r="J251">
        <v>123.5</v>
      </c>
      <c r="K251" s="23">
        <v>92.862340000000003</v>
      </c>
      <c r="L251" s="4">
        <f t="shared" si="16"/>
        <v>96.44941</v>
      </c>
      <c r="P251" s="24">
        <v>225.00792000000001</v>
      </c>
      <c r="Q251">
        <v>123.5</v>
      </c>
      <c r="R251" s="25">
        <v>99.037459999999996</v>
      </c>
      <c r="S251" s="4">
        <f t="shared" si="17"/>
        <v>98.961640000000003</v>
      </c>
      <c r="W251" s="22">
        <v>250.006</v>
      </c>
      <c r="X251">
        <v>123.5</v>
      </c>
      <c r="Y251" s="4">
        <v>89.028329999999997</v>
      </c>
      <c r="Z251" s="4">
        <f t="shared" si="18"/>
        <v>94.469160000000002</v>
      </c>
      <c r="AD251" s="24">
        <v>250.01381000000001</v>
      </c>
      <c r="AE251">
        <v>123.5</v>
      </c>
      <c r="AF251" s="19">
        <v>96.637129999999999</v>
      </c>
      <c r="AG251" s="4">
        <f t="shared" si="19"/>
        <v>96.898619999999994</v>
      </c>
    </row>
    <row r="252" spans="2:33" x14ac:dyDescent="0.15">
      <c r="B252" s="22">
        <v>199.98569000000001</v>
      </c>
      <c r="C252">
        <v>124</v>
      </c>
      <c r="D252" s="4">
        <v>99.372559999999993</v>
      </c>
      <c r="E252" s="4">
        <f t="shared" si="15"/>
        <v>100.499</v>
      </c>
      <c r="I252" s="22">
        <v>225.00703999999999</v>
      </c>
      <c r="J252">
        <v>124</v>
      </c>
      <c r="K252" s="4">
        <v>92.835229999999996</v>
      </c>
      <c r="L252" s="4">
        <f t="shared" si="16"/>
        <v>96.422299999999993</v>
      </c>
      <c r="P252" s="24">
        <v>225.01235</v>
      </c>
      <c r="Q252">
        <v>124</v>
      </c>
      <c r="R252" s="19">
        <v>99.083340000000007</v>
      </c>
      <c r="S252" s="4">
        <f t="shared" si="17"/>
        <v>99.007520000000014</v>
      </c>
      <c r="W252" s="22">
        <v>250.00303</v>
      </c>
      <c r="X252">
        <v>124</v>
      </c>
      <c r="Y252" s="23">
        <v>88.995599999999996</v>
      </c>
      <c r="Z252" s="4">
        <f t="shared" si="18"/>
        <v>94.436430000000001</v>
      </c>
      <c r="AD252" s="24">
        <v>250.01535999999999</v>
      </c>
      <c r="AE252">
        <v>124</v>
      </c>
      <c r="AF252" s="25">
        <v>96.608509999999995</v>
      </c>
      <c r="AG252" s="4">
        <f t="shared" si="19"/>
        <v>96.86999999999999</v>
      </c>
    </row>
    <row r="253" spans="2:33" x14ac:dyDescent="0.15">
      <c r="B253" s="22">
        <v>200.00264000000001</v>
      </c>
      <c r="C253">
        <v>124.5</v>
      </c>
      <c r="D253" s="23">
        <v>99.316720000000004</v>
      </c>
      <c r="E253" s="4">
        <f t="shared" si="15"/>
        <v>100.44316000000001</v>
      </c>
      <c r="I253" s="22">
        <v>225.00695999999999</v>
      </c>
      <c r="J253">
        <v>124.5</v>
      </c>
      <c r="K253" s="23">
        <v>92.81268</v>
      </c>
      <c r="L253" s="4">
        <f t="shared" si="16"/>
        <v>96.399749999999997</v>
      </c>
      <c r="P253" s="24">
        <v>225.01429999999999</v>
      </c>
      <c r="Q253">
        <v>124.5</v>
      </c>
      <c r="R253" s="25">
        <v>98.878100000000003</v>
      </c>
      <c r="S253" s="4">
        <f t="shared" si="17"/>
        <v>98.80228000000001</v>
      </c>
      <c r="W253" s="22">
        <v>250.00602000000001</v>
      </c>
      <c r="X253">
        <v>124.5</v>
      </c>
      <c r="Y253" s="4">
        <v>88.97457</v>
      </c>
      <c r="Z253" s="4">
        <f t="shared" si="18"/>
        <v>94.415400000000005</v>
      </c>
      <c r="AD253" s="24">
        <v>250.01685000000001</v>
      </c>
      <c r="AE253">
        <v>124.5</v>
      </c>
      <c r="AF253" s="19">
        <v>96.602180000000004</v>
      </c>
      <c r="AG253" s="4">
        <f t="shared" si="19"/>
        <v>96.863669999999999</v>
      </c>
    </row>
    <row r="254" spans="2:33" x14ac:dyDescent="0.15">
      <c r="B254" s="22">
        <v>200.00989999999999</v>
      </c>
      <c r="C254">
        <v>125</v>
      </c>
      <c r="D254" s="4">
        <v>99.354960000000005</v>
      </c>
      <c r="E254" s="4">
        <f t="shared" si="15"/>
        <v>100.48140000000001</v>
      </c>
      <c r="I254" s="22">
        <v>225.0069</v>
      </c>
      <c r="J254">
        <v>125</v>
      </c>
      <c r="K254" s="4">
        <v>92.82226</v>
      </c>
      <c r="L254" s="4">
        <f t="shared" si="16"/>
        <v>96.409329999999997</v>
      </c>
      <c r="P254" s="24">
        <v>225.01562000000001</v>
      </c>
      <c r="Q254">
        <v>125</v>
      </c>
      <c r="R254" s="19">
        <v>98.98442</v>
      </c>
      <c r="S254" s="4">
        <f t="shared" si="17"/>
        <v>98.908600000000007</v>
      </c>
      <c r="W254" s="22">
        <v>250.00701000000001</v>
      </c>
      <c r="X254">
        <v>125</v>
      </c>
      <c r="Y254" s="23">
        <v>88.972530000000006</v>
      </c>
      <c r="Z254" s="4">
        <f t="shared" si="18"/>
        <v>94.413360000000011</v>
      </c>
      <c r="AD254" s="24">
        <v>250.02067</v>
      </c>
      <c r="AE254">
        <v>125</v>
      </c>
      <c r="AF254" s="25">
        <v>96.647810000000007</v>
      </c>
      <c r="AG254" s="4">
        <f t="shared" si="19"/>
        <v>96.909300000000002</v>
      </c>
    </row>
    <row r="255" spans="2:33" x14ac:dyDescent="0.15">
      <c r="B255" s="22">
        <v>200.00214</v>
      </c>
      <c r="C255">
        <v>125.5</v>
      </c>
      <c r="D255" s="23">
        <v>99.275350000000003</v>
      </c>
      <c r="E255" s="4">
        <f t="shared" si="15"/>
        <v>100.40179000000001</v>
      </c>
      <c r="I255" s="22">
        <v>225.00407999999999</v>
      </c>
      <c r="J255">
        <v>125.5</v>
      </c>
      <c r="K255" s="23">
        <v>92.824200000000005</v>
      </c>
      <c r="L255" s="4">
        <f t="shared" si="16"/>
        <v>96.411270000000002</v>
      </c>
      <c r="P255" s="24">
        <v>225.01859999999999</v>
      </c>
      <c r="Q255">
        <v>125.5</v>
      </c>
      <c r="R255" s="25">
        <v>98.992930000000001</v>
      </c>
      <c r="S255" s="4">
        <f t="shared" si="17"/>
        <v>98.917110000000008</v>
      </c>
      <c r="W255" s="22">
        <v>250.00601</v>
      </c>
      <c r="X255">
        <v>125.5</v>
      </c>
      <c r="Y255" s="4">
        <v>88.938239999999993</v>
      </c>
      <c r="Z255" s="4">
        <f t="shared" si="18"/>
        <v>94.379069999999999</v>
      </c>
      <c r="AD255" s="24">
        <v>250.01804000000001</v>
      </c>
      <c r="AE255">
        <v>125.5</v>
      </c>
      <c r="AF255" s="19">
        <v>96.566230000000004</v>
      </c>
      <c r="AG255" s="4">
        <f t="shared" si="19"/>
        <v>96.827719999999999</v>
      </c>
    </row>
    <row r="256" spans="2:33" x14ac:dyDescent="0.15">
      <c r="B256" s="22">
        <v>199.97827000000001</v>
      </c>
      <c r="C256">
        <v>126</v>
      </c>
      <c r="D256" s="4">
        <v>99.224230000000006</v>
      </c>
      <c r="E256" s="4">
        <f t="shared" si="15"/>
        <v>100.35067000000001</v>
      </c>
      <c r="I256" s="22">
        <v>225.00314</v>
      </c>
      <c r="J256">
        <v>126</v>
      </c>
      <c r="K256" s="4">
        <v>92.804050000000004</v>
      </c>
      <c r="L256" s="4">
        <f t="shared" si="16"/>
        <v>96.391120000000001</v>
      </c>
      <c r="P256" s="24">
        <v>225.01774</v>
      </c>
      <c r="Q256">
        <v>126</v>
      </c>
      <c r="R256" s="19">
        <v>99.032150000000001</v>
      </c>
      <c r="S256" s="4">
        <f t="shared" si="17"/>
        <v>98.956330000000008</v>
      </c>
      <c r="W256" s="22">
        <v>250.00398000000001</v>
      </c>
      <c r="X256">
        <v>126</v>
      </c>
      <c r="Y256" s="23">
        <v>88.916970000000006</v>
      </c>
      <c r="Z256" s="4">
        <f t="shared" si="18"/>
        <v>94.357800000000012</v>
      </c>
      <c r="AD256" s="24">
        <v>250.01803000000001</v>
      </c>
      <c r="AE256">
        <v>126</v>
      </c>
      <c r="AF256" s="25">
        <v>96.576809999999995</v>
      </c>
      <c r="AG256" s="4">
        <f t="shared" si="19"/>
        <v>96.83829999999999</v>
      </c>
    </row>
    <row r="257" spans="2:33" x14ac:dyDescent="0.15">
      <c r="B257" s="22">
        <v>199.95296999999999</v>
      </c>
      <c r="C257">
        <v>126.5</v>
      </c>
      <c r="D257" s="23">
        <v>99.185959999999994</v>
      </c>
      <c r="E257" s="4">
        <f t="shared" si="15"/>
        <v>100.3124</v>
      </c>
      <c r="I257" s="22">
        <v>225.00706</v>
      </c>
      <c r="J257">
        <v>126.5</v>
      </c>
      <c r="K257" s="23">
        <v>92.803960000000004</v>
      </c>
      <c r="L257" s="4">
        <f t="shared" si="16"/>
        <v>96.391030000000001</v>
      </c>
      <c r="P257" s="24">
        <v>225.01883000000001</v>
      </c>
      <c r="Q257">
        <v>126.5</v>
      </c>
      <c r="R257" s="25">
        <v>99.051730000000006</v>
      </c>
      <c r="S257" s="4">
        <f t="shared" si="17"/>
        <v>98.975910000000013</v>
      </c>
      <c r="W257" s="22">
        <v>250.005</v>
      </c>
      <c r="X257">
        <v>126.5</v>
      </c>
      <c r="Y257" s="4">
        <v>88.894080000000002</v>
      </c>
      <c r="Z257" s="4">
        <f t="shared" si="18"/>
        <v>94.334910000000008</v>
      </c>
      <c r="AD257" s="24">
        <v>250.02203</v>
      </c>
      <c r="AE257">
        <v>126.5</v>
      </c>
      <c r="AF257" s="19">
        <v>96.65334</v>
      </c>
      <c r="AG257" s="4">
        <f t="shared" si="19"/>
        <v>96.914829999999995</v>
      </c>
    </row>
    <row r="258" spans="2:33" x14ac:dyDescent="0.15">
      <c r="B258" s="22">
        <v>199.94710000000001</v>
      </c>
      <c r="C258">
        <v>127</v>
      </c>
      <c r="D258" s="4">
        <v>99.341080000000005</v>
      </c>
      <c r="E258" s="4">
        <f t="shared" si="15"/>
        <v>100.46752000000001</v>
      </c>
      <c r="I258" s="22">
        <v>225.00803999999999</v>
      </c>
      <c r="J258">
        <v>127</v>
      </c>
      <c r="K258" s="4">
        <v>92.783299999999997</v>
      </c>
      <c r="L258" s="4">
        <f t="shared" si="16"/>
        <v>96.370369999999994</v>
      </c>
      <c r="P258" s="24">
        <v>225.02008000000001</v>
      </c>
      <c r="Q258">
        <v>127</v>
      </c>
      <c r="R258" s="19">
        <v>99.058459999999997</v>
      </c>
      <c r="S258" s="4">
        <f t="shared" si="17"/>
        <v>98.982640000000004</v>
      </c>
      <c r="W258" s="22">
        <v>250.00797</v>
      </c>
      <c r="X258">
        <v>127</v>
      </c>
      <c r="Y258" s="23">
        <v>88.886319999999998</v>
      </c>
      <c r="Z258" s="4">
        <f t="shared" si="18"/>
        <v>94.327150000000003</v>
      </c>
      <c r="AD258" s="24">
        <v>250.02135999999999</v>
      </c>
      <c r="AE258">
        <v>127</v>
      </c>
      <c r="AF258" s="25">
        <v>96.524370000000005</v>
      </c>
      <c r="AG258" s="4">
        <f t="shared" si="19"/>
        <v>96.78586</v>
      </c>
    </row>
    <row r="259" spans="2:33" x14ac:dyDescent="0.15">
      <c r="B259" s="22">
        <v>199.95614</v>
      </c>
      <c r="C259">
        <v>127.5</v>
      </c>
      <c r="D259" s="23">
        <v>99.083119999999994</v>
      </c>
      <c r="E259" s="4">
        <f t="shared" si="15"/>
        <v>100.20956</v>
      </c>
      <c r="I259" s="22">
        <v>225.00388000000001</v>
      </c>
      <c r="J259">
        <v>127.5</v>
      </c>
      <c r="K259" s="23">
        <v>92.758089999999996</v>
      </c>
      <c r="L259" s="4">
        <f t="shared" si="16"/>
        <v>96.345159999999993</v>
      </c>
      <c r="P259" s="24">
        <v>225.02074999999999</v>
      </c>
      <c r="Q259">
        <v>127.5</v>
      </c>
      <c r="R259" s="25">
        <v>99.124300000000005</v>
      </c>
      <c r="S259" s="4">
        <f t="shared" si="17"/>
        <v>99.048480000000012</v>
      </c>
      <c r="W259" s="22">
        <v>250.00597999999999</v>
      </c>
      <c r="X259">
        <v>127.5</v>
      </c>
      <c r="Y259" s="4">
        <v>88.847890000000007</v>
      </c>
      <c r="Z259" s="4">
        <f t="shared" si="18"/>
        <v>94.288720000000012</v>
      </c>
      <c r="AD259" s="24">
        <v>250.02058</v>
      </c>
      <c r="AE259">
        <v>127.5</v>
      </c>
      <c r="AF259" s="19">
        <v>96.488029999999995</v>
      </c>
      <c r="AG259" s="4">
        <f t="shared" si="19"/>
        <v>96.74951999999999</v>
      </c>
    </row>
    <row r="260" spans="2:33" x14ac:dyDescent="0.15">
      <c r="B260" s="22">
        <v>199.96520000000001</v>
      </c>
      <c r="C260">
        <v>128</v>
      </c>
      <c r="D260" s="4">
        <v>99.267290000000003</v>
      </c>
      <c r="E260" s="4">
        <f t="shared" si="15"/>
        <v>100.39373000000001</v>
      </c>
      <c r="I260" s="22">
        <v>225.00808000000001</v>
      </c>
      <c r="J260">
        <v>128</v>
      </c>
      <c r="K260" s="4">
        <v>92.758459999999999</v>
      </c>
      <c r="L260" s="4">
        <f t="shared" si="16"/>
        <v>96.345529999999997</v>
      </c>
      <c r="P260" s="24">
        <v>225.02395999999999</v>
      </c>
      <c r="Q260">
        <v>128</v>
      </c>
      <c r="R260" s="19">
        <v>99.026650000000004</v>
      </c>
      <c r="S260" s="4">
        <f t="shared" si="17"/>
        <v>98.950830000000011</v>
      </c>
      <c r="W260" s="22">
        <v>250.01000999999999</v>
      </c>
      <c r="X260">
        <v>128</v>
      </c>
      <c r="Y260" s="23">
        <v>88.830539999999999</v>
      </c>
      <c r="Z260" s="4">
        <f t="shared" si="18"/>
        <v>94.271370000000005</v>
      </c>
      <c r="AD260" s="24">
        <v>250.01768000000001</v>
      </c>
      <c r="AE260">
        <v>128</v>
      </c>
      <c r="AF260" s="25">
        <v>96.464089999999999</v>
      </c>
      <c r="AG260" s="4">
        <f t="shared" si="19"/>
        <v>96.725579999999994</v>
      </c>
    </row>
    <row r="261" spans="2:33" x14ac:dyDescent="0.15">
      <c r="B261" s="22">
        <v>199.95961</v>
      </c>
      <c r="C261">
        <v>128.5</v>
      </c>
      <c r="D261" s="23">
        <v>99.377489999999995</v>
      </c>
      <c r="E261" s="4">
        <f t="shared" ref="E261:E324" si="20">100-($D$4-D261)</f>
        <v>100.50393</v>
      </c>
      <c r="I261" s="22">
        <v>225.00606999999999</v>
      </c>
      <c r="J261">
        <v>128.5</v>
      </c>
      <c r="K261" s="23">
        <v>92.738579999999999</v>
      </c>
      <c r="L261" s="4">
        <f t="shared" ref="L261:L324" si="21">100-($K$4-K261)</f>
        <v>96.325649999999996</v>
      </c>
      <c r="P261" s="24">
        <v>225.02137999999999</v>
      </c>
      <c r="Q261">
        <v>128.5</v>
      </c>
      <c r="R261" s="25">
        <v>99.024959999999993</v>
      </c>
      <c r="S261" s="4">
        <f t="shared" ref="S261:S324" si="22">100-($R$4-R261)</f>
        <v>98.94914</v>
      </c>
      <c r="W261" s="22">
        <v>250.00503</v>
      </c>
      <c r="X261">
        <v>128.5</v>
      </c>
      <c r="Y261" s="4">
        <v>88.815380000000005</v>
      </c>
      <c r="Z261" s="4">
        <f t="shared" ref="Z261:Z324" si="23">100-($Y$4-Y261)</f>
        <v>94.25621000000001</v>
      </c>
      <c r="AD261" s="24">
        <v>250.01084</v>
      </c>
      <c r="AE261">
        <v>128.5</v>
      </c>
      <c r="AF261" s="19">
        <v>96.493129999999994</v>
      </c>
      <c r="AG261" s="4">
        <f t="shared" ref="AG261:AG324" si="24">100-($AF$4-AF261)</f>
        <v>96.754619999999989</v>
      </c>
    </row>
    <row r="262" spans="2:33" x14ac:dyDescent="0.15">
      <c r="B262" s="22">
        <v>199.93705</v>
      </c>
      <c r="C262">
        <v>129</v>
      </c>
      <c r="D262" s="4">
        <v>99.040210000000002</v>
      </c>
      <c r="E262" s="4">
        <f t="shared" si="20"/>
        <v>100.16665</v>
      </c>
      <c r="I262" s="22">
        <v>225.00591</v>
      </c>
      <c r="J262">
        <v>129</v>
      </c>
      <c r="K262" s="4">
        <v>92.707629999999995</v>
      </c>
      <c r="L262" s="4">
        <f t="shared" si="21"/>
        <v>96.294699999999992</v>
      </c>
      <c r="P262" s="24">
        <v>225.01857000000001</v>
      </c>
      <c r="Q262">
        <v>129</v>
      </c>
      <c r="R262" s="19">
        <v>99.021720000000002</v>
      </c>
      <c r="S262" s="4">
        <f t="shared" si="22"/>
        <v>98.945900000000009</v>
      </c>
      <c r="W262" s="22">
        <v>250.00303</v>
      </c>
      <c r="X262">
        <v>129</v>
      </c>
      <c r="Y262" s="23">
        <v>88.786469999999994</v>
      </c>
      <c r="Z262" s="4">
        <f t="shared" si="23"/>
        <v>94.2273</v>
      </c>
      <c r="AD262" s="24">
        <v>250.00572</v>
      </c>
      <c r="AE262">
        <v>129</v>
      </c>
      <c r="AF262" s="25">
        <v>96.433359999999993</v>
      </c>
      <c r="AG262" s="4">
        <f t="shared" si="24"/>
        <v>96.694849999999988</v>
      </c>
    </row>
    <row r="263" spans="2:33" x14ac:dyDescent="0.15">
      <c r="B263" s="22">
        <v>199.92335</v>
      </c>
      <c r="C263">
        <v>129.5</v>
      </c>
      <c r="D263" s="23">
        <v>99.177099999999996</v>
      </c>
      <c r="E263" s="4">
        <f t="shared" si="20"/>
        <v>100.30354</v>
      </c>
      <c r="I263" s="22">
        <v>225.00101000000001</v>
      </c>
      <c r="J263">
        <v>129.5</v>
      </c>
      <c r="K263" s="23">
        <v>92.697339999999997</v>
      </c>
      <c r="L263" s="4">
        <f t="shared" si="21"/>
        <v>96.284409999999994</v>
      </c>
      <c r="P263" s="24">
        <v>225.02072999999999</v>
      </c>
      <c r="Q263">
        <v>129.5</v>
      </c>
      <c r="R263" s="25">
        <v>98.955979999999997</v>
      </c>
      <c r="S263" s="4">
        <f t="shared" si="22"/>
        <v>98.880160000000004</v>
      </c>
      <c r="W263" s="22">
        <v>250.005</v>
      </c>
      <c r="X263">
        <v>129.5</v>
      </c>
      <c r="Y263" s="4">
        <v>88.763540000000006</v>
      </c>
      <c r="Z263" s="4">
        <f t="shared" si="23"/>
        <v>94.204370000000011</v>
      </c>
      <c r="AD263" s="24">
        <v>250.00665000000001</v>
      </c>
      <c r="AE263">
        <v>129.5</v>
      </c>
      <c r="AF263" s="19">
        <v>96.517560000000003</v>
      </c>
      <c r="AG263" s="4">
        <f t="shared" si="24"/>
        <v>96.779049999999998</v>
      </c>
    </row>
    <row r="264" spans="2:33" x14ac:dyDescent="0.15">
      <c r="B264" s="22">
        <v>199.92044000000001</v>
      </c>
      <c r="C264">
        <v>130</v>
      </c>
      <c r="D264" s="4">
        <v>99.373949999999994</v>
      </c>
      <c r="E264" s="4">
        <f t="shared" si="20"/>
        <v>100.50039</v>
      </c>
      <c r="I264" s="22">
        <v>225.00496000000001</v>
      </c>
      <c r="J264">
        <v>130</v>
      </c>
      <c r="K264" s="4">
        <v>92.688450000000003</v>
      </c>
      <c r="L264" s="4">
        <f t="shared" si="21"/>
        <v>96.27552</v>
      </c>
      <c r="P264" s="24">
        <v>225.02142000000001</v>
      </c>
      <c r="Q264">
        <v>130</v>
      </c>
      <c r="R264" s="19">
        <v>99.007949999999994</v>
      </c>
      <c r="S264" s="4">
        <f t="shared" si="22"/>
        <v>98.932130000000001</v>
      </c>
      <c r="W264" s="22">
        <v>250.00899999999999</v>
      </c>
      <c r="X264">
        <v>130</v>
      </c>
      <c r="Y264" s="23">
        <v>88.734809999999996</v>
      </c>
      <c r="Z264" s="4">
        <f t="shared" si="23"/>
        <v>94.175640000000001</v>
      </c>
      <c r="AD264" s="24">
        <v>250.01176000000001</v>
      </c>
      <c r="AE264">
        <v>130</v>
      </c>
      <c r="AF264" s="25">
        <v>96.450299999999999</v>
      </c>
      <c r="AG264" s="4">
        <f t="shared" si="24"/>
        <v>96.711789999999993</v>
      </c>
    </row>
    <row r="265" spans="2:33" x14ac:dyDescent="0.15">
      <c r="B265" s="22">
        <v>199.93161000000001</v>
      </c>
      <c r="C265">
        <v>130.5</v>
      </c>
      <c r="D265" s="23">
        <v>99.306380000000004</v>
      </c>
      <c r="E265" s="4">
        <f t="shared" si="20"/>
        <v>100.43282000000001</v>
      </c>
      <c r="I265" s="22">
        <v>225.00504000000001</v>
      </c>
      <c r="J265">
        <v>130.5</v>
      </c>
      <c r="K265" s="23">
        <v>92.683890000000005</v>
      </c>
      <c r="L265" s="4">
        <f t="shared" si="21"/>
        <v>96.270960000000002</v>
      </c>
      <c r="P265" s="24">
        <v>225.02086</v>
      </c>
      <c r="Q265">
        <v>130.5</v>
      </c>
      <c r="R265" s="25">
        <v>98.965140000000005</v>
      </c>
      <c r="S265" s="4">
        <f t="shared" si="22"/>
        <v>98.889320000000012</v>
      </c>
      <c r="W265" s="22">
        <v>250.00901999999999</v>
      </c>
      <c r="X265">
        <v>130.5</v>
      </c>
      <c r="Y265" s="4">
        <v>88.717680000000001</v>
      </c>
      <c r="Z265" s="4">
        <f t="shared" si="23"/>
        <v>94.158510000000007</v>
      </c>
      <c r="AD265" s="24">
        <v>250.01491999999999</v>
      </c>
      <c r="AE265">
        <v>130.5</v>
      </c>
      <c r="AF265" s="19">
        <v>96.439350000000005</v>
      </c>
      <c r="AG265" s="4">
        <f t="shared" si="24"/>
        <v>96.700839999999999</v>
      </c>
    </row>
    <row r="266" spans="2:33" x14ac:dyDescent="0.15">
      <c r="B266" s="22">
        <v>199.95235</v>
      </c>
      <c r="C266">
        <v>131</v>
      </c>
      <c r="D266" s="4">
        <v>99.167150000000007</v>
      </c>
      <c r="E266" s="4">
        <f t="shared" si="20"/>
        <v>100.29359000000001</v>
      </c>
      <c r="I266" s="22">
        <v>225.00890999999999</v>
      </c>
      <c r="J266">
        <v>131</v>
      </c>
      <c r="K266" s="4">
        <v>92.696259999999995</v>
      </c>
      <c r="L266" s="4">
        <f t="shared" si="21"/>
        <v>96.283329999999992</v>
      </c>
      <c r="P266" s="24">
        <v>225.02345</v>
      </c>
      <c r="Q266">
        <v>131</v>
      </c>
      <c r="R266" s="19">
        <v>98.852980000000002</v>
      </c>
      <c r="S266" s="4">
        <f t="shared" si="22"/>
        <v>98.777160000000009</v>
      </c>
      <c r="W266" s="22">
        <v>250.01104000000001</v>
      </c>
      <c r="X266">
        <v>131</v>
      </c>
      <c r="Y266" s="23">
        <v>88.702190000000002</v>
      </c>
      <c r="Z266" s="4">
        <f t="shared" si="23"/>
        <v>94.143020000000007</v>
      </c>
      <c r="AD266" s="24">
        <v>250.01733999999999</v>
      </c>
      <c r="AE266">
        <v>131</v>
      </c>
      <c r="AF266" s="25">
        <v>96.446929999999995</v>
      </c>
      <c r="AG266" s="4">
        <f t="shared" si="24"/>
        <v>96.70841999999999</v>
      </c>
    </row>
    <row r="267" spans="2:33" x14ac:dyDescent="0.15">
      <c r="B267" s="22">
        <v>199.97484</v>
      </c>
      <c r="C267">
        <v>131.5</v>
      </c>
      <c r="D267" s="23">
        <v>99.095920000000007</v>
      </c>
      <c r="E267" s="4">
        <f t="shared" si="20"/>
        <v>100.22236000000001</v>
      </c>
      <c r="I267" s="22">
        <v>225.00704999999999</v>
      </c>
      <c r="J267">
        <v>131.5</v>
      </c>
      <c r="K267" s="23">
        <v>92.671710000000004</v>
      </c>
      <c r="L267" s="4">
        <f t="shared" si="21"/>
        <v>96.258780000000002</v>
      </c>
      <c r="P267" s="24">
        <v>225.02137999999999</v>
      </c>
      <c r="Q267">
        <v>131.5</v>
      </c>
      <c r="R267" s="25">
        <v>98.984430000000003</v>
      </c>
      <c r="S267" s="4">
        <f t="shared" si="22"/>
        <v>98.90861000000001</v>
      </c>
      <c r="W267" s="22">
        <v>250.00597999999999</v>
      </c>
      <c r="X267">
        <v>131.5</v>
      </c>
      <c r="Y267" s="4">
        <v>88.669529999999995</v>
      </c>
      <c r="Z267" s="4">
        <f t="shared" si="23"/>
        <v>94.11036</v>
      </c>
      <c r="AD267" s="24">
        <v>250.01958999999999</v>
      </c>
      <c r="AE267">
        <v>131.5</v>
      </c>
      <c r="AF267" s="19">
        <v>96.373530000000002</v>
      </c>
      <c r="AG267" s="4">
        <f t="shared" si="24"/>
        <v>96.635019999999997</v>
      </c>
    </row>
    <row r="268" spans="2:33" x14ac:dyDescent="0.15">
      <c r="B268" s="22">
        <v>199.99664999999999</v>
      </c>
      <c r="C268">
        <v>132</v>
      </c>
      <c r="D268" s="4">
        <v>99.332719999999995</v>
      </c>
      <c r="E268" s="4">
        <f t="shared" si="20"/>
        <v>100.45916</v>
      </c>
      <c r="I268" s="22">
        <v>225.00910999999999</v>
      </c>
      <c r="J268">
        <v>132</v>
      </c>
      <c r="K268" s="4">
        <v>92.654570000000007</v>
      </c>
      <c r="L268" s="4">
        <f t="shared" si="21"/>
        <v>96.241640000000004</v>
      </c>
      <c r="P268" s="24">
        <v>225.01773</v>
      </c>
      <c r="Q268">
        <v>132</v>
      </c>
      <c r="R268" s="19">
        <v>98.997410000000002</v>
      </c>
      <c r="S268" s="4">
        <f t="shared" si="22"/>
        <v>98.921590000000009</v>
      </c>
      <c r="W268" s="22">
        <v>250.00301999999999</v>
      </c>
      <c r="X268">
        <v>132</v>
      </c>
      <c r="Y268" s="23">
        <v>88.660070000000005</v>
      </c>
      <c r="Z268" s="4">
        <f t="shared" si="23"/>
        <v>94.10090000000001</v>
      </c>
      <c r="AD268" s="24">
        <v>250.02108000000001</v>
      </c>
      <c r="AE268">
        <v>132</v>
      </c>
      <c r="AF268" s="25">
        <v>96.361930000000001</v>
      </c>
      <c r="AG268" s="4">
        <f t="shared" si="24"/>
        <v>96.623419999999996</v>
      </c>
    </row>
    <row r="269" spans="2:33" x14ac:dyDescent="0.15">
      <c r="B269" s="22">
        <v>200.01958999999999</v>
      </c>
      <c r="C269">
        <v>132.5</v>
      </c>
      <c r="D269" s="23">
        <v>99.393000000000001</v>
      </c>
      <c r="E269" s="4">
        <f t="shared" si="20"/>
        <v>100.51944</v>
      </c>
      <c r="I269" s="22">
        <v>225.00283999999999</v>
      </c>
      <c r="J269">
        <v>132.5</v>
      </c>
      <c r="K269" s="23">
        <v>92.630340000000004</v>
      </c>
      <c r="L269" s="4">
        <f t="shared" si="21"/>
        <v>96.217410000000001</v>
      </c>
      <c r="P269" s="24">
        <v>225.02042</v>
      </c>
      <c r="Q269">
        <v>132.5</v>
      </c>
      <c r="R269" s="25">
        <v>98.958470000000005</v>
      </c>
      <c r="S269" s="4">
        <f t="shared" si="22"/>
        <v>98.882650000000012</v>
      </c>
      <c r="W269" s="22">
        <v>250.00098</v>
      </c>
      <c r="X269">
        <v>132.5</v>
      </c>
      <c r="Y269" s="4">
        <v>88.637</v>
      </c>
      <c r="Z269" s="4">
        <f t="shared" si="23"/>
        <v>94.077830000000006</v>
      </c>
      <c r="AD269" s="24">
        <v>250.02601999999999</v>
      </c>
      <c r="AE269">
        <v>132.5</v>
      </c>
      <c r="AF269" s="19">
        <v>96.319389999999999</v>
      </c>
      <c r="AG269" s="4">
        <f t="shared" si="24"/>
        <v>96.580879999999993</v>
      </c>
    </row>
    <row r="270" spans="2:33" x14ac:dyDescent="0.15">
      <c r="B270" s="22">
        <v>200.0367</v>
      </c>
      <c r="C270">
        <v>133</v>
      </c>
      <c r="D270" s="4">
        <v>99.341229999999996</v>
      </c>
      <c r="E270" s="4">
        <f t="shared" si="20"/>
        <v>100.46767</v>
      </c>
      <c r="I270" s="22">
        <v>225.00601</v>
      </c>
      <c r="J270">
        <v>133</v>
      </c>
      <c r="K270" s="4">
        <v>92.637799999999999</v>
      </c>
      <c r="L270" s="4">
        <f t="shared" si="21"/>
        <v>96.224869999999996</v>
      </c>
      <c r="P270" s="24">
        <v>225.02025</v>
      </c>
      <c r="Q270">
        <v>133</v>
      </c>
      <c r="R270" s="19">
        <v>98.914150000000006</v>
      </c>
      <c r="S270" s="4">
        <f t="shared" si="22"/>
        <v>98.838330000000013</v>
      </c>
      <c r="W270" s="22">
        <v>250.00803999999999</v>
      </c>
      <c r="X270">
        <v>133</v>
      </c>
      <c r="Y270" s="23">
        <v>88.610249999999994</v>
      </c>
      <c r="Z270" s="4">
        <f t="shared" si="23"/>
        <v>94.051079999999999</v>
      </c>
      <c r="AD270" s="24">
        <v>250.02497</v>
      </c>
      <c r="AE270">
        <v>133</v>
      </c>
      <c r="AF270" s="25">
        <v>96.358789999999999</v>
      </c>
      <c r="AG270" s="4">
        <f t="shared" si="24"/>
        <v>96.620279999999994</v>
      </c>
    </row>
    <row r="271" spans="2:33" x14ac:dyDescent="0.15">
      <c r="B271" s="22">
        <v>200.04517000000001</v>
      </c>
      <c r="C271">
        <v>133.5</v>
      </c>
      <c r="D271" s="23">
        <v>99.314850000000007</v>
      </c>
      <c r="E271" s="4">
        <f t="shared" si="20"/>
        <v>100.44129000000001</v>
      </c>
      <c r="I271" s="22">
        <v>225.00699</v>
      </c>
      <c r="J271">
        <v>133.5</v>
      </c>
      <c r="K271" s="23">
        <v>92.615790000000004</v>
      </c>
      <c r="L271" s="4">
        <f t="shared" si="21"/>
        <v>96.202860000000001</v>
      </c>
      <c r="P271" s="24">
        <v>225.01956000000001</v>
      </c>
      <c r="Q271">
        <v>133.5</v>
      </c>
      <c r="R271" s="25">
        <v>98.852980000000002</v>
      </c>
      <c r="S271" s="4">
        <f t="shared" si="22"/>
        <v>98.777160000000009</v>
      </c>
      <c r="W271" s="22">
        <v>250.00801999999999</v>
      </c>
      <c r="X271">
        <v>133.5</v>
      </c>
      <c r="Y271" s="4">
        <v>88.592920000000007</v>
      </c>
      <c r="Z271" s="4">
        <f t="shared" si="23"/>
        <v>94.033750000000012</v>
      </c>
      <c r="AD271" s="24">
        <v>250.02296000000001</v>
      </c>
      <c r="AE271">
        <v>133.5</v>
      </c>
      <c r="AF271" s="19">
        <v>96.375979999999998</v>
      </c>
      <c r="AG271" s="4">
        <f t="shared" si="24"/>
        <v>96.637469999999993</v>
      </c>
    </row>
    <row r="272" spans="2:33" x14ac:dyDescent="0.15">
      <c r="B272" s="22">
        <v>200.0402</v>
      </c>
      <c r="C272">
        <v>134</v>
      </c>
      <c r="D272" s="4">
        <v>99.253380000000007</v>
      </c>
      <c r="E272" s="4">
        <f t="shared" si="20"/>
        <v>100.37982000000001</v>
      </c>
      <c r="I272" s="22">
        <v>225.0069</v>
      </c>
      <c r="J272">
        <v>134</v>
      </c>
      <c r="K272" s="4">
        <v>92.586150000000004</v>
      </c>
      <c r="L272" s="4">
        <f t="shared" si="21"/>
        <v>96.173220000000001</v>
      </c>
      <c r="P272" s="24">
        <v>225.01461</v>
      </c>
      <c r="Q272">
        <v>134</v>
      </c>
      <c r="R272" s="19">
        <v>99.007859999999994</v>
      </c>
      <c r="S272" s="4">
        <f t="shared" si="22"/>
        <v>98.932040000000001</v>
      </c>
      <c r="W272" s="22">
        <v>250.00997000000001</v>
      </c>
      <c r="X272">
        <v>134</v>
      </c>
      <c r="Y272" s="23">
        <v>88.565969999999993</v>
      </c>
      <c r="Z272" s="4">
        <f t="shared" si="23"/>
        <v>94.006799999999998</v>
      </c>
      <c r="AD272" s="24">
        <v>250.02226999999999</v>
      </c>
      <c r="AE272">
        <v>134</v>
      </c>
      <c r="AF272" s="25">
        <v>96.34308</v>
      </c>
      <c r="AG272" s="4">
        <f t="shared" si="24"/>
        <v>96.604569999999995</v>
      </c>
    </row>
    <row r="273" spans="2:33" x14ac:dyDescent="0.15">
      <c r="B273" s="22">
        <v>200.02054999999999</v>
      </c>
      <c r="C273">
        <v>134.5</v>
      </c>
      <c r="D273" s="23">
        <v>99.20335</v>
      </c>
      <c r="E273" s="4">
        <f t="shared" si="20"/>
        <v>100.32979</v>
      </c>
      <c r="I273" s="22">
        <v>225.01005000000001</v>
      </c>
      <c r="J273">
        <v>134.5</v>
      </c>
      <c r="K273" s="23">
        <v>92.581100000000006</v>
      </c>
      <c r="L273" s="4">
        <f t="shared" si="21"/>
        <v>96.168170000000003</v>
      </c>
      <c r="P273" s="24">
        <v>225.01542000000001</v>
      </c>
      <c r="Q273">
        <v>134.5</v>
      </c>
      <c r="R273" s="25">
        <v>98.90222</v>
      </c>
      <c r="S273" s="4">
        <f t="shared" si="22"/>
        <v>98.826400000000007</v>
      </c>
      <c r="W273" s="22">
        <v>250.00702999999999</v>
      </c>
      <c r="X273">
        <v>134.5</v>
      </c>
      <c r="Y273" s="4">
        <v>88.554559999999995</v>
      </c>
      <c r="Z273" s="4">
        <f t="shared" si="23"/>
        <v>93.99539</v>
      </c>
      <c r="AD273" s="24">
        <v>250.01517000000001</v>
      </c>
      <c r="AE273">
        <v>134.5</v>
      </c>
      <c r="AF273" s="19">
        <v>96.2684</v>
      </c>
      <c r="AG273" s="4">
        <f t="shared" si="24"/>
        <v>96.529889999999995</v>
      </c>
    </row>
    <row r="274" spans="2:33" x14ac:dyDescent="0.15">
      <c r="B274" s="22">
        <v>200.00300999999999</v>
      </c>
      <c r="C274">
        <v>135</v>
      </c>
      <c r="D274" s="4">
        <v>99.24</v>
      </c>
      <c r="E274" s="4">
        <f t="shared" si="20"/>
        <v>100.36644</v>
      </c>
      <c r="I274" s="22">
        <v>225.00717</v>
      </c>
      <c r="J274">
        <v>135</v>
      </c>
      <c r="K274" s="4">
        <v>92.575729999999993</v>
      </c>
      <c r="L274" s="4">
        <f t="shared" si="21"/>
        <v>96.16279999999999</v>
      </c>
      <c r="P274" s="24">
        <v>225.01695000000001</v>
      </c>
      <c r="Q274">
        <v>135</v>
      </c>
      <c r="R274" s="19">
        <v>98.907300000000006</v>
      </c>
      <c r="S274" s="4">
        <f t="shared" si="22"/>
        <v>98.831480000000013</v>
      </c>
      <c r="W274" s="22">
        <v>250.00702000000001</v>
      </c>
      <c r="X274">
        <v>135</v>
      </c>
      <c r="Y274" s="23">
        <v>88.541160000000005</v>
      </c>
      <c r="Z274" s="4">
        <f t="shared" si="23"/>
        <v>93.98199000000001</v>
      </c>
      <c r="AD274" s="24">
        <v>250.00827000000001</v>
      </c>
      <c r="AE274">
        <v>135</v>
      </c>
      <c r="AF274" s="25">
        <v>96.335139999999996</v>
      </c>
      <c r="AG274" s="4">
        <f t="shared" si="24"/>
        <v>96.59662999999999</v>
      </c>
    </row>
    <row r="275" spans="2:33" x14ac:dyDescent="0.15">
      <c r="B275" s="22">
        <v>199.98964000000001</v>
      </c>
      <c r="C275">
        <v>135.5</v>
      </c>
      <c r="D275" s="23">
        <v>99.407330000000002</v>
      </c>
      <c r="E275" s="4">
        <f t="shared" si="20"/>
        <v>100.53377</v>
      </c>
      <c r="I275" s="22">
        <v>225.00396000000001</v>
      </c>
      <c r="J275">
        <v>135.5</v>
      </c>
      <c r="K275" s="23">
        <v>92.560879999999997</v>
      </c>
      <c r="L275" s="4">
        <f t="shared" si="21"/>
        <v>96.147949999999994</v>
      </c>
      <c r="P275" s="24">
        <v>225.01704000000001</v>
      </c>
      <c r="Q275">
        <v>135.5</v>
      </c>
      <c r="R275" s="25">
        <v>98.948430000000002</v>
      </c>
      <c r="S275" s="4">
        <f t="shared" si="22"/>
        <v>98.872610000000009</v>
      </c>
      <c r="W275" s="22">
        <v>250.006</v>
      </c>
      <c r="X275">
        <v>135.5</v>
      </c>
      <c r="Y275" s="4">
        <v>88.517979999999994</v>
      </c>
      <c r="Z275" s="4">
        <f t="shared" si="23"/>
        <v>93.95881</v>
      </c>
      <c r="AD275" s="24">
        <v>250.00659999999999</v>
      </c>
      <c r="AE275">
        <v>135.5</v>
      </c>
      <c r="AF275" s="19">
        <v>96.358000000000004</v>
      </c>
      <c r="AG275" s="4">
        <f t="shared" si="24"/>
        <v>96.619489999999999</v>
      </c>
    </row>
    <row r="276" spans="2:33" x14ac:dyDescent="0.15">
      <c r="B276" s="22">
        <v>199.97343000000001</v>
      </c>
      <c r="C276">
        <v>136</v>
      </c>
      <c r="D276" s="4">
        <v>99.340860000000006</v>
      </c>
      <c r="E276" s="4">
        <f t="shared" si="20"/>
        <v>100.46730000000001</v>
      </c>
      <c r="I276" s="22">
        <v>225.00308999999999</v>
      </c>
      <c r="J276">
        <v>136</v>
      </c>
      <c r="K276" s="4">
        <v>92.52807</v>
      </c>
      <c r="L276" s="4">
        <f t="shared" si="21"/>
        <v>96.115139999999997</v>
      </c>
      <c r="P276" s="24">
        <v>225.01712000000001</v>
      </c>
      <c r="Q276">
        <v>136</v>
      </c>
      <c r="R276" s="19">
        <v>99.016810000000007</v>
      </c>
      <c r="S276" s="4">
        <f t="shared" si="22"/>
        <v>98.940990000000014</v>
      </c>
      <c r="W276" s="22">
        <v>250.00304</v>
      </c>
      <c r="X276">
        <v>136</v>
      </c>
      <c r="Y276" s="23">
        <v>88.4953</v>
      </c>
      <c r="Z276" s="4">
        <f t="shared" si="23"/>
        <v>93.936130000000006</v>
      </c>
      <c r="AD276" s="24">
        <v>250.00709000000001</v>
      </c>
      <c r="AE276">
        <v>136</v>
      </c>
      <c r="AF276" s="25">
        <v>96.370570000000001</v>
      </c>
      <c r="AG276" s="4">
        <f t="shared" si="24"/>
        <v>96.632059999999996</v>
      </c>
    </row>
    <row r="277" spans="2:33" x14ac:dyDescent="0.15">
      <c r="B277" s="22">
        <v>199.96659</v>
      </c>
      <c r="C277">
        <v>136.5</v>
      </c>
      <c r="D277" s="23">
        <v>99.220460000000003</v>
      </c>
      <c r="E277" s="4">
        <f t="shared" si="20"/>
        <v>100.34690000000001</v>
      </c>
      <c r="I277" s="22">
        <v>225.00412</v>
      </c>
      <c r="J277">
        <v>136.5</v>
      </c>
      <c r="K277" s="23">
        <v>92.548109999999994</v>
      </c>
      <c r="L277" s="4">
        <f t="shared" si="21"/>
        <v>96.135179999999991</v>
      </c>
      <c r="P277" s="24">
        <v>225.01728</v>
      </c>
      <c r="Q277">
        <v>136.5</v>
      </c>
      <c r="R277" s="25">
        <v>98.907300000000006</v>
      </c>
      <c r="S277" s="4">
        <f t="shared" si="22"/>
        <v>98.831480000000013</v>
      </c>
      <c r="W277" s="22">
        <v>250.005</v>
      </c>
      <c r="X277">
        <v>136.5</v>
      </c>
      <c r="Y277" s="4">
        <v>88.479709999999997</v>
      </c>
      <c r="Z277" s="4">
        <f t="shared" si="23"/>
        <v>93.920540000000003</v>
      </c>
      <c r="AD277" s="24">
        <v>250.01206999999999</v>
      </c>
      <c r="AE277">
        <v>136.5</v>
      </c>
      <c r="AF277" s="19">
        <v>96.287189999999995</v>
      </c>
      <c r="AG277" s="4">
        <f t="shared" si="24"/>
        <v>96.54867999999999</v>
      </c>
    </row>
    <row r="278" spans="2:33" x14ac:dyDescent="0.15">
      <c r="B278" s="22">
        <v>199.96693999999999</v>
      </c>
      <c r="C278">
        <v>137</v>
      </c>
      <c r="D278" s="4">
        <v>99.306449999999998</v>
      </c>
      <c r="E278" s="4">
        <f t="shared" si="20"/>
        <v>100.43289</v>
      </c>
      <c r="I278" s="22">
        <v>225.00299000000001</v>
      </c>
      <c r="J278">
        <v>137</v>
      </c>
      <c r="K278" s="4">
        <v>92.533500000000004</v>
      </c>
      <c r="L278" s="4">
        <f t="shared" si="21"/>
        <v>96.120570000000001</v>
      </c>
      <c r="P278" s="24">
        <v>225.01875999999999</v>
      </c>
      <c r="Q278">
        <v>137</v>
      </c>
      <c r="R278" s="19">
        <v>98.879980000000003</v>
      </c>
      <c r="S278" s="4">
        <f t="shared" si="22"/>
        <v>98.80416000000001</v>
      </c>
      <c r="W278" s="22">
        <v>250.00502</v>
      </c>
      <c r="X278">
        <v>137</v>
      </c>
      <c r="Y278" s="23">
        <v>88.422060000000002</v>
      </c>
      <c r="Z278" s="4">
        <f t="shared" si="23"/>
        <v>93.862890000000007</v>
      </c>
      <c r="AD278" s="24">
        <v>250.01514</v>
      </c>
      <c r="AE278">
        <v>137</v>
      </c>
      <c r="AF278" s="25">
        <v>96.281679999999994</v>
      </c>
      <c r="AG278" s="4">
        <f t="shared" si="24"/>
        <v>96.543169999999989</v>
      </c>
    </row>
    <row r="279" spans="2:33" x14ac:dyDescent="0.15">
      <c r="B279" s="22">
        <v>199.97542999999999</v>
      </c>
      <c r="C279">
        <v>137.5</v>
      </c>
      <c r="D279" s="23">
        <v>99.092680000000001</v>
      </c>
      <c r="E279" s="4">
        <f t="shared" si="20"/>
        <v>100.21912</v>
      </c>
      <c r="I279" s="22">
        <v>225.00019</v>
      </c>
      <c r="J279">
        <v>137.5</v>
      </c>
      <c r="K279" s="23">
        <v>92.510760000000005</v>
      </c>
      <c r="L279" s="4">
        <f t="shared" si="21"/>
        <v>96.097830000000002</v>
      </c>
      <c r="P279" s="24">
        <v>225.01937000000001</v>
      </c>
      <c r="Q279">
        <v>137.5</v>
      </c>
      <c r="R279" s="25">
        <v>98.948480000000004</v>
      </c>
      <c r="S279" s="4">
        <f t="shared" si="22"/>
        <v>98.87266000000001</v>
      </c>
      <c r="W279" s="22">
        <v>250.00397000000001</v>
      </c>
      <c r="X279">
        <v>137.5</v>
      </c>
      <c r="Y279" s="4">
        <v>88.418390000000002</v>
      </c>
      <c r="Z279" s="4">
        <f t="shared" si="23"/>
        <v>93.859220000000008</v>
      </c>
      <c r="AD279" s="24">
        <v>250.01496</v>
      </c>
      <c r="AE279">
        <v>137.5</v>
      </c>
      <c r="AF279" s="19">
        <v>96.286879999999996</v>
      </c>
      <c r="AG279" s="4">
        <f t="shared" si="24"/>
        <v>96.548369999999991</v>
      </c>
    </row>
    <row r="280" spans="2:33" x14ac:dyDescent="0.15">
      <c r="B280" s="22">
        <v>199.98416</v>
      </c>
      <c r="C280">
        <v>138</v>
      </c>
      <c r="D280" s="4">
        <v>99.200770000000006</v>
      </c>
      <c r="E280" s="4">
        <f t="shared" si="20"/>
        <v>100.32721000000001</v>
      </c>
      <c r="I280" s="22">
        <v>225.00592</v>
      </c>
      <c r="J280">
        <v>138</v>
      </c>
      <c r="K280" s="4">
        <v>92.491829999999993</v>
      </c>
      <c r="L280" s="4">
        <f t="shared" si="21"/>
        <v>96.07889999999999</v>
      </c>
      <c r="P280" s="24">
        <v>225.01652999999999</v>
      </c>
      <c r="Q280">
        <v>138</v>
      </c>
      <c r="R280" s="19">
        <v>98.828800000000001</v>
      </c>
      <c r="S280" s="4">
        <f t="shared" si="22"/>
        <v>98.752980000000008</v>
      </c>
      <c r="W280" s="22">
        <v>250.00501</v>
      </c>
      <c r="X280">
        <v>138</v>
      </c>
      <c r="Y280" s="23">
        <v>88.391509999999997</v>
      </c>
      <c r="Z280" s="4">
        <f t="shared" si="23"/>
        <v>93.832340000000002</v>
      </c>
      <c r="AD280" s="24">
        <v>250.01614000000001</v>
      </c>
      <c r="AE280">
        <v>138</v>
      </c>
      <c r="AF280" s="25">
        <v>96.235079999999996</v>
      </c>
      <c r="AG280" s="4">
        <f t="shared" si="24"/>
        <v>96.496569999999991</v>
      </c>
    </row>
    <row r="281" spans="2:33" x14ac:dyDescent="0.15">
      <c r="B281" s="22">
        <v>199.9889</v>
      </c>
      <c r="C281">
        <v>138.5</v>
      </c>
      <c r="D281" s="23">
        <v>99.399280000000005</v>
      </c>
      <c r="E281" s="4">
        <f t="shared" si="20"/>
        <v>100.52572000000001</v>
      </c>
      <c r="I281" s="22">
        <v>225.00719000000001</v>
      </c>
      <c r="J281">
        <v>138.5</v>
      </c>
      <c r="K281" s="23">
        <v>92.466300000000004</v>
      </c>
      <c r="L281" s="4">
        <f t="shared" si="21"/>
        <v>96.053370000000001</v>
      </c>
      <c r="P281" s="24">
        <v>225.01593</v>
      </c>
      <c r="Q281">
        <v>138.5</v>
      </c>
      <c r="R281" s="25">
        <v>98.88306</v>
      </c>
      <c r="S281" s="4">
        <f t="shared" si="22"/>
        <v>98.807240000000007</v>
      </c>
      <c r="W281" s="22">
        <v>250.00496000000001</v>
      </c>
      <c r="X281">
        <v>138.5</v>
      </c>
      <c r="Y281" s="4">
        <v>88.378069999999994</v>
      </c>
      <c r="Z281" s="4">
        <f t="shared" si="23"/>
        <v>93.818899999999999</v>
      </c>
      <c r="AD281" s="24">
        <v>250.01551000000001</v>
      </c>
      <c r="AE281">
        <v>138.5</v>
      </c>
      <c r="AF281" s="19">
        <v>96.158029999999997</v>
      </c>
      <c r="AG281" s="4">
        <f t="shared" si="24"/>
        <v>96.419519999999991</v>
      </c>
    </row>
    <row r="282" spans="2:33" x14ac:dyDescent="0.15">
      <c r="B282" s="22">
        <v>199.99257</v>
      </c>
      <c r="C282">
        <v>139</v>
      </c>
      <c r="D282" s="4">
        <v>99.271100000000004</v>
      </c>
      <c r="E282" s="4">
        <f t="shared" si="20"/>
        <v>100.39754000000001</v>
      </c>
      <c r="I282" s="22">
        <v>225.00799000000001</v>
      </c>
      <c r="J282">
        <v>139</v>
      </c>
      <c r="K282" s="4">
        <v>92.467910000000003</v>
      </c>
      <c r="L282" s="4">
        <f t="shared" si="21"/>
        <v>96.05498</v>
      </c>
      <c r="P282" s="24">
        <v>225.01622</v>
      </c>
      <c r="Q282">
        <v>139</v>
      </c>
      <c r="R282" s="19">
        <v>98.874480000000005</v>
      </c>
      <c r="S282" s="4">
        <f t="shared" si="22"/>
        <v>98.798660000000012</v>
      </c>
      <c r="W282" s="22">
        <v>249.99997999999999</v>
      </c>
      <c r="X282">
        <v>139</v>
      </c>
      <c r="Y282" s="23">
        <v>88.347660000000005</v>
      </c>
      <c r="Z282" s="4">
        <f t="shared" si="23"/>
        <v>93.78849000000001</v>
      </c>
      <c r="AD282" s="24">
        <v>250.01534000000001</v>
      </c>
      <c r="AE282">
        <v>139</v>
      </c>
      <c r="AF282" s="25">
        <v>96.200019999999995</v>
      </c>
      <c r="AG282" s="4">
        <f t="shared" si="24"/>
        <v>96.46150999999999</v>
      </c>
    </row>
    <row r="283" spans="2:33" x14ac:dyDescent="0.15">
      <c r="B283" s="22">
        <v>199.99610000000001</v>
      </c>
      <c r="C283">
        <v>139.5</v>
      </c>
      <c r="D283" s="23">
        <v>99.252859999999998</v>
      </c>
      <c r="E283" s="4">
        <f t="shared" si="20"/>
        <v>100.3793</v>
      </c>
      <c r="I283" s="22">
        <v>225.00699</v>
      </c>
      <c r="J283">
        <v>139.5</v>
      </c>
      <c r="K283" s="23">
        <v>92.442670000000007</v>
      </c>
      <c r="L283" s="4">
        <f t="shared" si="21"/>
        <v>96.029740000000004</v>
      </c>
      <c r="P283" s="24">
        <v>225.01942</v>
      </c>
      <c r="Q283">
        <v>139.5</v>
      </c>
      <c r="R283" s="25">
        <v>98.876270000000005</v>
      </c>
      <c r="S283" s="4">
        <f t="shared" si="22"/>
        <v>98.800450000000012</v>
      </c>
      <c r="W283" s="22">
        <v>250.00192999999999</v>
      </c>
      <c r="X283">
        <v>139.5</v>
      </c>
      <c r="Y283" s="4">
        <v>88.334029999999998</v>
      </c>
      <c r="Z283" s="4">
        <f t="shared" si="23"/>
        <v>93.774860000000004</v>
      </c>
      <c r="AD283" s="24">
        <v>250.01774</v>
      </c>
      <c r="AE283">
        <v>139.5</v>
      </c>
      <c r="AF283" s="19">
        <v>96.272549999999995</v>
      </c>
      <c r="AG283" s="4">
        <f t="shared" si="24"/>
        <v>96.53403999999999</v>
      </c>
    </row>
    <row r="284" spans="2:33" x14ac:dyDescent="0.15">
      <c r="B284" s="22">
        <v>199.99596</v>
      </c>
      <c r="C284">
        <v>140</v>
      </c>
      <c r="D284" s="4">
        <v>99.434060000000002</v>
      </c>
      <c r="E284" s="4">
        <f t="shared" si="20"/>
        <v>100.5605</v>
      </c>
      <c r="I284" s="22">
        <v>225.00689</v>
      </c>
      <c r="J284">
        <v>140</v>
      </c>
      <c r="K284" s="4">
        <v>92.440259999999995</v>
      </c>
      <c r="L284" s="4">
        <f t="shared" si="21"/>
        <v>96.027329999999992</v>
      </c>
      <c r="P284" s="24">
        <v>225.01985999999999</v>
      </c>
      <c r="Q284">
        <v>140</v>
      </c>
      <c r="R284" s="19">
        <v>99.030950000000004</v>
      </c>
      <c r="S284" s="4">
        <f t="shared" si="22"/>
        <v>98.955130000000011</v>
      </c>
      <c r="W284" s="22">
        <v>250.00201000000001</v>
      </c>
      <c r="X284">
        <v>140</v>
      </c>
      <c r="Y284" s="23">
        <v>88.309209999999993</v>
      </c>
      <c r="Z284" s="4">
        <f t="shared" si="23"/>
        <v>93.750039999999998</v>
      </c>
      <c r="AD284" s="24">
        <v>250.01725999999999</v>
      </c>
      <c r="AE284">
        <v>140</v>
      </c>
      <c r="AF284" s="25">
        <v>96.148020000000002</v>
      </c>
      <c r="AG284" s="4">
        <f t="shared" si="24"/>
        <v>96.409509999999997</v>
      </c>
    </row>
    <row r="285" spans="2:33" x14ac:dyDescent="0.15">
      <c r="B285" s="22">
        <v>199.99549999999999</v>
      </c>
      <c r="C285">
        <v>140.5</v>
      </c>
      <c r="D285" s="23">
        <v>99.10472</v>
      </c>
      <c r="E285" s="4">
        <f t="shared" si="20"/>
        <v>100.23116</v>
      </c>
      <c r="I285" s="22">
        <v>225.00413</v>
      </c>
      <c r="J285">
        <v>140.5</v>
      </c>
      <c r="K285" s="23">
        <v>92.435169999999999</v>
      </c>
      <c r="L285" s="4">
        <f t="shared" si="21"/>
        <v>96.022239999999996</v>
      </c>
      <c r="P285" s="24">
        <v>225.01877999999999</v>
      </c>
      <c r="Q285">
        <v>140.5</v>
      </c>
      <c r="R285" s="25">
        <v>98.823419999999999</v>
      </c>
      <c r="S285" s="4">
        <f t="shared" si="22"/>
        <v>98.747600000000006</v>
      </c>
      <c r="W285" s="22">
        <v>250.00299999999999</v>
      </c>
      <c r="X285">
        <v>140.5</v>
      </c>
      <c r="Y285" s="4">
        <v>88.282129999999995</v>
      </c>
      <c r="Z285" s="4">
        <f t="shared" si="23"/>
        <v>93.72296</v>
      </c>
      <c r="AD285" s="24">
        <v>250.01739000000001</v>
      </c>
      <c r="AE285">
        <v>140.5</v>
      </c>
      <c r="AF285" s="19">
        <v>96.243930000000006</v>
      </c>
      <c r="AG285" s="4">
        <f t="shared" si="24"/>
        <v>96.505420000000001</v>
      </c>
    </row>
    <row r="286" spans="2:33" x14ac:dyDescent="0.15">
      <c r="B286" s="22">
        <v>199.99529999999999</v>
      </c>
      <c r="C286">
        <v>141</v>
      </c>
      <c r="D286" s="4">
        <v>99.18759</v>
      </c>
      <c r="E286" s="4">
        <f t="shared" si="20"/>
        <v>100.31403</v>
      </c>
      <c r="I286" s="22">
        <v>225.00396000000001</v>
      </c>
      <c r="J286">
        <v>141</v>
      </c>
      <c r="K286" s="4">
        <v>92.405109999999993</v>
      </c>
      <c r="L286" s="4">
        <f t="shared" si="21"/>
        <v>95.992179999999991</v>
      </c>
      <c r="P286" s="24">
        <v>225.01542000000001</v>
      </c>
      <c r="Q286">
        <v>141</v>
      </c>
      <c r="R286" s="19">
        <v>98.875360000000001</v>
      </c>
      <c r="S286" s="4">
        <f t="shared" si="22"/>
        <v>98.799540000000007</v>
      </c>
      <c r="W286" s="22">
        <v>250.00399999999999</v>
      </c>
      <c r="X286">
        <v>141</v>
      </c>
      <c r="Y286" s="23">
        <v>88.269030000000001</v>
      </c>
      <c r="Z286" s="4">
        <f t="shared" si="23"/>
        <v>93.709860000000006</v>
      </c>
      <c r="AD286" s="24">
        <v>250.01634999999999</v>
      </c>
      <c r="AE286">
        <v>141</v>
      </c>
      <c r="AF286" s="25">
        <v>96.163449999999997</v>
      </c>
      <c r="AG286" s="4">
        <f t="shared" si="24"/>
        <v>96.424939999999992</v>
      </c>
    </row>
    <row r="287" spans="2:33" x14ac:dyDescent="0.15">
      <c r="B287" s="22">
        <v>199.99476000000001</v>
      </c>
      <c r="C287">
        <v>141.5</v>
      </c>
      <c r="D287" s="23">
        <v>99.25564</v>
      </c>
      <c r="E287" s="4">
        <f t="shared" si="20"/>
        <v>100.38208</v>
      </c>
      <c r="I287" s="22">
        <v>225.00494</v>
      </c>
      <c r="J287">
        <v>141.5</v>
      </c>
      <c r="K287" s="23">
        <v>92.412670000000006</v>
      </c>
      <c r="L287" s="4">
        <f t="shared" si="21"/>
        <v>95.999740000000003</v>
      </c>
      <c r="P287" s="24">
        <v>225.01598999999999</v>
      </c>
      <c r="Q287">
        <v>141.5</v>
      </c>
      <c r="R287" s="25">
        <v>99.000540000000001</v>
      </c>
      <c r="S287" s="4">
        <f t="shared" si="22"/>
        <v>98.924720000000008</v>
      </c>
      <c r="W287" s="22">
        <v>250.00301999999999</v>
      </c>
      <c r="X287">
        <v>141.5</v>
      </c>
      <c r="Y287" s="4">
        <v>88.251609999999999</v>
      </c>
      <c r="Z287" s="4">
        <f t="shared" si="23"/>
        <v>93.692440000000005</v>
      </c>
      <c r="AD287" s="24">
        <v>250.01523</v>
      </c>
      <c r="AE287">
        <v>141.5</v>
      </c>
      <c r="AF287" s="19">
        <v>96.169579999999996</v>
      </c>
      <c r="AG287" s="4">
        <f t="shared" si="24"/>
        <v>96.431069999999991</v>
      </c>
    </row>
    <row r="288" spans="2:33" x14ac:dyDescent="0.15">
      <c r="B288" s="22">
        <v>200.00121999999999</v>
      </c>
      <c r="C288">
        <v>142</v>
      </c>
      <c r="D288" s="4">
        <v>99.309880000000007</v>
      </c>
      <c r="E288" s="4">
        <f t="shared" si="20"/>
        <v>100.43632000000001</v>
      </c>
      <c r="I288" s="22">
        <v>225.00396000000001</v>
      </c>
      <c r="J288">
        <v>142</v>
      </c>
      <c r="K288" s="4">
        <v>92.401799999999994</v>
      </c>
      <c r="L288" s="4">
        <f t="shared" si="21"/>
        <v>95.988869999999991</v>
      </c>
      <c r="P288" s="24">
        <v>225.01659000000001</v>
      </c>
      <c r="Q288">
        <v>142</v>
      </c>
      <c r="R288" s="19">
        <v>98.878410000000002</v>
      </c>
      <c r="S288" s="4">
        <f t="shared" si="22"/>
        <v>98.802590000000009</v>
      </c>
      <c r="W288" s="22">
        <v>250.00597999999999</v>
      </c>
      <c r="X288">
        <v>142</v>
      </c>
      <c r="Y288" s="23">
        <v>88.230410000000006</v>
      </c>
      <c r="Z288" s="4">
        <f t="shared" si="23"/>
        <v>93.671240000000012</v>
      </c>
      <c r="AD288" s="24">
        <v>250.01696000000001</v>
      </c>
      <c r="AE288">
        <v>142</v>
      </c>
      <c r="AF288" s="25">
        <v>96.17165</v>
      </c>
      <c r="AG288" s="4">
        <f t="shared" si="24"/>
        <v>96.433139999999995</v>
      </c>
    </row>
    <row r="289" spans="2:33" x14ac:dyDescent="0.15">
      <c r="B289" s="22">
        <v>200.01334</v>
      </c>
      <c r="C289">
        <v>142.5</v>
      </c>
      <c r="D289" s="23">
        <v>99.340389999999999</v>
      </c>
      <c r="E289" s="4">
        <f t="shared" si="20"/>
        <v>100.46683</v>
      </c>
      <c r="I289" s="22">
        <v>225.00603000000001</v>
      </c>
      <c r="J289">
        <v>142.5</v>
      </c>
      <c r="K289" s="23">
        <v>92.364090000000004</v>
      </c>
      <c r="L289" s="4">
        <f t="shared" si="21"/>
        <v>95.951160000000002</v>
      </c>
      <c r="P289" s="24">
        <v>225.01781</v>
      </c>
      <c r="Q289">
        <v>142.5</v>
      </c>
      <c r="R289" s="25">
        <v>98.71669</v>
      </c>
      <c r="S289" s="4">
        <f t="shared" si="22"/>
        <v>98.640870000000007</v>
      </c>
      <c r="W289" s="22">
        <v>250.00595000000001</v>
      </c>
      <c r="X289">
        <v>142.5</v>
      </c>
      <c r="Y289" s="4">
        <v>88.217060000000004</v>
      </c>
      <c r="Z289" s="4">
        <f t="shared" si="23"/>
        <v>93.657890000000009</v>
      </c>
      <c r="AD289" s="24">
        <v>250.01882000000001</v>
      </c>
      <c r="AE289">
        <v>142.5</v>
      </c>
      <c r="AF289" s="19">
        <v>96.151960000000003</v>
      </c>
      <c r="AG289" s="4">
        <f t="shared" si="24"/>
        <v>96.413449999999997</v>
      </c>
    </row>
    <row r="290" spans="2:33" x14ac:dyDescent="0.15">
      <c r="B290" s="22">
        <v>200.02424999999999</v>
      </c>
      <c r="C290">
        <v>143</v>
      </c>
      <c r="D290" s="4">
        <v>99.256519999999995</v>
      </c>
      <c r="E290" s="4">
        <f t="shared" si="20"/>
        <v>100.38296</v>
      </c>
      <c r="I290" s="22">
        <v>225.01104000000001</v>
      </c>
      <c r="J290">
        <v>143</v>
      </c>
      <c r="K290" s="4">
        <v>92.382689999999997</v>
      </c>
      <c r="L290" s="4">
        <f t="shared" si="21"/>
        <v>95.969759999999994</v>
      </c>
      <c r="P290" s="24">
        <v>225.01584</v>
      </c>
      <c r="Q290">
        <v>143</v>
      </c>
      <c r="R290" s="19">
        <v>98.855230000000006</v>
      </c>
      <c r="S290" s="4">
        <f t="shared" si="22"/>
        <v>98.779410000000013</v>
      </c>
      <c r="W290" s="22">
        <v>250.00400999999999</v>
      </c>
      <c r="X290">
        <v>143</v>
      </c>
      <c r="Y290" s="23">
        <v>88.186480000000003</v>
      </c>
      <c r="Z290" s="4">
        <f t="shared" si="23"/>
        <v>93.627310000000008</v>
      </c>
      <c r="AD290" s="24">
        <v>250.02008000000001</v>
      </c>
      <c r="AE290">
        <v>143</v>
      </c>
      <c r="AF290" s="25">
        <v>96.063860000000005</v>
      </c>
      <c r="AG290" s="4">
        <f t="shared" si="24"/>
        <v>96.32535</v>
      </c>
    </row>
    <row r="291" spans="2:33" x14ac:dyDescent="0.15">
      <c r="B291" s="22">
        <v>200.02305999999999</v>
      </c>
      <c r="C291">
        <v>143.5</v>
      </c>
      <c r="D291" s="23">
        <v>99.260599999999997</v>
      </c>
      <c r="E291" s="4">
        <f t="shared" si="20"/>
        <v>100.38704</v>
      </c>
      <c r="I291" s="22">
        <v>225.00389999999999</v>
      </c>
      <c r="J291">
        <v>143.5</v>
      </c>
      <c r="K291" s="23">
        <v>92.349059999999994</v>
      </c>
      <c r="L291" s="4">
        <f t="shared" si="21"/>
        <v>95.936129999999991</v>
      </c>
      <c r="P291" s="24">
        <v>225.01946000000001</v>
      </c>
      <c r="Q291">
        <v>143.5</v>
      </c>
      <c r="R291" s="25">
        <v>98.799620000000004</v>
      </c>
      <c r="S291" s="4">
        <f t="shared" si="22"/>
        <v>98.723800000000011</v>
      </c>
      <c r="W291" s="22">
        <v>250.00097</v>
      </c>
      <c r="X291">
        <v>143.5</v>
      </c>
      <c r="Y291" s="4">
        <v>88.155770000000004</v>
      </c>
      <c r="Z291" s="4">
        <f t="shared" si="23"/>
        <v>93.596600000000009</v>
      </c>
      <c r="AD291" s="24">
        <v>250.02023</v>
      </c>
      <c r="AE291">
        <v>143.5</v>
      </c>
      <c r="AF291" s="19">
        <v>96.157660000000007</v>
      </c>
      <c r="AG291" s="4">
        <f t="shared" si="24"/>
        <v>96.419150000000002</v>
      </c>
    </row>
    <row r="292" spans="2:33" x14ac:dyDescent="0.15">
      <c r="B292" s="22">
        <v>200.01652000000001</v>
      </c>
      <c r="C292">
        <v>144</v>
      </c>
      <c r="D292" s="4">
        <v>99.247060000000005</v>
      </c>
      <c r="E292" s="4">
        <f t="shared" si="20"/>
        <v>100.37350000000001</v>
      </c>
      <c r="I292" s="22">
        <v>225.00393</v>
      </c>
      <c r="J292">
        <v>144</v>
      </c>
      <c r="K292" s="4">
        <v>92.350620000000006</v>
      </c>
      <c r="L292" s="4">
        <f t="shared" si="21"/>
        <v>95.937690000000003</v>
      </c>
      <c r="P292" s="24">
        <v>225.01938999999999</v>
      </c>
      <c r="Q292">
        <v>144</v>
      </c>
      <c r="R292" s="19">
        <v>98.861369999999994</v>
      </c>
      <c r="S292" s="4">
        <f t="shared" si="22"/>
        <v>98.785550000000001</v>
      </c>
      <c r="W292" s="22">
        <v>250.00402</v>
      </c>
      <c r="X292">
        <v>144</v>
      </c>
      <c r="Y292" s="23">
        <v>88.140219999999999</v>
      </c>
      <c r="Z292" s="4">
        <f t="shared" si="23"/>
        <v>93.581050000000005</v>
      </c>
      <c r="AD292" s="24">
        <v>250.01899</v>
      </c>
      <c r="AE292">
        <v>144</v>
      </c>
      <c r="AF292" s="25">
        <v>96.082300000000004</v>
      </c>
      <c r="AG292" s="4">
        <f t="shared" si="24"/>
        <v>96.343789999999998</v>
      </c>
    </row>
    <row r="293" spans="2:33" x14ac:dyDescent="0.15">
      <c r="B293" s="22">
        <v>200.00820999999999</v>
      </c>
      <c r="C293">
        <v>144.5</v>
      </c>
      <c r="D293" s="23">
        <v>99.377930000000006</v>
      </c>
      <c r="E293" s="4">
        <f t="shared" si="20"/>
        <v>100.50437000000001</v>
      </c>
      <c r="I293" s="22">
        <v>225.00296</v>
      </c>
      <c r="J293">
        <v>144.5</v>
      </c>
      <c r="K293" s="23">
        <v>92.324920000000006</v>
      </c>
      <c r="L293" s="4">
        <f t="shared" si="21"/>
        <v>95.911990000000003</v>
      </c>
      <c r="P293" s="24">
        <v>225.01812000000001</v>
      </c>
      <c r="Q293">
        <v>144.5</v>
      </c>
      <c r="R293" s="25">
        <v>98.814710000000005</v>
      </c>
      <c r="S293" s="4">
        <f t="shared" si="22"/>
        <v>98.738890000000012</v>
      </c>
      <c r="W293" s="22">
        <v>250.00699</v>
      </c>
      <c r="X293">
        <v>144.5</v>
      </c>
      <c r="Y293" s="4">
        <v>88.111710000000002</v>
      </c>
      <c r="Z293" s="4">
        <f t="shared" si="23"/>
        <v>93.552540000000008</v>
      </c>
      <c r="AD293" s="24">
        <v>250.01983000000001</v>
      </c>
      <c r="AE293">
        <v>144.5</v>
      </c>
      <c r="AF293" s="19">
        <v>96.087220000000002</v>
      </c>
      <c r="AG293" s="4">
        <f t="shared" si="24"/>
        <v>96.348709999999997</v>
      </c>
    </row>
    <row r="294" spans="2:33" x14ac:dyDescent="0.15">
      <c r="B294" s="22">
        <v>200.00867</v>
      </c>
      <c r="C294">
        <v>145</v>
      </c>
      <c r="D294" s="4">
        <v>99.183920000000001</v>
      </c>
      <c r="E294" s="4">
        <f t="shared" si="20"/>
        <v>100.31036</v>
      </c>
      <c r="I294" s="22">
        <v>225.00409999999999</v>
      </c>
      <c r="J294">
        <v>145</v>
      </c>
      <c r="K294" s="4">
        <v>92.329580000000007</v>
      </c>
      <c r="L294" s="4">
        <f t="shared" si="21"/>
        <v>95.916650000000004</v>
      </c>
      <c r="P294" s="24">
        <v>225.01882000000001</v>
      </c>
      <c r="Q294">
        <v>145</v>
      </c>
      <c r="R294" s="19">
        <v>98.882490000000004</v>
      </c>
      <c r="S294" s="4">
        <f t="shared" si="22"/>
        <v>98.806670000000011</v>
      </c>
      <c r="W294" s="22">
        <v>250.00502</v>
      </c>
      <c r="X294">
        <v>145</v>
      </c>
      <c r="Y294" s="23">
        <v>88.088520000000003</v>
      </c>
      <c r="Z294" s="4">
        <f t="shared" si="23"/>
        <v>93.529350000000008</v>
      </c>
      <c r="AD294" s="24">
        <v>250.02063000000001</v>
      </c>
      <c r="AE294">
        <v>145</v>
      </c>
      <c r="AF294" s="25">
        <v>96.039770000000004</v>
      </c>
      <c r="AG294" s="4">
        <f t="shared" si="24"/>
        <v>96.301259999999999</v>
      </c>
    </row>
    <row r="295" spans="2:33" x14ac:dyDescent="0.15">
      <c r="B295" s="22">
        <v>200.01410000000001</v>
      </c>
      <c r="C295">
        <v>145.5</v>
      </c>
      <c r="D295" s="23">
        <v>99.269940000000005</v>
      </c>
      <c r="E295" s="4">
        <f t="shared" si="20"/>
        <v>100.39638000000001</v>
      </c>
      <c r="I295" s="22">
        <v>225.00496999999999</v>
      </c>
      <c r="J295">
        <v>145.5</v>
      </c>
      <c r="K295" s="23">
        <v>92.308980000000005</v>
      </c>
      <c r="L295" s="4">
        <f t="shared" si="21"/>
        <v>95.896050000000002</v>
      </c>
      <c r="P295" s="24">
        <v>225.0222</v>
      </c>
      <c r="Q295">
        <v>145.5</v>
      </c>
      <c r="R295" s="25">
        <v>98.857299999999995</v>
      </c>
      <c r="S295" s="4">
        <f t="shared" si="22"/>
        <v>98.781480000000002</v>
      </c>
      <c r="W295" s="22">
        <v>250.00503</v>
      </c>
      <c r="X295">
        <v>145.5</v>
      </c>
      <c r="Y295" s="4">
        <v>88.065709999999996</v>
      </c>
      <c r="Z295" s="4">
        <f t="shared" si="23"/>
        <v>93.506540000000001</v>
      </c>
      <c r="AD295" s="24">
        <v>250.02366000000001</v>
      </c>
      <c r="AE295">
        <v>145.5</v>
      </c>
      <c r="AF295" s="19">
        <v>96.021680000000003</v>
      </c>
      <c r="AG295" s="4">
        <f t="shared" si="24"/>
        <v>96.283169999999998</v>
      </c>
    </row>
    <row r="296" spans="2:33" x14ac:dyDescent="0.15">
      <c r="B296" s="22">
        <v>200.02598</v>
      </c>
      <c r="C296">
        <v>146</v>
      </c>
      <c r="D296" s="4">
        <v>99.201710000000006</v>
      </c>
      <c r="E296" s="4">
        <f t="shared" si="20"/>
        <v>100.32815000000001</v>
      </c>
      <c r="I296" s="22">
        <v>225.00502</v>
      </c>
      <c r="J296">
        <v>146</v>
      </c>
      <c r="K296" s="4">
        <v>92.294560000000004</v>
      </c>
      <c r="L296" s="4">
        <f t="shared" si="21"/>
        <v>95.881630000000001</v>
      </c>
      <c r="P296" s="24">
        <v>225.02034</v>
      </c>
      <c r="Q296">
        <v>146</v>
      </c>
      <c r="R296" s="19">
        <v>98.800740000000005</v>
      </c>
      <c r="S296" s="4">
        <f t="shared" si="22"/>
        <v>98.724920000000012</v>
      </c>
      <c r="W296" s="22">
        <v>250.00197</v>
      </c>
      <c r="X296">
        <v>146</v>
      </c>
      <c r="Y296" s="23">
        <v>88.052310000000006</v>
      </c>
      <c r="Z296" s="4">
        <f t="shared" si="23"/>
        <v>93.493140000000011</v>
      </c>
      <c r="AD296" s="24">
        <v>250.02807999999999</v>
      </c>
      <c r="AE296">
        <v>146</v>
      </c>
      <c r="AF296" s="25">
        <v>96.076639999999998</v>
      </c>
      <c r="AG296" s="4">
        <f t="shared" si="24"/>
        <v>96.338129999999992</v>
      </c>
    </row>
    <row r="297" spans="2:33" x14ac:dyDescent="0.15">
      <c r="B297" s="22">
        <v>200.03423000000001</v>
      </c>
      <c r="C297">
        <v>146.5</v>
      </c>
      <c r="D297" s="23">
        <v>99.369770000000003</v>
      </c>
      <c r="E297" s="4">
        <f t="shared" si="20"/>
        <v>100.49621</v>
      </c>
      <c r="I297" s="22">
        <v>225.00700000000001</v>
      </c>
      <c r="J297">
        <v>146.5</v>
      </c>
      <c r="K297" s="23">
        <v>92.287430000000001</v>
      </c>
      <c r="L297" s="4">
        <f t="shared" si="21"/>
        <v>95.874499999999998</v>
      </c>
      <c r="P297" s="24">
        <v>225.01786999999999</v>
      </c>
      <c r="Q297">
        <v>146.5</v>
      </c>
      <c r="R297" s="25">
        <v>98.916510000000002</v>
      </c>
      <c r="S297" s="4">
        <f t="shared" si="22"/>
        <v>98.840690000000009</v>
      </c>
      <c r="W297" s="22">
        <v>249.99999</v>
      </c>
      <c r="X297">
        <v>146.5</v>
      </c>
      <c r="Y297" s="4">
        <v>88.040610000000001</v>
      </c>
      <c r="Z297" s="4">
        <f t="shared" si="23"/>
        <v>93.481440000000006</v>
      </c>
      <c r="AD297" s="24">
        <v>250.02688000000001</v>
      </c>
      <c r="AE297">
        <v>146.5</v>
      </c>
      <c r="AF297" s="19">
        <v>96.054969999999997</v>
      </c>
      <c r="AG297" s="4">
        <f t="shared" si="24"/>
        <v>96.316459999999992</v>
      </c>
    </row>
    <row r="298" spans="2:33" x14ac:dyDescent="0.15">
      <c r="B298" s="22">
        <v>200.03299000000001</v>
      </c>
      <c r="C298">
        <v>147</v>
      </c>
      <c r="D298" s="4">
        <v>99.171369999999996</v>
      </c>
      <c r="E298" s="4">
        <f t="shared" si="20"/>
        <v>100.29781</v>
      </c>
      <c r="I298" s="22">
        <v>225.00603000000001</v>
      </c>
      <c r="J298">
        <v>147</v>
      </c>
      <c r="K298" s="4">
        <v>92.263400000000004</v>
      </c>
      <c r="L298" s="4">
        <f t="shared" si="21"/>
        <v>95.850470000000001</v>
      </c>
      <c r="P298" s="24">
        <v>225.01392999999999</v>
      </c>
      <c r="Q298">
        <v>147</v>
      </c>
      <c r="R298" s="19">
        <v>98.763130000000004</v>
      </c>
      <c r="S298" s="4">
        <f t="shared" si="22"/>
        <v>98.687310000000011</v>
      </c>
      <c r="W298" s="22">
        <v>250.00801999999999</v>
      </c>
      <c r="X298">
        <v>147</v>
      </c>
      <c r="Y298" s="23">
        <v>88.021609999999995</v>
      </c>
      <c r="Z298" s="4">
        <f t="shared" si="23"/>
        <v>93.462440000000001</v>
      </c>
      <c r="AD298" s="24">
        <v>250.02736999999999</v>
      </c>
      <c r="AE298">
        <v>147</v>
      </c>
      <c r="AF298" s="25">
        <v>96.089330000000004</v>
      </c>
      <c r="AG298" s="4">
        <f t="shared" si="24"/>
        <v>96.350819999999999</v>
      </c>
    </row>
    <row r="299" spans="2:33" x14ac:dyDescent="0.15">
      <c r="B299" s="22">
        <v>200.03353999999999</v>
      </c>
      <c r="C299">
        <v>147.5</v>
      </c>
      <c r="D299" s="23">
        <v>99.106409999999997</v>
      </c>
      <c r="E299" s="4">
        <f t="shared" si="20"/>
        <v>100.23285</v>
      </c>
      <c r="I299" s="22">
        <v>225.00095999999999</v>
      </c>
      <c r="J299">
        <v>147.5</v>
      </c>
      <c r="K299" s="23">
        <v>92.23563</v>
      </c>
      <c r="L299" s="4">
        <f t="shared" si="21"/>
        <v>95.822699999999998</v>
      </c>
      <c r="P299" s="24">
        <v>225.01668000000001</v>
      </c>
      <c r="Q299">
        <v>147.5</v>
      </c>
      <c r="R299" s="25">
        <v>98.860650000000007</v>
      </c>
      <c r="S299" s="4">
        <f t="shared" si="22"/>
        <v>98.784830000000014</v>
      </c>
      <c r="W299" s="22">
        <v>250.006</v>
      </c>
      <c r="X299">
        <v>147.5</v>
      </c>
      <c r="Y299" s="4">
        <v>87.979339999999993</v>
      </c>
      <c r="Z299" s="4">
        <f t="shared" si="23"/>
        <v>93.420169999999999</v>
      </c>
      <c r="AD299" s="24">
        <v>250.02921000000001</v>
      </c>
      <c r="AE299">
        <v>147.5</v>
      </c>
      <c r="AF299" s="19">
        <v>96.00949</v>
      </c>
      <c r="AG299" s="4">
        <f t="shared" si="24"/>
        <v>96.270979999999994</v>
      </c>
    </row>
    <row r="300" spans="2:33" x14ac:dyDescent="0.15">
      <c r="B300" s="22">
        <v>200.036</v>
      </c>
      <c r="C300">
        <v>148</v>
      </c>
      <c r="D300" s="4">
        <v>99.145629999999997</v>
      </c>
      <c r="E300" s="4">
        <f t="shared" si="20"/>
        <v>100.27207</v>
      </c>
      <c r="I300" s="22">
        <v>225.00384</v>
      </c>
      <c r="J300">
        <v>148</v>
      </c>
      <c r="K300" s="4">
        <v>92.239940000000004</v>
      </c>
      <c r="L300" s="4">
        <f t="shared" si="21"/>
        <v>95.827010000000001</v>
      </c>
      <c r="P300" s="24">
        <v>225.02154999999999</v>
      </c>
      <c r="Q300">
        <v>148</v>
      </c>
      <c r="R300" s="19">
        <v>98.725629999999995</v>
      </c>
      <c r="S300" s="4">
        <f t="shared" si="22"/>
        <v>98.649810000000002</v>
      </c>
      <c r="W300" s="22">
        <v>249.99901</v>
      </c>
      <c r="X300">
        <v>148</v>
      </c>
      <c r="Y300" s="23">
        <v>87.963970000000003</v>
      </c>
      <c r="Z300" s="4">
        <f t="shared" si="23"/>
        <v>93.404800000000009</v>
      </c>
      <c r="AD300" s="24">
        <v>250.03075000000001</v>
      </c>
      <c r="AE300">
        <v>148</v>
      </c>
      <c r="AF300" s="25">
        <v>95.985560000000007</v>
      </c>
      <c r="AG300" s="4">
        <f t="shared" si="24"/>
        <v>96.247050000000002</v>
      </c>
    </row>
    <row r="301" spans="2:33" x14ac:dyDescent="0.15">
      <c r="B301" s="22">
        <v>200.03407999999999</v>
      </c>
      <c r="C301">
        <v>148.5</v>
      </c>
      <c r="D301" s="23">
        <v>99.357010000000002</v>
      </c>
      <c r="E301" s="4">
        <f t="shared" si="20"/>
        <v>100.48345</v>
      </c>
      <c r="I301" s="22">
        <v>225.00303</v>
      </c>
      <c r="J301">
        <v>148.5</v>
      </c>
      <c r="K301" s="23">
        <v>92.26361</v>
      </c>
      <c r="L301" s="4">
        <f t="shared" si="21"/>
        <v>95.850679999999997</v>
      </c>
      <c r="P301" s="24">
        <v>225.02316999999999</v>
      </c>
      <c r="Q301">
        <v>148.5</v>
      </c>
      <c r="R301" s="25">
        <v>98.909139999999994</v>
      </c>
      <c r="S301" s="4">
        <f t="shared" si="22"/>
        <v>98.833320000000001</v>
      </c>
      <c r="W301" s="22">
        <v>250.00599</v>
      </c>
      <c r="X301">
        <v>148.5</v>
      </c>
      <c r="Y301" s="4">
        <v>87.946740000000005</v>
      </c>
      <c r="Z301" s="4">
        <f t="shared" si="23"/>
        <v>93.387570000000011</v>
      </c>
      <c r="AD301" s="24">
        <v>250.02758</v>
      </c>
      <c r="AE301">
        <v>148.5</v>
      </c>
      <c r="AF301" s="19">
        <v>96.086669999999998</v>
      </c>
      <c r="AG301" s="4">
        <f t="shared" si="24"/>
        <v>96.348159999999993</v>
      </c>
    </row>
    <row r="302" spans="2:33" x14ac:dyDescent="0.15">
      <c r="B302" s="22">
        <v>200.03457</v>
      </c>
      <c r="C302">
        <v>149</v>
      </c>
      <c r="D302" s="4">
        <v>99.280940000000001</v>
      </c>
      <c r="E302" s="4">
        <f t="shared" si="20"/>
        <v>100.40738</v>
      </c>
      <c r="I302" s="22">
        <v>225.00799000000001</v>
      </c>
      <c r="J302">
        <v>149</v>
      </c>
      <c r="K302" s="4">
        <v>92.212500000000006</v>
      </c>
      <c r="L302" s="4">
        <f t="shared" si="21"/>
        <v>95.799570000000003</v>
      </c>
      <c r="P302" s="24">
        <v>225.02198000000001</v>
      </c>
      <c r="Q302">
        <v>149</v>
      </c>
      <c r="R302" s="19">
        <v>98.699860000000001</v>
      </c>
      <c r="S302" s="4">
        <f t="shared" si="22"/>
        <v>98.624040000000008</v>
      </c>
      <c r="W302" s="22">
        <v>250.00502</v>
      </c>
      <c r="X302">
        <v>149</v>
      </c>
      <c r="Y302" s="23">
        <v>87.944900000000004</v>
      </c>
      <c r="Z302" s="4">
        <f t="shared" si="23"/>
        <v>93.385730000000009</v>
      </c>
      <c r="AD302" s="24">
        <v>250.01868999999999</v>
      </c>
      <c r="AE302">
        <v>149</v>
      </c>
      <c r="AF302" s="25">
        <v>95.963120000000004</v>
      </c>
      <c r="AG302" s="4">
        <f t="shared" si="24"/>
        <v>96.224609999999998</v>
      </c>
    </row>
    <row r="303" spans="2:33" x14ac:dyDescent="0.15">
      <c r="B303" s="22">
        <v>200.03247999999999</v>
      </c>
      <c r="C303">
        <v>149.5</v>
      </c>
      <c r="D303" s="23">
        <v>99.300839999999994</v>
      </c>
      <c r="E303" s="4">
        <f t="shared" si="20"/>
        <v>100.42728</v>
      </c>
      <c r="I303" s="22">
        <v>225.00695999999999</v>
      </c>
      <c r="J303">
        <v>149.5</v>
      </c>
      <c r="K303" s="23">
        <v>92.22139</v>
      </c>
      <c r="L303" s="4">
        <f t="shared" si="21"/>
        <v>95.808459999999997</v>
      </c>
      <c r="P303" s="24">
        <v>225.01553000000001</v>
      </c>
      <c r="Q303">
        <v>149.5</v>
      </c>
      <c r="R303" s="25">
        <v>98.776300000000006</v>
      </c>
      <c r="S303" s="4">
        <f t="shared" si="22"/>
        <v>98.700480000000013</v>
      </c>
      <c r="W303" s="22">
        <v>250.00102000000001</v>
      </c>
      <c r="X303">
        <v>149.5</v>
      </c>
      <c r="Y303" s="4">
        <v>87.912239999999997</v>
      </c>
      <c r="Z303" s="4">
        <f t="shared" si="23"/>
        <v>93.353070000000002</v>
      </c>
      <c r="AD303" s="24">
        <v>250.01283000000001</v>
      </c>
      <c r="AE303">
        <v>149.5</v>
      </c>
      <c r="AF303" s="19">
        <v>95.977239999999995</v>
      </c>
      <c r="AG303" s="4">
        <f t="shared" si="24"/>
        <v>96.23872999999999</v>
      </c>
    </row>
    <row r="304" spans="2:33" x14ac:dyDescent="0.15">
      <c r="B304" s="22">
        <v>200.03997000000001</v>
      </c>
      <c r="C304">
        <v>150</v>
      </c>
      <c r="D304" s="4">
        <v>99.216390000000004</v>
      </c>
      <c r="E304" s="4">
        <f t="shared" si="20"/>
        <v>100.34283000000001</v>
      </c>
      <c r="I304" s="22">
        <v>225.00496999999999</v>
      </c>
      <c r="J304">
        <v>150</v>
      </c>
      <c r="K304" s="4">
        <v>92.196439999999996</v>
      </c>
      <c r="L304" s="4">
        <f t="shared" si="21"/>
        <v>95.783509999999993</v>
      </c>
      <c r="P304" s="24">
        <v>225.00959</v>
      </c>
      <c r="Q304">
        <v>150</v>
      </c>
      <c r="R304" s="19">
        <v>98.796369999999996</v>
      </c>
      <c r="S304" s="4">
        <f t="shared" si="22"/>
        <v>98.720550000000003</v>
      </c>
      <c r="W304" s="22">
        <v>250.00200000000001</v>
      </c>
      <c r="X304">
        <v>150</v>
      </c>
      <c r="Y304" s="23">
        <v>87.889250000000004</v>
      </c>
      <c r="Z304" s="4">
        <f t="shared" si="23"/>
        <v>93.330080000000009</v>
      </c>
      <c r="AD304" s="24">
        <v>250.01788999999999</v>
      </c>
      <c r="AE304">
        <v>150</v>
      </c>
      <c r="AF304" s="25">
        <v>95.912779999999998</v>
      </c>
      <c r="AG304" s="4">
        <f t="shared" si="24"/>
        <v>96.174269999999993</v>
      </c>
    </row>
    <row r="305" spans="2:33" x14ac:dyDescent="0.15">
      <c r="B305" s="22">
        <v>200.04945000000001</v>
      </c>
      <c r="C305">
        <v>150.5</v>
      </c>
      <c r="D305" s="23">
        <v>99.207359999999994</v>
      </c>
      <c r="E305" s="4">
        <f t="shared" si="20"/>
        <v>100.3338</v>
      </c>
      <c r="I305" s="22">
        <v>225.01197999999999</v>
      </c>
      <c r="J305">
        <v>150.5</v>
      </c>
      <c r="K305" s="23">
        <v>92.179640000000006</v>
      </c>
      <c r="L305" s="4">
        <f t="shared" si="21"/>
        <v>95.766710000000003</v>
      </c>
      <c r="P305" s="24">
        <v>225.01367999999999</v>
      </c>
      <c r="Q305">
        <v>150.5</v>
      </c>
      <c r="R305" s="25">
        <v>98.875739999999993</v>
      </c>
      <c r="S305" s="4">
        <f t="shared" si="22"/>
        <v>98.79992</v>
      </c>
      <c r="W305" s="22">
        <v>250.00698</v>
      </c>
      <c r="X305">
        <v>150.5</v>
      </c>
      <c r="Y305" s="4">
        <v>87.862340000000003</v>
      </c>
      <c r="Z305" s="4">
        <f t="shared" si="23"/>
        <v>93.303170000000009</v>
      </c>
      <c r="AD305" s="24">
        <v>250.02089000000001</v>
      </c>
      <c r="AE305">
        <v>150.5</v>
      </c>
      <c r="AF305" s="19">
        <v>95.811999999999998</v>
      </c>
      <c r="AG305" s="4">
        <f t="shared" si="24"/>
        <v>96.073489999999993</v>
      </c>
    </row>
    <row r="306" spans="2:33" x14ac:dyDescent="0.15">
      <c r="B306" s="22">
        <v>200.05375000000001</v>
      </c>
      <c r="C306">
        <v>151</v>
      </c>
      <c r="D306" s="4">
        <v>99.269109999999998</v>
      </c>
      <c r="E306" s="4">
        <f t="shared" si="20"/>
        <v>100.39555</v>
      </c>
      <c r="I306" s="22">
        <v>225.01009999999999</v>
      </c>
      <c r="J306">
        <v>151</v>
      </c>
      <c r="K306" s="4">
        <v>92.176580000000001</v>
      </c>
      <c r="L306" s="4">
        <f t="shared" si="21"/>
        <v>95.763649999999998</v>
      </c>
      <c r="P306" s="24">
        <v>225.01616000000001</v>
      </c>
      <c r="Q306">
        <v>151</v>
      </c>
      <c r="R306" s="19">
        <v>98.802580000000006</v>
      </c>
      <c r="S306" s="4">
        <f t="shared" si="22"/>
        <v>98.726760000000013</v>
      </c>
      <c r="W306" s="22">
        <v>250.00900999999999</v>
      </c>
      <c r="X306">
        <v>151</v>
      </c>
      <c r="Y306" s="23">
        <v>87.837620000000001</v>
      </c>
      <c r="Z306" s="4">
        <f t="shared" si="23"/>
        <v>93.278450000000007</v>
      </c>
      <c r="AD306" s="24">
        <v>250.01893999999999</v>
      </c>
      <c r="AE306">
        <v>151</v>
      </c>
      <c r="AF306" s="25">
        <v>95.883629999999997</v>
      </c>
      <c r="AG306" s="4">
        <f t="shared" si="24"/>
        <v>96.145119999999991</v>
      </c>
    </row>
    <row r="307" spans="2:33" x14ac:dyDescent="0.15">
      <c r="B307" s="22">
        <v>200.05026000000001</v>
      </c>
      <c r="C307">
        <v>151.5</v>
      </c>
      <c r="D307" s="23">
        <v>99.31335</v>
      </c>
      <c r="E307" s="4">
        <f t="shared" si="20"/>
        <v>100.43979</v>
      </c>
      <c r="I307" s="22">
        <v>225.00602000000001</v>
      </c>
      <c r="J307">
        <v>151.5</v>
      </c>
      <c r="K307" s="23">
        <v>92.161649999999995</v>
      </c>
      <c r="L307" s="4">
        <f t="shared" si="21"/>
        <v>95.748719999999992</v>
      </c>
      <c r="P307" s="24">
        <v>225.01293000000001</v>
      </c>
      <c r="Q307">
        <v>151.5</v>
      </c>
      <c r="R307" s="25">
        <v>98.757000000000005</v>
      </c>
      <c r="S307" s="4">
        <f t="shared" si="22"/>
        <v>98.681180000000012</v>
      </c>
      <c r="W307" s="22">
        <v>250.00498999999999</v>
      </c>
      <c r="X307">
        <v>151.5</v>
      </c>
      <c r="Y307" s="4">
        <v>87.810450000000003</v>
      </c>
      <c r="Z307" s="4">
        <f t="shared" si="23"/>
        <v>93.251280000000008</v>
      </c>
      <c r="AD307" s="24">
        <v>250.02059</v>
      </c>
      <c r="AE307">
        <v>151.5</v>
      </c>
      <c r="AF307" s="19">
        <v>95.801789999999997</v>
      </c>
      <c r="AG307" s="4">
        <f t="shared" si="24"/>
        <v>96.063279999999992</v>
      </c>
    </row>
    <row r="308" spans="2:33" x14ac:dyDescent="0.15">
      <c r="B308" s="22">
        <v>200.04017999999999</v>
      </c>
      <c r="C308">
        <v>152</v>
      </c>
      <c r="D308" s="4">
        <v>99.22045</v>
      </c>
      <c r="E308" s="4">
        <f t="shared" si="20"/>
        <v>100.34689</v>
      </c>
      <c r="I308" s="22">
        <v>225.00395</v>
      </c>
      <c r="J308">
        <v>152</v>
      </c>
      <c r="K308" s="4">
        <v>92.139139999999998</v>
      </c>
      <c r="L308" s="4">
        <f t="shared" si="21"/>
        <v>95.726209999999995</v>
      </c>
      <c r="P308" s="24">
        <v>225.01587000000001</v>
      </c>
      <c r="Q308">
        <v>152</v>
      </c>
      <c r="R308" s="19">
        <v>98.847369999999998</v>
      </c>
      <c r="S308" s="4">
        <f t="shared" si="22"/>
        <v>98.771550000000005</v>
      </c>
      <c r="W308" s="22">
        <v>250.00702000000001</v>
      </c>
      <c r="X308">
        <v>152</v>
      </c>
      <c r="Y308" s="23">
        <v>87.795339999999996</v>
      </c>
      <c r="Z308" s="4">
        <f t="shared" si="23"/>
        <v>93.236170000000001</v>
      </c>
      <c r="AD308" s="24">
        <v>250.01831000000001</v>
      </c>
      <c r="AE308">
        <v>152</v>
      </c>
      <c r="AF308" s="25">
        <v>95.904030000000006</v>
      </c>
      <c r="AG308" s="4">
        <f t="shared" si="24"/>
        <v>96.165520000000001</v>
      </c>
    </row>
    <row r="309" spans="2:33" x14ac:dyDescent="0.15">
      <c r="B309" s="22">
        <v>200.03536</v>
      </c>
      <c r="C309">
        <v>152.5</v>
      </c>
      <c r="D309" s="23">
        <v>99.351060000000004</v>
      </c>
      <c r="E309" s="4">
        <f t="shared" si="20"/>
        <v>100.47750000000001</v>
      </c>
      <c r="I309" s="22">
        <v>225.00906000000001</v>
      </c>
      <c r="J309">
        <v>152.5</v>
      </c>
      <c r="K309" s="23">
        <v>92.144810000000007</v>
      </c>
      <c r="L309" s="4">
        <f t="shared" si="21"/>
        <v>95.731880000000004</v>
      </c>
      <c r="P309" s="24">
        <v>225.01636999999999</v>
      </c>
      <c r="Q309">
        <v>152.5</v>
      </c>
      <c r="R309" s="25">
        <v>98.674099999999996</v>
      </c>
      <c r="S309" s="4">
        <f t="shared" si="22"/>
        <v>98.598280000000003</v>
      </c>
      <c r="W309" s="22">
        <v>250.00699</v>
      </c>
      <c r="X309">
        <v>152.5</v>
      </c>
      <c r="Y309" s="4">
        <v>87.785579999999996</v>
      </c>
      <c r="Z309" s="4">
        <f t="shared" si="23"/>
        <v>93.226410000000001</v>
      </c>
      <c r="AD309" s="24">
        <v>250.01729</v>
      </c>
      <c r="AE309">
        <v>152.5</v>
      </c>
      <c r="AF309" s="19">
        <v>95.845830000000007</v>
      </c>
      <c r="AG309" s="4">
        <f t="shared" si="24"/>
        <v>96.107320000000001</v>
      </c>
    </row>
    <row r="310" spans="2:33" x14ac:dyDescent="0.15">
      <c r="B310" s="22">
        <v>200.03679</v>
      </c>
      <c r="C310">
        <v>153</v>
      </c>
      <c r="D310" s="4">
        <v>99.281180000000006</v>
      </c>
      <c r="E310" s="4">
        <f t="shared" si="20"/>
        <v>100.40762000000001</v>
      </c>
      <c r="I310" s="22">
        <v>225.00391999999999</v>
      </c>
      <c r="J310">
        <v>153</v>
      </c>
      <c r="K310" s="4">
        <v>92.135670000000005</v>
      </c>
      <c r="L310" s="4">
        <f t="shared" si="21"/>
        <v>95.722740000000002</v>
      </c>
      <c r="P310" s="24">
        <v>225.01553999999999</v>
      </c>
      <c r="Q310">
        <v>153</v>
      </c>
      <c r="R310" s="19">
        <v>98.651139999999998</v>
      </c>
      <c r="S310" s="4">
        <f t="shared" si="22"/>
        <v>98.575320000000005</v>
      </c>
      <c r="W310" s="22">
        <v>250.01098999999999</v>
      </c>
      <c r="X310">
        <v>153</v>
      </c>
      <c r="Y310" s="23">
        <v>87.762609999999995</v>
      </c>
      <c r="Z310" s="4">
        <f t="shared" si="23"/>
        <v>93.203440000000001</v>
      </c>
      <c r="AD310" s="24">
        <v>250.01727</v>
      </c>
      <c r="AE310">
        <v>153</v>
      </c>
      <c r="AF310" s="25">
        <v>95.875829999999993</v>
      </c>
      <c r="AG310" s="4">
        <f t="shared" si="24"/>
        <v>96.137319999999988</v>
      </c>
    </row>
    <row r="311" spans="2:33" x14ac:dyDescent="0.15">
      <c r="B311" s="22">
        <v>200.04076000000001</v>
      </c>
      <c r="C311">
        <v>153.5</v>
      </c>
      <c r="D311" s="23">
        <v>99.273970000000006</v>
      </c>
      <c r="E311" s="4">
        <f t="shared" si="20"/>
        <v>100.40041000000001</v>
      </c>
      <c r="I311" s="22">
        <v>225.00496000000001</v>
      </c>
      <c r="J311">
        <v>153.5</v>
      </c>
      <c r="K311" s="23">
        <v>92.135090000000005</v>
      </c>
      <c r="L311" s="4">
        <f t="shared" si="21"/>
        <v>95.722160000000002</v>
      </c>
      <c r="P311" s="24">
        <v>225.01759999999999</v>
      </c>
      <c r="Q311">
        <v>153.5</v>
      </c>
      <c r="R311" s="25">
        <v>98.747330000000005</v>
      </c>
      <c r="S311" s="4">
        <f t="shared" si="22"/>
        <v>98.671510000000012</v>
      </c>
      <c r="W311" s="22">
        <v>250.00299999999999</v>
      </c>
      <c r="X311">
        <v>153.5</v>
      </c>
      <c r="Y311" s="4">
        <v>87.741770000000002</v>
      </c>
      <c r="Z311" s="4">
        <f t="shared" si="23"/>
        <v>93.182600000000008</v>
      </c>
      <c r="AD311" s="24">
        <v>250.01262</v>
      </c>
      <c r="AE311">
        <v>153.5</v>
      </c>
      <c r="AF311" s="19">
        <v>95.796809999999994</v>
      </c>
      <c r="AG311" s="4">
        <f t="shared" si="24"/>
        <v>96.058299999999988</v>
      </c>
    </row>
    <row r="312" spans="2:33" x14ac:dyDescent="0.15">
      <c r="B312" s="22">
        <v>200.04928000000001</v>
      </c>
      <c r="C312">
        <v>154</v>
      </c>
      <c r="D312" s="4">
        <v>99.205749999999995</v>
      </c>
      <c r="E312" s="4">
        <f t="shared" si="20"/>
        <v>100.33219</v>
      </c>
      <c r="I312" s="22">
        <v>225.00296</v>
      </c>
      <c r="J312">
        <v>154</v>
      </c>
      <c r="K312" s="4">
        <v>92.109949999999998</v>
      </c>
      <c r="L312" s="4">
        <f t="shared" si="21"/>
        <v>95.697019999999995</v>
      </c>
      <c r="P312" s="24">
        <v>225.01401000000001</v>
      </c>
      <c r="Q312">
        <v>154</v>
      </c>
      <c r="R312" s="19">
        <v>98.741680000000002</v>
      </c>
      <c r="S312" s="4">
        <f t="shared" si="22"/>
        <v>98.665860000000009</v>
      </c>
      <c r="W312" s="22">
        <v>250.00305</v>
      </c>
      <c r="X312">
        <v>154</v>
      </c>
      <c r="Y312" s="23">
        <v>87.709019999999995</v>
      </c>
      <c r="Z312" s="4">
        <f t="shared" si="23"/>
        <v>93.149850000000001</v>
      </c>
      <c r="AD312" s="24">
        <v>250.01145</v>
      </c>
      <c r="AE312">
        <v>154</v>
      </c>
      <c r="AF312" s="25">
        <v>95.74915</v>
      </c>
      <c r="AG312" s="4">
        <f t="shared" si="24"/>
        <v>96.010639999999995</v>
      </c>
    </row>
    <row r="313" spans="2:33" x14ac:dyDescent="0.15">
      <c r="B313" s="22">
        <v>200.05394000000001</v>
      </c>
      <c r="C313">
        <v>154.5</v>
      </c>
      <c r="D313" s="23">
        <v>99.187719999999999</v>
      </c>
      <c r="E313" s="4">
        <f t="shared" si="20"/>
        <v>100.31416</v>
      </c>
      <c r="I313" s="22">
        <v>225.00596999999999</v>
      </c>
      <c r="J313">
        <v>154.5</v>
      </c>
      <c r="K313" s="23">
        <v>92.095349999999996</v>
      </c>
      <c r="L313" s="4">
        <f t="shared" si="21"/>
        <v>95.682419999999993</v>
      </c>
      <c r="P313" s="24">
        <v>225.01246</v>
      </c>
      <c r="Q313">
        <v>154.5</v>
      </c>
      <c r="R313" s="25">
        <v>98.691680000000005</v>
      </c>
      <c r="S313" s="4">
        <f t="shared" si="22"/>
        <v>98.615860000000012</v>
      </c>
      <c r="W313" s="22">
        <v>250.00901999999999</v>
      </c>
      <c r="X313">
        <v>154.5</v>
      </c>
      <c r="Y313" s="4">
        <v>87.701300000000003</v>
      </c>
      <c r="Z313" s="4">
        <f t="shared" si="23"/>
        <v>93.142130000000009</v>
      </c>
      <c r="AD313" s="24">
        <v>250.00916000000001</v>
      </c>
      <c r="AE313">
        <v>154.5</v>
      </c>
      <c r="AF313" s="19">
        <v>95.772909999999996</v>
      </c>
      <c r="AG313" s="4">
        <f t="shared" si="24"/>
        <v>96.034399999999991</v>
      </c>
    </row>
    <row r="314" spans="2:33" x14ac:dyDescent="0.15">
      <c r="B314" s="22">
        <v>200.0532</v>
      </c>
      <c r="C314">
        <v>155</v>
      </c>
      <c r="D314" s="4">
        <v>99.27655</v>
      </c>
      <c r="E314" s="4">
        <f t="shared" si="20"/>
        <v>100.40299</v>
      </c>
      <c r="I314" s="22">
        <v>225.00385</v>
      </c>
      <c r="J314">
        <v>155</v>
      </c>
      <c r="K314" s="4">
        <v>92.097160000000002</v>
      </c>
      <c r="L314" s="4">
        <f t="shared" si="21"/>
        <v>95.684229999999999</v>
      </c>
      <c r="P314" s="24">
        <v>225.01254</v>
      </c>
      <c r="Q314">
        <v>155</v>
      </c>
      <c r="R314" s="19">
        <v>98.785390000000007</v>
      </c>
      <c r="S314" s="4">
        <f t="shared" si="22"/>
        <v>98.709570000000014</v>
      </c>
      <c r="W314" s="22">
        <v>250.00901999999999</v>
      </c>
      <c r="X314">
        <v>155</v>
      </c>
      <c r="Y314" s="23">
        <v>87.669110000000003</v>
      </c>
      <c r="Z314" s="4">
        <f t="shared" si="23"/>
        <v>93.109940000000009</v>
      </c>
      <c r="AD314" s="24">
        <v>250.00989999999999</v>
      </c>
      <c r="AE314">
        <v>155</v>
      </c>
      <c r="AF314" s="25">
        <v>95.849040000000002</v>
      </c>
      <c r="AG314" s="4">
        <f t="shared" si="24"/>
        <v>96.110529999999997</v>
      </c>
    </row>
    <row r="315" spans="2:33" x14ac:dyDescent="0.15">
      <c r="B315" s="22">
        <v>200.04741000000001</v>
      </c>
      <c r="C315">
        <v>155.5</v>
      </c>
      <c r="D315" s="23">
        <v>99.232200000000006</v>
      </c>
      <c r="E315" s="4">
        <f t="shared" si="20"/>
        <v>100.35864000000001</v>
      </c>
      <c r="I315" s="22">
        <v>225.00406000000001</v>
      </c>
      <c r="J315">
        <v>155.5</v>
      </c>
      <c r="K315" s="23">
        <v>92.090050000000005</v>
      </c>
      <c r="L315" s="4">
        <f t="shared" si="21"/>
        <v>95.677120000000002</v>
      </c>
      <c r="P315" s="24">
        <v>225.01399000000001</v>
      </c>
      <c r="Q315">
        <v>155.5</v>
      </c>
      <c r="R315" s="25">
        <v>98.784679999999994</v>
      </c>
      <c r="S315" s="4">
        <f t="shared" si="22"/>
        <v>98.708860000000001</v>
      </c>
      <c r="W315" s="22">
        <v>249.9999</v>
      </c>
      <c r="X315">
        <v>155.5</v>
      </c>
      <c r="Y315" s="4">
        <v>87.637230000000002</v>
      </c>
      <c r="Z315" s="4">
        <f t="shared" si="23"/>
        <v>93.078060000000008</v>
      </c>
      <c r="AD315" s="24">
        <v>250.00828000000001</v>
      </c>
      <c r="AE315">
        <v>155.5</v>
      </c>
      <c r="AF315" s="19">
        <v>95.779489999999996</v>
      </c>
      <c r="AG315" s="4">
        <f t="shared" si="24"/>
        <v>96.04097999999999</v>
      </c>
    </row>
    <row r="316" spans="2:33" x14ac:dyDescent="0.15">
      <c r="B316" s="22">
        <v>200.04182</v>
      </c>
      <c r="C316">
        <v>156</v>
      </c>
      <c r="D316" s="4">
        <v>99.418199999999999</v>
      </c>
      <c r="E316" s="4">
        <f t="shared" si="20"/>
        <v>100.54464</v>
      </c>
      <c r="I316" s="22">
        <v>225.00399999999999</v>
      </c>
      <c r="J316">
        <v>156</v>
      </c>
      <c r="K316" s="4">
        <v>92.06268</v>
      </c>
      <c r="L316" s="4">
        <f t="shared" si="21"/>
        <v>95.649749999999997</v>
      </c>
      <c r="P316" s="24">
        <v>225.01384999999999</v>
      </c>
      <c r="Q316">
        <v>156</v>
      </c>
      <c r="R316" s="19">
        <v>98.645480000000006</v>
      </c>
      <c r="S316" s="4">
        <f t="shared" si="22"/>
        <v>98.569660000000013</v>
      </c>
      <c r="W316" s="22">
        <v>250.00298000000001</v>
      </c>
      <c r="X316">
        <v>156</v>
      </c>
      <c r="Y316" s="23">
        <v>87.64385</v>
      </c>
      <c r="Z316" s="4">
        <f t="shared" si="23"/>
        <v>93.084680000000006</v>
      </c>
      <c r="AD316" s="24">
        <v>250.00756000000001</v>
      </c>
      <c r="AE316">
        <v>156</v>
      </c>
      <c r="AF316" s="25">
        <v>95.763270000000006</v>
      </c>
      <c r="AG316" s="4">
        <f t="shared" si="24"/>
        <v>96.024760000000001</v>
      </c>
    </row>
    <row r="317" spans="2:33" x14ac:dyDescent="0.15">
      <c r="B317" s="22">
        <v>200.03292999999999</v>
      </c>
      <c r="C317">
        <v>156.5</v>
      </c>
      <c r="D317" s="23">
        <v>99.256460000000004</v>
      </c>
      <c r="E317" s="4">
        <f t="shared" si="20"/>
        <v>100.38290000000001</v>
      </c>
      <c r="I317" s="22">
        <v>225.00801999999999</v>
      </c>
      <c r="J317">
        <v>156.5</v>
      </c>
      <c r="K317" s="23">
        <v>92.051150000000007</v>
      </c>
      <c r="L317" s="4">
        <f t="shared" si="21"/>
        <v>95.638220000000004</v>
      </c>
      <c r="P317" s="24">
        <v>225.01338999999999</v>
      </c>
      <c r="Q317">
        <v>156.5</v>
      </c>
      <c r="R317" s="25">
        <v>98.777910000000006</v>
      </c>
      <c r="S317" s="4">
        <f t="shared" si="22"/>
        <v>98.702090000000013</v>
      </c>
      <c r="W317" s="22">
        <v>250.00905</v>
      </c>
      <c r="X317">
        <v>156.5</v>
      </c>
      <c r="Y317" s="4">
        <v>87.613060000000004</v>
      </c>
      <c r="Z317" s="4">
        <f t="shared" si="23"/>
        <v>93.05389000000001</v>
      </c>
      <c r="AD317" s="24">
        <v>250.00605999999999</v>
      </c>
      <c r="AE317">
        <v>156.5</v>
      </c>
      <c r="AF317" s="19">
        <v>95.739980000000003</v>
      </c>
      <c r="AG317" s="4">
        <f t="shared" si="24"/>
        <v>96.001469999999998</v>
      </c>
    </row>
    <row r="318" spans="2:33" x14ac:dyDescent="0.15">
      <c r="B318" s="22">
        <v>200.0172</v>
      </c>
      <c r="C318">
        <v>157</v>
      </c>
      <c r="D318" s="4">
        <v>99.234849999999994</v>
      </c>
      <c r="E318" s="4">
        <f t="shared" si="20"/>
        <v>100.36129</v>
      </c>
      <c r="I318" s="22">
        <v>225.00594000000001</v>
      </c>
      <c r="J318">
        <v>157</v>
      </c>
      <c r="K318" s="4">
        <v>92.049499999999995</v>
      </c>
      <c r="L318" s="4">
        <f t="shared" si="21"/>
        <v>95.636569999999992</v>
      </c>
      <c r="P318" s="24">
        <v>225.01411999999999</v>
      </c>
      <c r="Q318">
        <v>157</v>
      </c>
      <c r="R318" s="19">
        <v>98.754140000000007</v>
      </c>
      <c r="S318" s="4">
        <f t="shared" si="22"/>
        <v>98.678320000000014</v>
      </c>
      <c r="W318" s="22">
        <v>250.01102</v>
      </c>
      <c r="X318">
        <v>157</v>
      </c>
      <c r="Y318" s="23">
        <v>87.584379999999996</v>
      </c>
      <c r="Z318" s="4">
        <f t="shared" si="23"/>
        <v>93.025210000000001</v>
      </c>
      <c r="AD318" s="24">
        <v>250.00834</v>
      </c>
      <c r="AE318">
        <v>157</v>
      </c>
      <c r="AF318" s="25">
        <v>95.814819999999997</v>
      </c>
      <c r="AG318" s="4">
        <f t="shared" si="24"/>
        <v>96.076309999999992</v>
      </c>
    </row>
    <row r="319" spans="2:33" x14ac:dyDescent="0.15">
      <c r="B319" s="22">
        <v>200.00676999999999</v>
      </c>
      <c r="C319">
        <v>157.5</v>
      </c>
      <c r="D319" s="23">
        <v>99.170540000000003</v>
      </c>
      <c r="E319" s="4">
        <f t="shared" si="20"/>
        <v>100.29698</v>
      </c>
      <c r="I319" s="22">
        <v>225.00789</v>
      </c>
      <c r="J319">
        <v>157.5</v>
      </c>
      <c r="K319" s="23">
        <v>92.033500000000004</v>
      </c>
      <c r="L319" s="4">
        <f t="shared" si="21"/>
        <v>95.620570000000001</v>
      </c>
      <c r="P319" s="24">
        <v>225.01307</v>
      </c>
      <c r="Q319">
        <v>157.5</v>
      </c>
      <c r="R319" s="25">
        <v>98.753649999999993</v>
      </c>
      <c r="S319" s="4">
        <f t="shared" si="22"/>
        <v>98.67783</v>
      </c>
      <c r="W319" s="22">
        <v>250.00801999999999</v>
      </c>
      <c r="X319">
        <v>157.5</v>
      </c>
      <c r="Y319" s="4">
        <v>87.563419999999994</v>
      </c>
      <c r="Z319" s="4">
        <f t="shared" si="23"/>
        <v>93.004249999999999</v>
      </c>
      <c r="AD319" s="24">
        <v>250.00859</v>
      </c>
      <c r="AE319">
        <v>157.5</v>
      </c>
      <c r="AF319" s="19">
        <v>95.741699999999994</v>
      </c>
      <c r="AG319" s="4">
        <f t="shared" si="24"/>
        <v>96.003189999999989</v>
      </c>
    </row>
    <row r="320" spans="2:33" x14ac:dyDescent="0.15">
      <c r="B320" s="22">
        <v>200.00753</v>
      </c>
      <c r="C320">
        <v>158</v>
      </c>
      <c r="D320" s="4">
        <v>99.263850000000005</v>
      </c>
      <c r="E320" s="4">
        <f t="shared" si="20"/>
        <v>100.39029000000001</v>
      </c>
      <c r="I320" s="22">
        <v>225.00496999999999</v>
      </c>
      <c r="J320">
        <v>158</v>
      </c>
      <c r="K320" s="4">
        <v>92.016769999999994</v>
      </c>
      <c r="L320" s="4">
        <f t="shared" si="21"/>
        <v>95.603839999999991</v>
      </c>
      <c r="P320" s="24">
        <v>225.01286999999999</v>
      </c>
      <c r="Q320">
        <v>158</v>
      </c>
      <c r="R320" s="19">
        <v>98.771929999999998</v>
      </c>
      <c r="S320" s="4">
        <f t="shared" si="22"/>
        <v>98.696110000000004</v>
      </c>
      <c r="W320" s="22">
        <v>250.00504000000001</v>
      </c>
      <c r="X320">
        <v>158</v>
      </c>
      <c r="Y320" s="23">
        <v>87.536429999999996</v>
      </c>
      <c r="Z320" s="4">
        <f t="shared" si="23"/>
        <v>92.977260000000001</v>
      </c>
      <c r="AD320" s="24">
        <v>250.00996000000001</v>
      </c>
      <c r="AE320">
        <v>158</v>
      </c>
      <c r="AF320" s="25">
        <v>95.671639999999996</v>
      </c>
      <c r="AG320" s="4">
        <f t="shared" si="24"/>
        <v>95.933129999999991</v>
      </c>
    </row>
    <row r="321" spans="2:33" x14ac:dyDescent="0.15">
      <c r="B321" s="22">
        <v>200.01240000000001</v>
      </c>
      <c r="C321">
        <v>158.5</v>
      </c>
      <c r="D321" s="23">
        <v>99.297780000000003</v>
      </c>
      <c r="E321" s="4">
        <f t="shared" si="20"/>
        <v>100.42422000000001</v>
      </c>
      <c r="I321" s="22">
        <v>225.00505999999999</v>
      </c>
      <c r="J321">
        <v>158.5</v>
      </c>
      <c r="K321" s="23">
        <v>92.015020000000007</v>
      </c>
      <c r="L321" s="4">
        <f t="shared" si="21"/>
        <v>95.602090000000004</v>
      </c>
      <c r="P321" s="24">
        <v>225.01248000000001</v>
      </c>
      <c r="Q321">
        <v>158.5</v>
      </c>
      <c r="R321" s="25">
        <v>98.837760000000003</v>
      </c>
      <c r="S321" s="4">
        <f t="shared" si="22"/>
        <v>98.76194000000001</v>
      </c>
      <c r="W321" s="22">
        <v>250.00398000000001</v>
      </c>
      <c r="X321">
        <v>158.5</v>
      </c>
      <c r="Y321" s="4">
        <v>87.499920000000003</v>
      </c>
      <c r="Z321" s="4">
        <f t="shared" si="23"/>
        <v>92.940750000000008</v>
      </c>
      <c r="AD321" s="24">
        <v>250.01205999999999</v>
      </c>
      <c r="AE321">
        <v>158.5</v>
      </c>
      <c r="AF321" s="19">
        <v>95.740099999999998</v>
      </c>
      <c r="AG321" s="4">
        <f t="shared" si="24"/>
        <v>96.001589999999993</v>
      </c>
    </row>
    <row r="322" spans="2:33" x14ac:dyDescent="0.15">
      <c r="B322" s="22">
        <v>200.01862</v>
      </c>
      <c r="C322">
        <v>159</v>
      </c>
      <c r="D322" s="4">
        <v>99.25685</v>
      </c>
      <c r="E322" s="4">
        <f t="shared" si="20"/>
        <v>100.38329</v>
      </c>
      <c r="I322" s="22">
        <v>225.00209000000001</v>
      </c>
      <c r="J322">
        <v>159</v>
      </c>
      <c r="K322" s="4">
        <v>91.980379999999997</v>
      </c>
      <c r="L322" s="4">
        <f t="shared" si="21"/>
        <v>95.567449999999994</v>
      </c>
      <c r="P322" s="24">
        <v>225.01405</v>
      </c>
      <c r="Q322">
        <v>159</v>
      </c>
      <c r="R322" s="19">
        <v>98.659360000000007</v>
      </c>
      <c r="S322" s="4">
        <f t="shared" si="22"/>
        <v>98.583540000000013</v>
      </c>
      <c r="W322" s="22">
        <v>250.00191000000001</v>
      </c>
      <c r="X322">
        <v>159</v>
      </c>
      <c r="Y322" s="23">
        <v>87.503889999999998</v>
      </c>
      <c r="Z322" s="4">
        <f t="shared" si="23"/>
        <v>92.944720000000004</v>
      </c>
      <c r="AD322" s="24">
        <v>250.01462000000001</v>
      </c>
      <c r="AE322">
        <v>159</v>
      </c>
      <c r="AF322" s="25">
        <v>95.670730000000006</v>
      </c>
      <c r="AG322" s="4">
        <f t="shared" si="24"/>
        <v>95.932220000000001</v>
      </c>
    </row>
    <row r="323" spans="2:33" x14ac:dyDescent="0.15">
      <c r="B323" s="22">
        <v>200.02078</v>
      </c>
      <c r="C323">
        <v>159.5</v>
      </c>
      <c r="D323" s="23">
        <v>99.143349999999998</v>
      </c>
      <c r="E323" s="4">
        <f t="shared" si="20"/>
        <v>100.26979</v>
      </c>
      <c r="I323" s="22">
        <v>225.00300999999999</v>
      </c>
      <c r="J323">
        <v>159.5</v>
      </c>
      <c r="K323" s="23">
        <v>91.987799999999993</v>
      </c>
      <c r="L323" s="4">
        <f t="shared" si="21"/>
        <v>95.57486999999999</v>
      </c>
      <c r="P323" s="24">
        <v>225.01938999999999</v>
      </c>
      <c r="Q323">
        <v>159.5</v>
      </c>
      <c r="R323" s="25">
        <v>98.657020000000003</v>
      </c>
      <c r="S323" s="4">
        <f t="shared" si="22"/>
        <v>98.58120000000001</v>
      </c>
      <c r="W323" s="22">
        <v>250.01102</v>
      </c>
      <c r="X323">
        <v>159.5</v>
      </c>
      <c r="Y323" s="4">
        <v>87.450090000000003</v>
      </c>
      <c r="Z323" s="4">
        <f t="shared" si="23"/>
        <v>92.890920000000008</v>
      </c>
      <c r="AD323" s="24">
        <v>250.01743999999999</v>
      </c>
      <c r="AE323">
        <v>159.5</v>
      </c>
      <c r="AF323" s="19">
        <v>95.579800000000006</v>
      </c>
      <c r="AG323" s="4">
        <f t="shared" si="24"/>
        <v>95.841290000000001</v>
      </c>
    </row>
    <row r="324" spans="2:33" x14ac:dyDescent="0.15">
      <c r="B324" s="22">
        <v>200.01226</v>
      </c>
      <c r="C324">
        <v>160</v>
      </c>
      <c r="D324" s="4">
        <v>99.289540000000002</v>
      </c>
      <c r="E324" s="4">
        <f t="shared" si="20"/>
        <v>100.41598</v>
      </c>
      <c r="I324" s="22">
        <v>225.00405000000001</v>
      </c>
      <c r="J324">
        <v>160</v>
      </c>
      <c r="K324" s="4">
        <v>91.980369999999994</v>
      </c>
      <c r="L324" s="4">
        <f t="shared" si="21"/>
        <v>95.567439999999991</v>
      </c>
      <c r="P324" s="24">
        <v>225.01799</v>
      </c>
      <c r="Q324">
        <v>160</v>
      </c>
      <c r="R324" s="19">
        <v>98.64658</v>
      </c>
      <c r="S324" s="4">
        <f t="shared" si="22"/>
        <v>98.570760000000007</v>
      </c>
      <c r="W324" s="22">
        <v>250.00403</v>
      </c>
      <c r="X324">
        <v>160</v>
      </c>
      <c r="Y324" s="23">
        <v>87.448059999999998</v>
      </c>
      <c r="Z324" s="4">
        <f t="shared" si="23"/>
        <v>92.888890000000004</v>
      </c>
      <c r="AD324" s="24">
        <v>250.01783</v>
      </c>
      <c r="AE324">
        <v>160</v>
      </c>
      <c r="AF324" s="25">
        <v>95.6661</v>
      </c>
      <c r="AG324" s="4">
        <f t="shared" si="24"/>
        <v>95.927589999999995</v>
      </c>
    </row>
    <row r="325" spans="2:33" x14ac:dyDescent="0.15">
      <c r="B325" s="22">
        <v>199.99888000000001</v>
      </c>
      <c r="C325">
        <v>160.5</v>
      </c>
      <c r="D325" s="23">
        <v>99.185429999999997</v>
      </c>
      <c r="E325" s="4">
        <f t="shared" ref="E325:E388" si="25">100-($D$4-D325)</f>
        <v>100.31187</v>
      </c>
      <c r="I325" s="22">
        <v>225.00209000000001</v>
      </c>
      <c r="J325">
        <v>160.5</v>
      </c>
      <c r="K325" s="23">
        <v>91.968950000000007</v>
      </c>
      <c r="L325" s="4">
        <f t="shared" ref="L325:L388" si="26">100-($K$4-K325)</f>
        <v>95.556020000000004</v>
      </c>
      <c r="P325" s="24">
        <v>225.01445000000001</v>
      </c>
      <c r="Q325">
        <v>160.5</v>
      </c>
      <c r="R325" s="25">
        <v>98.674580000000006</v>
      </c>
      <c r="S325" s="4">
        <f t="shared" ref="S325:S388" si="27">100-($R$4-R325)</f>
        <v>98.598760000000013</v>
      </c>
      <c r="W325" s="22">
        <v>250.005</v>
      </c>
      <c r="X325">
        <v>160.5</v>
      </c>
      <c r="Y325" s="4">
        <v>87.438659999999999</v>
      </c>
      <c r="Z325" s="4">
        <f t="shared" ref="Z325:Z388" si="28">100-($Y$4-Y325)</f>
        <v>92.879490000000004</v>
      </c>
      <c r="AD325" s="24">
        <v>250.02047999999999</v>
      </c>
      <c r="AE325">
        <v>160.5</v>
      </c>
      <c r="AF325" s="19">
        <v>95.689520000000002</v>
      </c>
      <c r="AG325" s="4">
        <f t="shared" ref="AG325:AG388" si="29">100-($AF$4-AF325)</f>
        <v>95.951009999999997</v>
      </c>
    </row>
    <row r="326" spans="2:33" x14ac:dyDescent="0.15">
      <c r="B326" s="22">
        <v>199.9873</v>
      </c>
      <c r="C326">
        <v>161</v>
      </c>
      <c r="D326" s="4">
        <v>99.191090000000003</v>
      </c>
      <c r="E326" s="4">
        <f t="shared" si="25"/>
        <v>100.31753</v>
      </c>
      <c r="I326" s="22">
        <v>225.00194999999999</v>
      </c>
      <c r="J326">
        <v>161</v>
      </c>
      <c r="K326" s="4">
        <v>91.963719999999995</v>
      </c>
      <c r="L326" s="4">
        <f t="shared" si="26"/>
        <v>95.550789999999992</v>
      </c>
      <c r="P326" s="24">
        <v>225.01122000000001</v>
      </c>
      <c r="Q326">
        <v>161</v>
      </c>
      <c r="R326" s="19">
        <v>98.607849999999999</v>
      </c>
      <c r="S326" s="4">
        <f t="shared" si="27"/>
        <v>98.532030000000006</v>
      </c>
      <c r="W326" s="22">
        <v>250.00001</v>
      </c>
      <c r="X326">
        <v>161</v>
      </c>
      <c r="Y326" s="23">
        <v>87.405950000000004</v>
      </c>
      <c r="Z326" s="4">
        <f t="shared" si="28"/>
        <v>92.84678000000001</v>
      </c>
      <c r="AD326" s="24">
        <v>250.02213</v>
      </c>
      <c r="AE326">
        <v>161</v>
      </c>
      <c r="AF326" s="25">
        <v>95.673280000000005</v>
      </c>
      <c r="AG326" s="4">
        <f t="shared" si="29"/>
        <v>95.93477</v>
      </c>
    </row>
    <row r="327" spans="2:33" x14ac:dyDescent="0.15">
      <c r="B327" s="22">
        <v>199.9931</v>
      </c>
      <c r="C327">
        <v>161.5</v>
      </c>
      <c r="D327" s="23">
        <v>99.258809999999997</v>
      </c>
      <c r="E327" s="4">
        <f t="shared" si="25"/>
        <v>100.38525</v>
      </c>
      <c r="I327" s="22">
        <v>225.00588999999999</v>
      </c>
      <c r="J327">
        <v>161.5</v>
      </c>
      <c r="K327" s="23">
        <v>91.963470000000001</v>
      </c>
      <c r="L327" s="4">
        <f t="shared" si="26"/>
        <v>95.550539999999998</v>
      </c>
      <c r="P327" s="24">
        <v>225.00900999999999</v>
      </c>
      <c r="Q327">
        <v>161.5</v>
      </c>
      <c r="R327" s="25">
        <v>98.586209999999994</v>
      </c>
      <c r="S327" s="4">
        <f t="shared" si="27"/>
        <v>98.510390000000001</v>
      </c>
      <c r="W327" s="22">
        <v>250.00391999999999</v>
      </c>
      <c r="X327">
        <v>161.5</v>
      </c>
      <c r="Y327" s="4">
        <v>87.394530000000003</v>
      </c>
      <c r="Z327" s="4">
        <f t="shared" si="28"/>
        <v>92.835360000000009</v>
      </c>
      <c r="AD327" s="24">
        <v>250.02061</v>
      </c>
      <c r="AE327">
        <v>161.5</v>
      </c>
      <c r="AF327" s="19">
        <v>95.626509999999996</v>
      </c>
      <c r="AG327" s="4">
        <f t="shared" si="29"/>
        <v>95.887999999999991</v>
      </c>
    </row>
    <row r="328" spans="2:33" x14ac:dyDescent="0.15">
      <c r="B328" s="22">
        <v>200.01701</v>
      </c>
      <c r="C328">
        <v>162</v>
      </c>
      <c r="D328" s="4">
        <v>99.14479</v>
      </c>
      <c r="E328" s="4">
        <f t="shared" si="25"/>
        <v>100.27123</v>
      </c>
      <c r="I328" s="22">
        <v>225.00697</v>
      </c>
      <c r="J328">
        <v>162</v>
      </c>
      <c r="K328" s="4">
        <v>91.930639999999997</v>
      </c>
      <c r="L328" s="4">
        <f t="shared" si="26"/>
        <v>95.517709999999994</v>
      </c>
      <c r="P328" s="24">
        <v>225.00982999999999</v>
      </c>
      <c r="Q328">
        <v>162</v>
      </c>
      <c r="R328" s="19">
        <v>98.697419999999994</v>
      </c>
      <c r="S328" s="4">
        <f t="shared" si="27"/>
        <v>98.621600000000001</v>
      </c>
      <c r="W328" s="22">
        <v>250.00002000000001</v>
      </c>
      <c r="X328">
        <v>162</v>
      </c>
      <c r="Y328" s="23">
        <v>87.379260000000002</v>
      </c>
      <c r="Z328" s="4">
        <f t="shared" si="28"/>
        <v>92.820090000000008</v>
      </c>
      <c r="AD328" s="24">
        <v>250.01921999999999</v>
      </c>
      <c r="AE328">
        <v>162</v>
      </c>
      <c r="AF328" s="25">
        <v>95.647000000000006</v>
      </c>
      <c r="AG328" s="4">
        <f t="shared" si="29"/>
        <v>95.90849</v>
      </c>
    </row>
    <row r="329" spans="2:33" x14ac:dyDescent="0.15">
      <c r="B329" s="22">
        <v>200.04039</v>
      </c>
      <c r="C329">
        <v>162.5</v>
      </c>
      <c r="D329" s="23">
        <v>99.34657</v>
      </c>
      <c r="E329" s="4">
        <f t="shared" si="25"/>
        <v>100.47301</v>
      </c>
      <c r="I329" s="22">
        <v>225.00201999999999</v>
      </c>
      <c r="J329">
        <v>162.5</v>
      </c>
      <c r="K329" s="23">
        <v>91.908159999999995</v>
      </c>
      <c r="L329" s="4">
        <f t="shared" si="26"/>
        <v>95.495229999999992</v>
      </c>
      <c r="P329" s="24">
        <v>225.00962000000001</v>
      </c>
      <c r="Q329">
        <v>162.5</v>
      </c>
      <c r="R329" s="25">
        <v>98.712620000000001</v>
      </c>
      <c r="S329" s="4">
        <f t="shared" si="27"/>
        <v>98.636800000000008</v>
      </c>
      <c r="W329" s="22">
        <v>250.00802999999999</v>
      </c>
      <c r="X329">
        <v>162.5</v>
      </c>
      <c r="Y329" s="4">
        <v>87.346630000000005</v>
      </c>
      <c r="Z329" s="4">
        <f t="shared" si="28"/>
        <v>92.78746000000001</v>
      </c>
      <c r="AD329" s="24">
        <v>250.01569000000001</v>
      </c>
      <c r="AE329">
        <v>162.5</v>
      </c>
      <c r="AF329" s="19">
        <v>95.544560000000004</v>
      </c>
      <c r="AG329" s="4">
        <f t="shared" si="29"/>
        <v>95.806049999999999</v>
      </c>
    </row>
    <row r="330" spans="2:33" x14ac:dyDescent="0.15">
      <c r="B330" s="22">
        <v>200.04625999999999</v>
      </c>
      <c r="C330">
        <v>163</v>
      </c>
      <c r="D330" s="4">
        <v>99.275700000000001</v>
      </c>
      <c r="E330" s="4">
        <f t="shared" si="25"/>
        <v>100.40214</v>
      </c>
      <c r="I330" s="22">
        <v>225.01098999999999</v>
      </c>
      <c r="J330">
        <v>163</v>
      </c>
      <c r="K330" s="4">
        <v>91.91995</v>
      </c>
      <c r="L330" s="4">
        <f t="shared" si="26"/>
        <v>95.507019999999997</v>
      </c>
      <c r="P330" s="24">
        <v>225.00987000000001</v>
      </c>
      <c r="Q330">
        <v>163</v>
      </c>
      <c r="R330" s="19">
        <v>98.683949999999996</v>
      </c>
      <c r="S330" s="4">
        <f t="shared" si="27"/>
        <v>98.608130000000003</v>
      </c>
      <c r="W330" s="22">
        <v>250.01402999999999</v>
      </c>
      <c r="X330">
        <v>163</v>
      </c>
      <c r="Y330" s="23">
        <v>87.327529999999996</v>
      </c>
      <c r="Z330" s="4">
        <f t="shared" si="28"/>
        <v>92.768360000000001</v>
      </c>
      <c r="AD330" s="24">
        <v>250.01226</v>
      </c>
      <c r="AE330">
        <v>163</v>
      </c>
      <c r="AF330" s="25">
        <v>95.660709999999995</v>
      </c>
      <c r="AG330" s="4">
        <f t="shared" si="29"/>
        <v>95.922199999999989</v>
      </c>
    </row>
    <row r="331" spans="2:33" x14ac:dyDescent="0.15">
      <c r="B331" s="22">
        <v>200.04319000000001</v>
      </c>
      <c r="C331">
        <v>163.5</v>
      </c>
      <c r="D331" s="23">
        <v>99.208110000000005</v>
      </c>
      <c r="E331" s="4">
        <f t="shared" si="25"/>
        <v>100.33455000000001</v>
      </c>
      <c r="I331" s="22">
        <v>225.00611000000001</v>
      </c>
      <c r="J331">
        <v>163.5</v>
      </c>
      <c r="K331" s="23">
        <v>91.933930000000004</v>
      </c>
      <c r="L331" s="4">
        <f t="shared" si="26"/>
        <v>95.521000000000001</v>
      </c>
      <c r="P331" s="24">
        <v>225.01302000000001</v>
      </c>
      <c r="Q331">
        <v>163.5</v>
      </c>
      <c r="R331" s="25">
        <v>98.628990000000002</v>
      </c>
      <c r="S331" s="4">
        <f t="shared" si="27"/>
        <v>98.553170000000009</v>
      </c>
      <c r="W331" s="22">
        <v>250.01803000000001</v>
      </c>
      <c r="X331">
        <v>163.5</v>
      </c>
      <c r="Y331" s="4">
        <v>87.30453</v>
      </c>
      <c r="Z331" s="4">
        <f t="shared" si="28"/>
        <v>92.745360000000005</v>
      </c>
      <c r="AD331" s="24">
        <v>250.01092</v>
      </c>
      <c r="AE331">
        <v>163.5</v>
      </c>
      <c r="AF331" s="19">
        <v>95.537819999999996</v>
      </c>
      <c r="AG331" s="4">
        <f t="shared" si="29"/>
        <v>95.799309999999991</v>
      </c>
    </row>
    <row r="332" spans="2:33" x14ac:dyDescent="0.15">
      <c r="B332" s="22">
        <v>200.03892999999999</v>
      </c>
      <c r="C332">
        <v>164</v>
      </c>
      <c r="D332" s="4">
        <v>99.135339999999999</v>
      </c>
      <c r="E332" s="4">
        <f t="shared" si="25"/>
        <v>100.26178</v>
      </c>
      <c r="I332" s="22">
        <v>225.00584000000001</v>
      </c>
      <c r="J332">
        <v>164</v>
      </c>
      <c r="K332" s="4">
        <v>91.875500000000002</v>
      </c>
      <c r="L332" s="4">
        <f t="shared" si="26"/>
        <v>95.462569999999999</v>
      </c>
      <c r="P332" s="24">
        <v>225.01473999999999</v>
      </c>
      <c r="Q332">
        <v>164</v>
      </c>
      <c r="R332" s="19">
        <v>98.595849999999999</v>
      </c>
      <c r="S332" s="4">
        <f t="shared" si="27"/>
        <v>98.520030000000006</v>
      </c>
      <c r="W332" s="22">
        <v>250.01701</v>
      </c>
      <c r="X332">
        <v>164</v>
      </c>
      <c r="Y332" s="23">
        <v>87.283249999999995</v>
      </c>
      <c r="Z332" s="4">
        <f t="shared" si="28"/>
        <v>92.724080000000001</v>
      </c>
      <c r="AD332" s="24">
        <v>250.01325</v>
      </c>
      <c r="AE332">
        <v>164</v>
      </c>
      <c r="AF332" s="25">
        <v>95.587569999999999</v>
      </c>
      <c r="AG332" s="4">
        <f t="shared" si="29"/>
        <v>95.849059999999994</v>
      </c>
    </row>
    <row r="333" spans="2:33" x14ac:dyDescent="0.15">
      <c r="B333" s="22">
        <v>200.03697</v>
      </c>
      <c r="C333">
        <v>164.5</v>
      </c>
      <c r="D333" s="23">
        <v>99.294979999999995</v>
      </c>
      <c r="E333" s="4">
        <f t="shared" si="25"/>
        <v>100.42142</v>
      </c>
      <c r="I333" s="22">
        <v>225.00709000000001</v>
      </c>
      <c r="J333">
        <v>164.5</v>
      </c>
      <c r="K333" s="23">
        <v>91.896460000000005</v>
      </c>
      <c r="L333" s="4">
        <f t="shared" si="26"/>
        <v>95.483530000000002</v>
      </c>
      <c r="P333" s="24">
        <v>225.01495</v>
      </c>
      <c r="Q333">
        <v>164.5</v>
      </c>
      <c r="R333" s="25">
        <v>98.683300000000003</v>
      </c>
      <c r="S333" s="4">
        <f t="shared" si="27"/>
        <v>98.60748000000001</v>
      </c>
      <c r="W333" s="22">
        <v>250.00794999999999</v>
      </c>
      <c r="X333">
        <v>164.5</v>
      </c>
      <c r="Y333" s="4">
        <v>87.264080000000007</v>
      </c>
      <c r="Z333" s="4">
        <f t="shared" si="28"/>
        <v>92.704910000000012</v>
      </c>
      <c r="AD333" s="24">
        <v>250.01415</v>
      </c>
      <c r="AE333">
        <v>164.5</v>
      </c>
      <c r="AF333" s="19">
        <v>95.499939999999995</v>
      </c>
      <c r="AG333" s="4">
        <f t="shared" si="29"/>
        <v>95.76142999999999</v>
      </c>
    </row>
    <row r="334" spans="2:33" x14ac:dyDescent="0.15">
      <c r="B334" s="22">
        <v>200.04217</v>
      </c>
      <c r="C334">
        <v>165</v>
      </c>
      <c r="D334" s="4">
        <v>99.217699999999994</v>
      </c>
      <c r="E334" s="4">
        <f t="shared" si="25"/>
        <v>100.34414</v>
      </c>
      <c r="I334" s="22">
        <v>225.00297</v>
      </c>
      <c r="J334">
        <v>165</v>
      </c>
      <c r="K334" s="4">
        <v>91.883470000000003</v>
      </c>
      <c r="L334" s="4">
        <f t="shared" si="26"/>
        <v>95.47054</v>
      </c>
      <c r="P334" s="24">
        <v>225.01705000000001</v>
      </c>
      <c r="Q334">
        <v>165</v>
      </c>
      <c r="R334" s="19">
        <v>98.621790000000004</v>
      </c>
      <c r="S334" s="4">
        <f t="shared" si="27"/>
        <v>98.545970000000011</v>
      </c>
      <c r="W334" s="22">
        <v>250.00400999999999</v>
      </c>
      <c r="X334">
        <v>165</v>
      </c>
      <c r="Y334" s="23">
        <v>87.241190000000003</v>
      </c>
      <c r="Z334" s="4">
        <f t="shared" si="28"/>
        <v>92.682020000000009</v>
      </c>
      <c r="AD334" s="24">
        <v>250.01302999999999</v>
      </c>
      <c r="AE334">
        <v>165</v>
      </c>
      <c r="AF334" s="25">
        <v>95.523780000000002</v>
      </c>
      <c r="AG334" s="4">
        <f t="shared" si="29"/>
        <v>95.785269999999997</v>
      </c>
    </row>
    <row r="335" spans="2:33" x14ac:dyDescent="0.15">
      <c r="B335" s="22">
        <v>200.05247</v>
      </c>
      <c r="C335">
        <v>165.5</v>
      </c>
      <c r="D335" s="23">
        <v>99.163550000000001</v>
      </c>
      <c r="E335" s="4">
        <f t="shared" si="25"/>
        <v>100.28999</v>
      </c>
      <c r="I335" s="22">
        <v>225.00595999999999</v>
      </c>
      <c r="J335">
        <v>165.5</v>
      </c>
      <c r="K335" s="23">
        <v>91.874030000000005</v>
      </c>
      <c r="L335" s="4">
        <f t="shared" si="26"/>
        <v>95.461100000000002</v>
      </c>
      <c r="P335" s="24">
        <v>225.01776000000001</v>
      </c>
      <c r="Q335">
        <v>165.5</v>
      </c>
      <c r="R335" s="25">
        <v>98.688069999999996</v>
      </c>
      <c r="S335" s="4">
        <f t="shared" si="27"/>
        <v>98.612250000000003</v>
      </c>
      <c r="W335" s="22">
        <v>250.00501</v>
      </c>
      <c r="X335">
        <v>165.5</v>
      </c>
      <c r="Y335" s="4">
        <v>87.208659999999995</v>
      </c>
      <c r="Z335" s="4">
        <f t="shared" si="28"/>
        <v>92.64949</v>
      </c>
      <c r="AD335" s="24">
        <v>250.01528999999999</v>
      </c>
      <c r="AE335">
        <v>165.5</v>
      </c>
      <c r="AF335" s="19">
        <v>95.495440000000002</v>
      </c>
      <c r="AG335" s="4">
        <f t="shared" si="29"/>
        <v>95.756929999999997</v>
      </c>
    </row>
    <row r="336" spans="2:33" x14ac:dyDescent="0.15">
      <c r="B336" s="22">
        <v>200.05385000000001</v>
      </c>
      <c r="C336">
        <v>166</v>
      </c>
      <c r="D336" s="4">
        <v>99.19811</v>
      </c>
      <c r="E336" s="4">
        <f t="shared" si="25"/>
        <v>100.32455</v>
      </c>
      <c r="I336" s="22">
        <v>225.00586000000001</v>
      </c>
      <c r="J336">
        <v>166</v>
      </c>
      <c r="K336" s="4">
        <v>91.866879999999995</v>
      </c>
      <c r="L336" s="4">
        <f t="shared" si="26"/>
        <v>95.453949999999992</v>
      </c>
      <c r="P336" s="24">
        <v>225.01687999999999</v>
      </c>
      <c r="Q336">
        <v>166</v>
      </c>
      <c r="R336" s="19">
        <v>98.581019999999995</v>
      </c>
      <c r="S336" s="4">
        <f t="shared" si="27"/>
        <v>98.505200000000002</v>
      </c>
      <c r="W336" s="22">
        <v>250.00603000000001</v>
      </c>
      <c r="X336">
        <v>166</v>
      </c>
      <c r="Y336" s="23">
        <v>87.193200000000004</v>
      </c>
      <c r="Z336" s="4">
        <f t="shared" si="28"/>
        <v>92.63403000000001</v>
      </c>
      <c r="AD336" s="24">
        <v>250.01678999999999</v>
      </c>
      <c r="AE336">
        <v>166</v>
      </c>
      <c r="AF336" s="25">
        <v>95.630700000000004</v>
      </c>
      <c r="AG336" s="4">
        <f t="shared" si="29"/>
        <v>95.892189999999999</v>
      </c>
    </row>
    <row r="337" spans="2:33" x14ac:dyDescent="0.15">
      <c r="B337" s="22">
        <v>200.04608999999999</v>
      </c>
      <c r="C337">
        <v>166.5</v>
      </c>
      <c r="D337" s="23">
        <v>99.218410000000006</v>
      </c>
      <c r="E337" s="4">
        <f t="shared" si="25"/>
        <v>100.34485000000001</v>
      </c>
      <c r="I337" s="22">
        <v>225.00899000000001</v>
      </c>
      <c r="J337">
        <v>166.5</v>
      </c>
      <c r="K337" s="23">
        <v>91.861980000000003</v>
      </c>
      <c r="L337" s="4">
        <f t="shared" si="26"/>
        <v>95.44905</v>
      </c>
      <c r="P337" s="24">
        <v>225.01772</v>
      </c>
      <c r="Q337">
        <v>166.5</v>
      </c>
      <c r="R337" s="25">
        <v>98.518969999999996</v>
      </c>
      <c r="S337" s="4">
        <f t="shared" si="27"/>
        <v>98.443150000000003</v>
      </c>
      <c r="W337" s="22">
        <v>250.00299000000001</v>
      </c>
      <c r="X337">
        <v>166.5</v>
      </c>
      <c r="Y337" s="4">
        <v>87.174109999999999</v>
      </c>
      <c r="Z337" s="4">
        <f t="shared" si="28"/>
        <v>92.614940000000004</v>
      </c>
      <c r="AD337" s="24">
        <v>250.01715999999999</v>
      </c>
      <c r="AE337">
        <v>166.5</v>
      </c>
      <c r="AF337" s="19">
        <v>95.544589999999999</v>
      </c>
      <c r="AG337" s="4">
        <f t="shared" si="29"/>
        <v>95.806079999999994</v>
      </c>
    </row>
    <row r="338" spans="2:33" x14ac:dyDescent="0.15">
      <c r="B338" s="22">
        <v>200.03131999999999</v>
      </c>
      <c r="C338">
        <v>167</v>
      </c>
      <c r="D338" s="4">
        <v>99.188320000000004</v>
      </c>
      <c r="E338" s="4">
        <f t="shared" si="25"/>
        <v>100.31476000000001</v>
      </c>
      <c r="I338" s="22">
        <v>225.00594000000001</v>
      </c>
      <c r="J338">
        <v>167</v>
      </c>
      <c r="K338" s="4">
        <v>91.830190000000002</v>
      </c>
      <c r="L338" s="4">
        <f t="shared" si="26"/>
        <v>95.417259999999999</v>
      </c>
      <c r="P338" s="24">
        <v>225.01802000000001</v>
      </c>
      <c r="Q338">
        <v>167</v>
      </c>
      <c r="R338" s="19">
        <v>98.653919999999999</v>
      </c>
      <c r="S338" s="4">
        <f t="shared" si="27"/>
        <v>98.578100000000006</v>
      </c>
      <c r="W338" s="22">
        <v>249.99997999999999</v>
      </c>
      <c r="X338">
        <v>167</v>
      </c>
      <c r="Y338" s="23">
        <v>87.145169999999993</v>
      </c>
      <c r="Z338" s="4">
        <f t="shared" si="28"/>
        <v>92.585999999999999</v>
      </c>
      <c r="AD338" s="24">
        <v>250.01501999999999</v>
      </c>
      <c r="AE338">
        <v>167</v>
      </c>
      <c r="AF338" s="25">
        <v>95.506910000000005</v>
      </c>
      <c r="AG338" s="4">
        <f t="shared" si="29"/>
        <v>95.7684</v>
      </c>
    </row>
    <row r="339" spans="2:33" x14ac:dyDescent="0.15">
      <c r="B339" s="22">
        <v>200.01573999999999</v>
      </c>
      <c r="C339">
        <v>167.5</v>
      </c>
      <c r="D339" s="23">
        <v>99.172809999999998</v>
      </c>
      <c r="E339" s="4">
        <f t="shared" si="25"/>
        <v>100.29925</v>
      </c>
      <c r="I339" s="22">
        <v>225.00197</v>
      </c>
      <c r="J339">
        <v>167.5</v>
      </c>
      <c r="K339" s="23">
        <v>91.843109999999996</v>
      </c>
      <c r="L339" s="4">
        <f t="shared" si="26"/>
        <v>95.430179999999993</v>
      </c>
      <c r="P339" s="24">
        <v>225.01517999999999</v>
      </c>
      <c r="Q339">
        <v>167.5</v>
      </c>
      <c r="R339" s="25">
        <v>98.643680000000003</v>
      </c>
      <c r="S339" s="4">
        <f t="shared" si="27"/>
        <v>98.56786000000001</v>
      </c>
      <c r="W339" s="22">
        <v>250.00402</v>
      </c>
      <c r="X339">
        <v>167.5</v>
      </c>
      <c r="Y339" s="4">
        <v>87.116439999999997</v>
      </c>
      <c r="Z339" s="4">
        <f t="shared" si="28"/>
        <v>92.557270000000003</v>
      </c>
      <c r="AD339" s="24">
        <v>250.01307</v>
      </c>
      <c r="AE339">
        <v>167.5</v>
      </c>
      <c r="AF339" s="19">
        <v>95.444659999999999</v>
      </c>
      <c r="AG339" s="4">
        <f t="shared" si="29"/>
        <v>95.706149999999994</v>
      </c>
    </row>
    <row r="340" spans="2:33" x14ac:dyDescent="0.15">
      <c r="B340" s="22">
        <v>200.00582</v>
      </c>
      <c r="C340">
        <v>168</v>
      </c>
      <c r="D340" s="4">
        <v>99.168210000000002</v>
      </c>
      <c r="E340" s="4">
        <f t="shared" si="25"/>
        <v>100.29465</v>
      </c>
      <c r="I340" s="22">
        <v>225.00706</v>
      </c>
      <c r="J340">
        <v>168</v>
      </c>
      <c r="K340" s="4">
        <v>91.834130000000002</v>
      </c>
      <c r="L340" s="4">
        <f t="shared" si="26"/>
        <v>95.421199999999999</v>
      </c>
      <c r="P340" s="24">
        <v>225.01791</v>
      </c>
      <c r="Q340">
        <v>168</v>
      </c>
      <c r="R340" s="19">
        <v>98.66319</v>
      </c>
      <c r="S340" s="4">
        <f t="shared" si="27"/>
        <v>98.587370000000007</v>
      </c>
      <c r="W340" s="22">
        <v>250.00701000000001</v>
      </c>
      <c r="X340">
        <v>168</v>
      </c>
      <c r="Y340" s="23">
        <v>87.110860000000002</v>
      </c>
      <c r="Z340" s="4">
        <f t="shared" si="28"/>
        <v>92.551690000000008</v>
      </c>
      <c r="AD340" s="24">
        <v>250.00953999999999</v>
      </c>
      <c r="AE340">
        <v>168</v>
      </c>
      <c r="AF340" s="25">
        <v>95.375680000000003</v>
      </c>
      <c r="AG340" s="4">
        <f t="shared" si="29"/>
        <v>95.637169999999998</v>
      </c>
    </row>
    <row r="341" spans="2:33" x14ac:dyDescent="0.15">
      <c r="B341" s="22">
        <v>200.00549000000001</v>
      </c>
      <c r="C341">
        <v>168.5</v>
      </c>
      <c r="D341" s="23">
        <v>99.197140000000005</v>
      </c>
      <c r="E341" s="4">
        <f t="shared" si="25"/>
        <v>100.32358000000001</v>
      </c>
      <c r="I341" s="22">
        <v>225.00399999999999</v>
      </c>
      <c r="J341">
        <v>168.5</v>
      </c>
      <c r="K341" s="23">
        <v>91.804950000000005</v>
      </c>
      <c r="L341" s="4">
        <f t="shared" si="26"/>
        <v>95.392020000000002</v>
      </c>
      <c r="P341" s="24">
        <v>225.01818</v>
      </c>
      <c r="Q341">
        <v>168.5</v>
      </c>
      <c r="R341" s="25">
        <v>98.640940000000001</v>
      </c>
      <c r="S341" s="4">
        <f t="shared" si="27"/>
        <v>98.565120000000007</v>
      </c>
      <c r="W341" s="22">
        <v>250.00797</v>
      </c>
      <c r="X341">
        <v>168.5</v>
      </c>
      <c r="Y341" s="4">
        <v>87.104830000000007</v>
      </c>
      <c r="Z341" s="4">
        <f t="shared" si="28"/>
        <v>92.545660000000012</v>
      </c>
      <c r="AD341" s="24">
        <v>250.01021</v>
      </c>
      <c r="AE341">
        <v>168.5</v>
      </c>
      <c r="AF341" s="19">
        <v>95.393529999999998</v>
      </c>
      <c r="AG341" s="4">
        <f t="shared" si="29"/>
        <v>95.655019999999993</v>
      </c>
    </row>
    <row r="342" spans="2:33" x14ac:dyDescent="0.15">
      <c r="B342" s="22">
        <v>200.00892999999999</v>
      </c>
      <c r="C342">
        <v>169</v>
      </c>
      <c r="D342" s="4">
        <v>99.217479999999995</v>
      </c>
      <c r="E342" s="4">
        <f t="shared" si="25"/>
        <v>100.34392</v>
      </c>
      <c r="I342" s="22">
        <v>225.00693000000001</v>
      </c>
      <c r="J342">
        <v>169</v>
      </c>
      <c r="K342" s="4">
        <v>91.808409999999995</v>
      </c>
      <c r="L342" s="4">
        <f t="shared" si="26"/>
        <v>95.395479999999992</v>
      </c>
      <c r="P342" s="24">
        <v>225.01723000000001</v>
      </c>
      <c r="Q342">
        <v>169</v>
      </c>
      <c r="R342" s="19">
        <v>98.681399999999996</v>
      </c>
      <c r="S342" s="4">
        <f t="shared" si="27"/>
        <v>98.605580000000003</v>
      </c>
      <c r="W342" s="22">
        <v>250.00399999999999</v>
      </c>
      <c r="X342">
        <v>169</v>
      </c>
      <c r="Y342" s="23">
        <v>87.074349999999995</v>
      </c>
      <c r="Z342" s="4">
        <f t="shared" si="28"/>
        <v>92.515180000000001</v>
      </c>
      <c r="AD342" s="24">
        <v>250.00890999999999</v>
      </c>
      <c r="AE342">
        <v>169</v>
      </c>
      <c r="AF342" s="25">
        <v>95.472250000000003</v>
      </c>
      <c r="AG342" s="4">
        <f t="shared" si="29"/>
        <v>95.733739999999997</v>
      </c>
    </row>
    <row r="343" spans="2:33" x14ac:dyDescent="0.15">
      <c r="B343" s="22">
        <v>200.01039</v>
      </c>
      <c r="C343">
        <v>169.5</v>
      </c>
      <c r="D343" s="23">
        <v>99.190510000000003</v>
      </c>
      <c r="E343" s="4">
        <f t="shared" si="25"/>
        <v>100.31695000000001</v>
      </c>
      <c r="I343" s="22">
        <v>225.00596999999999</v>
      </c>
      <c r="J343">
        <v>169.5</v>
      </c>
      <c r="K343" s="23">
        <v>91.803479999999993</v>
      </c>
      <c r="L343" s="4">
        <f t="shared" si="26"/>
        <v>95.39054999999999</v>
      </c>
      <c r="P343" s="24">
        <v>225.01464999999999</v>
      </c>
      <c r="Q343">
        <v>169.5</v>
      </c>
      <c r="R343" s="25">
        <v>98.702629999999999</v>
      </c>
      <c r="S343" s="4">
        <f t="shared" si="27"/>
        <v>98.626810000000006</v>
      </c>
      <c r="W343" s="22">
        <v>250.00801999999999</v>
      </c>
      <c r="X343">
        <v>169.5</v>
      </c>
      <c r="Y343" s="4">
        <v>87.083910000000003</v>
      </c>
      <c r="Z343" s="4">
        <f t="shared" si="28"/>
        <v>92.524740000000008</v>
      </c>
      <c r="AD343" s="24">
        <v>250.00783999999999</v>
      </c>
      <c r="AE343">
        <v>169.5</v>
      </c>
      <c r="AF343" s="19">
        <v>95.446600000000004</v>
      </c>
      <c r="AG343" s="4">
        <f t="shared" si="29"/>
        <v>95.708089999999999</v>
      </c>
    </row>
    <row r="344" spans="2:33" x14ac:dyDescent="0.15">
      <c r="B344" s="22">
        <v>200.02076</v>
      </c>
      <c r="C344">
        <v>170</v>
      </c>
      <c r="D344" s="4">
        <v>99.20711</v>
      </c>
      <c r="E344" s="4">
        <f t="shared" si="25"/>
        <v>100.33355</v>
      </c>
      <c r="I344" s="22">
        <v>225.00595999999999</v>
      </c>
      <c r="J344">
        <v>170</v>
      </c>
      <c r="K344" s="4">
        <v>91.792069999999995</v>
      </c>
      <c r="L344" s="4">
        <f t="shared" si="26"/>
        <v>95.379139999999992</v>
      </c>
      <c r="P344" s="24">
        <v>225.01438999999999</v>
      </c>
      <c r="Q344">
        <v>170</v>
      </c>
      <c r="R344" s="19">
        <v>98.682220000000001</v>
      </c>
      <c r="S344" s="4">
        <f t="shared" si="27"/>
        <v>98.606400000000008</v>
      </c>
      <c r="W344" s="22">
        <v>250.01302000000001</v>
      </c>
      <c r="X344">
        <v>170</v>
      </c>
      <c r="Y344" s="23">
        <v>87.055040000000005</v>
      </c>
      <c r="Z344" s="4">
        <f t="shared" si="28"/>
        <v>92.495870000000011</v>
      </c>
      <c r="AD344" s="24">
        <v>250.01022</v>
      </c>
      <c r="AE344">
        <v>170</v>
      </c>
      <c r="AF344" s="25">
        <v>95.478139999999996</v>
      </c>
      <c r="AG344" s="4">
        <f t="shared" si="29"/>
        <v>95.739629999999991</v>
      </c>
    </row>
    <row r="345" spans="2:33" x14ac:dyDescent="0.15">
      <c r="B345" s="22">
        <v>200.04536999999999</v>
      </c>
      <c r="C345">
        <v>170.5</v>
      </c>
      <c r="D345" s="23">
        <v>99.326359999999994</v>
      </c>
      <c r="E345" s="4">
        <f t="shared" si="25"/>
        <v>100.4528</v>
      </c>
      <c r="I345" s="22">
        <v>225.00108</v>
      </c>
      <c r="J345">
        <v>170.5</v>
      </c>
      <c r="K345" s="23">
        <v>91.762020000000007</v>
      </c>
      <c r="L345" s="4">
        <f t="shared" si="26"/>
        <v>95.349090000000004</v>
      </c>
      <c r="P345" s="24">
        <v>225.01647</v>
      </c>
      <c r="Q345">
        <v>170.5</v>
      </c>
      <c r="R345" s="25">
        <v>98.589389999999995</v>
      </c>
      <c r="S345" s="4">
        <f t="shared" si="27"/>
        <v>98.513570000000001</v>
      </c>
      <c r="W345" s="22">
        <v>250.00899000000001</v>
      </c>
      <c r="X345">
        <v>170.5</v>
      </c>
      <c r="Y345" s="4">
        <v>87.015029999999996</v>
      </c>
      <c r="Z345" s="4">
        <f t="shared" si="28"/>
        <v>92.455860000000001</v>
      </c>
      <c r="AD345" s="24">
        <v>250.01215999999999</v>
      </c>
      <c r="AE345">
        <v>170.5</v>
      </c>
      <c r="AF345" s="19">
        <v>95.423069999999996</v>
      </c>
      <c r="AG345" s="4">
        <f t="shared" si="29"/>
        <v>95.684559999999991</v>
      </c>
    </row>
    <row r="346" spans="2:33" x14ac:dyDescent="0.15">
      <c r="B346" s="22">
        <v>200.07456999999999</v>
      </c>
      <c r="C346">
        <v>171</v>
      </c>
      <c r="D346" s="4">
        <v>99.245859999999993</v>
      </c>
      <c r="E346" s="4">
        <f t="shared" si="25"/>
        <v>100.3723</v>
      </c>
      <c r="I346" s="22">
        <v>225.00304</v>
      </c>
      <c r="J346">
        <v>171</v>
      </c>
      <c r="K346" s="4">
        <v>91.751739999999998</v>
      </c>
      <c r="L346" s="4">
        <f t="shared" si="26"/>
        <v>95.338809999999995</v>
      </c>
      <c r="P346" s="24">
        <v>225.01752999999999</v>
      </c>
      <c r="Q346">
        <v>171</v>
      </c>
      <c r="R346" s="19">
        <v>98.534779999999998</v>
      </c>
      <c r="S346" s="4">
        <f t="shared" si="27"/>
        <v>98.458960000000005</v>
      </c>
      <c r="W346" s="22">
        <v>250.005</v>
      </c>
      <c r="X346">
        <v>171</v>
      </c>
      <c r="Y346" s="23">
        <v>87.010930000000002</v>
      </c>
      <c r="Z346" s="4">
        <f t="shared" si="28"/>
        <v>92.451760000000007</v>
      </c>
      <c r="AD346" s="24">
        <v>250.01669000000001</v>
      </c>
      <c r="AE346">
        <v>171</v>
      </c>
      <c r="AF346" s="25">
        <v>95.370159999999998</v>
      </c>
      <c r="AG346" s="4">
        <f t="shared" si="29"/>
        <v>95.631649999999993</v>
      </c>
    </row>
    <row r="347" spans="2:33" x14ac:dyDescent="0.15">
      <c r="B347" s="22">
        <v>200.08989</v>
      </c>
      <c r="C347">
        <v>171.5</v>
      </c>
      <c r="D347" s="23">
        <v>99.263649999999998</v>
      </c>
      <c r="E347" s="4">
        <f t="shared" si="25"/>
        <v>100.39009</v>
      </c>
      <c r="I347" s="22">
        <v>225.00686999999999</v>
      </c>
      <c r="J347">
        <v>171.5</v>
      </c>
      <c r="K347" s="23">
        <v>91.762680000000003</v>
      </c>
      <c r="L347" s="4">
        <f t="shared" si="26"/>
        <v>95.34975</v>
      </c>
      <c r="P347" s="24">
        <v>225.01873000000001</v>
      </c>
      <c r="Q347">
        <v>171.5</v>
      </c>
      <c r="R347" s="25">
        <v>98.56626</v>
      </c>
      <c r="S347" s="4">
        <f t="shared" si="27"/>
        <v>98.490440000000007</v>
      </c>
      <c r="W347" s="22">
        <v>250.00898000000001</v>
      </c>
      <c r="X347">
        <v>171.5</v>
      </c>
      <c r="Y347" s="4">
        <v>86.972790000000003</v>
      </c>
      <c r="Z347" s="4">
        <f t="shared" si="28"/>
        <v>92.413620000000009</v>
      </c>
      <c r="AD347" s="24">
        <v>250.01557</v>
      </c>
      <c r="AE347">
        <v>171.5</v>
      </c>
      <c r="AF347" s="19">
        <v>95.44238</v>
      </c>
      <c r="AG347" s="4">
        <f t="shared" si="29"/>
        <v>95.703869999999995</v>
      </c>
    </row>
    <row r="348" spans="2:33" x14ac:dyDescent="0.15">
      <c r="B348" s="22">
        <v>200.08201</v>
      </c>
      <c r="C348">
        <v>172</v>
      </c>
      <c r="D348" s="4">
        <v>99.201440000000005</v>
      </c>
      <c r="E348" s="4">
        <f t="shared" si="25"/>
        <v>100.32788000000001</v>
      </c>
      <c r="I348" s="22">
        <v>225.00505000000001</v>
      </c>
      <c r="J348">
        <v>172</v>
      </c>
      <c r="K348" s="4">
        <v>91.742710000000002</v>
      </c>
      <c r="L348" s="4">
        <f t="shared" si="26"/>
        <v>95.32978</v>
      </c>
      <c r="P348" s="24">
        <v>225.02015</v>
      </c>
      <c r="Q348">
        <v>172</v>
      </c>
      <c r="R348" s="19">
        <v>98.57029</v>
      </c>
      <c r="S348" s="4">
        <f t="shared" si="27"/>
        <v>98.494470000000007</v>
      </c>
      <c r="W348" s="22">
        <v>250.00599</v>
      </c>
      <c r="X348">
        <v>172</v>
      </c>
      <c r="Y348" s="23">
        <v>86.942070000000001</v>
      </c>
      <c r="Z348" s="4">
        <f t="shared" si="28"/>
        <v>92.382900000000006</v>
      </c>
      <c r="AD348" s="24">
        <v>250.01553000000001</v>
      </c>
      <c r="AE348">
        <v>172</v>
      </c>
      <c r="AF348" s="25">
        <v>95.340350000000001</v>
      </c>
      <c r="AG348" s="4">
        <f t="shared" si="29"/>
        <v>95.601839999999996</v>
      </c>
    </row>
    <row r="349" spans="2:33" x14ac:dyDescent="0.15">
      <c r="B349" s="22">
        <v>200.05685</v>
      </c>
      <c r="C349">
        <v>172.5</v>
      </c>
      <c r="D349" s="23">
        <v>99.231319999999997</v>
      </c>
      <c r="E349" s="4">
        <f t="shared" si="25"/>
        <v>100.35776</v>
      </c>
      <c r="I349" s="22">
        <v>225.00496000000001</v>
      </c>
      <c r="J349">
        <v>172.5</v>
      </c>
      <c r="K349" s="23">
        <v>91.726399999999998</v>
      </c>
      <c r="L349" s="4">
        <f t="shared" si="26"/>
        <v>95.313469999999995</v>
      </c>
      <c r="P349" s="24">
        <v>225.01962</v>
      </c>
      <c r="Q349">
        <v>172.5</v>
      </c>
      <c r="R349" s="25">
        <v>98.573030000000003</v>
      </c>
      <c r="S349" s="4">
        <f t="shared" si="27"/>
        <v>98.49721000000001</v>
      </c>
      <c r="W349" s="22">
        <v>250.00801000000001</v>
      </c>
      <c r="X349">
        <v>172.5</v>
      </c>
      <c r="Y349" s="4">
        <v>86.949730000000002</v>
      </c>
      <c r="Z349" s="4">
        <f t="shared" si="28"/>
        <v>92.390560000000008</v>
      </c>
      <c r="AD349" s="24">
        <v>250.01906</v>
      </c>
      <c r="AE349">
        <v>172.5</v>
      </c>
      <c r="AF349" s="19">
        <v>95.406040000000004</v>
      </c>
      <c r="AG349" s="4">
        <f t="shared" si="29"/>
        <v>95.667529999999999</v>
      </c>
    </row>
    <row r="350" spans="2:33" x14ac:dyDescent="0.15">
      <c r="B350" s="22">
        <v>200.03980999999999</v>
      </c>
      <c r="C350">
        <v>173</v>
      </c>
      <c r="D350" s="4">
        <v>99.243099999999998</v>
      </c>
      <c r="E350" s="4">
        <f t="shared" si="25"/>
        <v>100.36954</v>
      </c>
      <c r="I350" s="22">
        <v>225.00803999999999</v>
      </c>
      <c r="J350">
        <v>173</v>
      </c>
      <c r="K350" s="4">
        <v>91.73339</v>
      </c>
      <c r="L350" s="4">
        <f t="shared" si="26"/>
        <v>95.320459999999997</v>
      </c>
      <c r="P350" s="24">
        <v>225.01964000000001</v>
      </c>
      <c r="Q350">
        <v>173</v>
      </c>
      <c r="R350" s="19">
        <v>98.569370000000006</v>
      </c>
      <c r="S350" s="4">
        <f t="shared" si="27"/>
        <v>98.493550000000013</v>
      </c>
      <c r="W350" s="22">
        <v>250.00400999999999</v>
      </c>
      <c r="X350">
        <v>173</v>
      </c>
      <c r="Y350" s="23">
        <v>86.922910000000002</v>
      </c>
      <c r="Z350" s="4">
        <f t="shared" si="28"/>
        <v>92.363740000000007</v>
      </c>
      <c r="AD350" s="24">
        <v>250.02443</v>
      </c>
      <c r="AE350">
        <v>173</v>
      </c>
      <c r="AF350" s="25">
        <v>95.345569999999995</v>
      </c>
      <c r="AG350" s="4">
        <f t="shared" si="29"/>
        <v>95.60705999999999</v>
      </c>
    </row>
    <row r="351" spans="2:33" x14ac:dyDescent="0.15">
      <c r="B351" s="22">
        <v>200.04549</v>
      </c>
      <c r="C351">
        <v>173.5</v>
      </c>
      <c r="D351" s="23">
        <v>99.06756</v>
      </c>
      <c r="E351" s="4">
        <f t="shared" si="25"/>
        <v>100.194</v>
      </c>
      <c r="I351" s="22">
        <v>225.00889000000001</v>
      </c>
      <c r="J351">
        <v>173.5</v>
      </c>
      <c r="K351" s="23">
        <v>91.697149999999993</v>
      </c>
      <c r="L351" s="4">
        <f t="shared" si="26"/>
        <v>95.284219999999991</v>
      </c>
      <c r="P351" s="24">
        <v>225.01898</v>
      </c>
      <c r="Q351">
        <v>173.5</v>
      </c>
      <c r="R351" s="25">
        <v>98.611189999999993</v>
      </c>
      <c r="S351" s="4">
        <f t="shared" si="27"/>
        <v>98.53537</v>
      </c>
      <c r="W351" s="22">
        <v>250.00395</v>
      </c>
      <c r="X351">
        <v>173.5</v>
      </c>
      <c r="Y351" s="4">
        <v>86.897810000000007</v>
      </c>
      <c r="Z351" s="4">
        <f t="shared" si="28"/>
        <v>92.338640000000012</v>
      </c>
      <c r="AD351" s="24">
        <v>250.02549999999999</v>
      </c>
      <c r="AE351">
        <v>173.5</v>
      </c>
      <c r="AF351" s="19">
        <v>95.318910000000002</v>
      </c>
      <c r="AG351" s="4">
        <f t="shared" si="29"/>
        <v>95.580399999999997</v>
      </c>
    </row>
    <row r="352" spans="2:33" x14ac:dyDescent="0.15">
      <c r="B352" s="22">
        <v>200.0616</v>
      </c>
      <c r="C352">
        <v>174</v>
      </c>
      <c r="D352" s="4">
        <v>99.225020000000001</v>
      </c>
      <c r="E352" s="4">
        <f t="shared" si="25"/>
        <v>100.35146</v>
      </c>
      <c r="I352" s="22">
        <v>225.00403</v>
      </c>
      <c r="J352">
        <v>174</v>
      </c>
      <c r="K352" s="4">
        <v>91.69717</v>
      </c>
      <c r="L352" s="4">
        <f t="shared" si="26"/>
        <v>95.284239999999997</v>
      </c>
      <c r="P352" s="24">
        <v>225.02008000000001</v>
      </c>
      <c r="Q352">
        <v>174</v>
      </c>
      <c r="R352" s="19">
        <v>98.527869999999993</v>
      </c>
      <c r="S352" s="4">
        <f t="shared" si="27"/>
        <v>98.45205</v>
      </c>
      <c r="W352" s="22">
        <v>250.00304</v>
      </c>
      <c r="X352">
        <v>174</v>
      </c>
      <c r="Y352" s="23">
        <v>86.876769999999993</v>
      </c>
      <c r="Z352" s="4">
        <f t="shared" si="28"/>
        <v>92.317599999999999</v>
      </c>
      <c r="AD352" s="24">
        <v>250.02408</v>
      </c>
      <c r="AE352">
        <v>174</v>
      </c>
      <c r="AF352" s="25">
        <v>95.229039999999998</v>
      </c>
      <c r="AG352" s="4">
        <f t="shared" si="29"/>
        <v>95.490529999999993</v>
      </c>
    </row>
    <row r="353" spans="2:33" x14ac:dyDescent="0.15">
      <c r="B353" s="22">
        <v>200.07225</v>
      </c>
      <c r="C353">
        <v>174.5</v>
      </c>
      <c r="D353" s="23">
        <v>99.113560000000007</v>
      </c>
      <c r="E353" s="4">
        <f t="shared" si="25"/>
        <v>100.24000000000001</v>
      </c>
      <c r="I353" s="22">
        <v>225.00393</v>
      </c>
      <c r="J353">
        <v>174.5</v>
      </c>
      <c r="K353" s="23">
        <v>91.680899999999994</v>
      </c>
      <c r="L353" s="4">
        <f t="shared" si="26"/>
        <v>95.267969999999991</v>
      </c>
      <c r="P353" s="24">
        <v>225.01877999999999</v>
      </c>
      <c r="Q353">
        <v>174.5</v>
      </c>
      <c r="R353" s="25">
        <v>98.596620000000001</v>
      </c>
      <c r="S353" s="4">
        <f t="shared" si="27"/>
        <v>98.520800000000008</v>
      </c>
      <c r="W353" s="22">
        <v>250.00597999999999</v>
      </c>
      <c r="X353">
        <v>174.5</v>
      </c>
      <c r="Y353" s="4">
        <v>86.851920000000007</v>
      </c>
      <c r="Z353" s="4">
        <f t="shared" si="28"/>
        <v>92.292750000000012</v>
      </c>
      <c r="AD353" s="24">
        <v>250.02180000000001</v>
      </c>
      <c r="AE353">
        <v>174.5</v>
      </c>
      <c r="AF353" s="19">
        <v>95.266869999999997</v>
      </c>
      <c r="AG353" s="4">
        <f t="shared" si="29"/>
        <v>95.528359999999992</v>
      </c>
    </row>
    <row r="354" spans="2:33" x14ac:dyDescent="0.15">
      <c r="B354" s="22">
        <v>200.07311999999999</v>
      </c>
      <c r="C354">
        <v>175</v>
      </c>
      <c r="D354" s="4">
        <v>99.195030000000003</v>
      </c>
      <c r="E354" s="4">
        <f t="shared" si="25"/>
        <v>100.32147000000001</v>
      </c>
      <c r="I354" s="22">
        <v>225.00395</v>
      </c>
      <c r="J354">
        <v>175</v>
      </c>
      <c r="K354" s="4">
        <v>91.681020000000004</v>
      </c>
      <c r="L354" s="4">
        <f t="shared" si="26"/>
        <v>95.268090000000001</v>
      </c>
      <c r="P354" s="24">
        <v>225.02018000000001</v>
      </c>
      <c r="Q354">
        <v>175</v>
      </c>
      <c r="R354" s="19">
        <v>98.460999999999999</v>
      </c>
      <c r="S354" s="4">
        <f t="shared" si="27"/>
        <v>98.385180000000005</v>
      </c>
      <c r="W354" s="22">
        <v>250.00799000000001</v>
      </c>
      <c r="X354">
        <v>175</v>
      </c>
      <c r="Y354" s="23">
        <v>86.844080000000005</v>
      </c>
      <c r="Z354" s="4">
        <f t="shared" si="28"/>
        <v>92.284910000000011</v>
      </c>
      <c r="AD354" s="24">
        <v>250.01884000000001</v>
      </c>
      <c r="AE354">
        <v>175</v>
      </c>
      <c r="AF354" s="25">
        <v>95.291830000000004</v>
      </c>
      <c r="AG354" s="4">
        <f t="shared" si="29"/>
        <v>95.553319999999999</v>
      </c>
    </row>
    <row r="355" spans="2:33" x14ac:dyDescent="0.15">
      <c r="B355" s="22">
        <v>200.06412</v>
      </c>
      <c r="C355">
        <v>175.5</v>
      </c>
      <c r="D355" s="23">
        <v>99.221869999999996</v>
      </c>
      <c r="E355" s="4">
        <f t="shared" si="25"/>
        <v>100.34831</v>
      </c>
      <c r="I355" s="22">
        <v>225.00402</v>
      </c>
      <c r="J355">
        <v>175.5</v>
      </c>
      <c r="K355" s="23">
        <v>91.662480000000002</v>
      </c>
      <c r="L355" s="4">
        <f t="shared" si="26"/>
        <v>95.249549999999999</v>
      </c>
      <c r="P355" s="24">
        <v>225.02266</v>
      </c>
      <c r="Q355">
        <v>175.5</v>
      </c>
      <c r="R355" s="25">
        <v>98.530019999999993</v>
      </c>
      <c r="S355" s="4">
        <f t="shared" si="27"/>
        <v>98.4542</v>
      </c>
      <c r="W355" s="22">
        <v>250.006</v>
      </c>
      <c r="X355">
        <v>175.5</v>
      </c>
      <c r="Y355" s="4">
        <v>86.834609999999998</v>
      </c>
      <c r="Z355" s="4">
        <f t="shared" si="28"/>
        <v>92.275440000000003</v>
      </c>
      <c r="AD355" s="24">
        <v>250.01349999999999</v>
      </c>
      <c r="AE355">
        <v>175.5</v>
      </c>
      <c r="AF355" s="19">
        <v>95.234579999999994</v>
      </c>
      <c r="AG355" s="4">
        <f t="shared" si="29"/>
        <v>95.496069999999989</v>
      </c>
    </row>
    <row r="356" spans="2:33" x14ac:dyDescent="0.15">
      <c r="B356" s="22">
        <v>200.04796999999999</v>
      </c>
      <c r="C356">
        <v>176</v>
      </c>
      <c r="D356" s="4">
        <v>99.207909999999998</v>
      </c>
      <c r="E356" s="4">
        <f t="shared" si="25"/>
        <v>100.33435</v>
      </c>
      <c r="I356" s="22">
        <v>225.00798</v>
      </c>
      <c r="J356">
        <v>176</v>
      </c>
      <c r="K356" s="4">
        <v>91.664699999999996</v>
      </c>
      <c r="L356" s="4">
        <f t="shared" si="26"/>
        <v>95.251769999999993</v>
      </c>
      <c r="P356" s="24">
        <v>225.02014</v>
      </c>
      <c r="Q356">
        <v>176</v>
      </c>
      <c r="R356" s="19">
        <v>98.509799999999998</v>
      </c>
      <c r="S356" s="4">
        <f t="shared" si="27"/>
        <v>98.433980000000005</v>
      </c>
      <c r="W356" s="22">
        <v>250.00602000000001</v>
      </c>
      <c r="X356">
        <v>176</v>
      </c>
      <c r="Y356" s="23">
        <v>86.802160000000001</v>
      </c>
      <c r="Z356" s="4">
        <f t="shared" si="28"/>
        <v>92.242990000000006</v>
      </c>
      <c r="AD356" s="24">
        <v>250.01527999999999</v>
      </c>
      <c r="AE356">
        <v>176</v>
      </c>
      <c r="AF356" s="25">
        <v>95.362989999999996</v>
      </c>
      <c r="AG356" s="4">
        <f t="shared" si="29"/>
        <v>95.624479999999991</v>
      </c>
    </row>
    <row r="357" spans="2:33" x14ac:dyDescent="0.15">
      <c r="B357" s="22">
        <v>200.03738000000001</v>
      </c>
      <c r="C357">
        <v>176.5</v>
      </c>
      <c r="D357" s="23">
        <v>99.272850000000005</v>
      </c>
      <c r="E357" s="4">
        <f t="shared" si="25"/>
        <v>100.39929000000001</v>
      </c>
      <c r="I357" s="22">
        <v>225.00699</v>
      </c>
      <c r="J357">
        <v>176.5</v>
      </c>
      <c r="K357" s="23">
        <v>91.655289999999994</v>
      </c>
      <c r="L357" s="4">
        <f t="shared" si="26"/>
        <v>95.242359999999991</v>
      </c>
      <c r="P357" s="24">
        <v>225.02081000000001</v>
      </c>
      <c r="Q357">
        <v>176.5</v>
      </c>
      <c r="R357" s="25">
        <v>98.521889999999999</v>
      </c>
      <c r="S357" s="4">
        <f t="shared" si="27"/>
        <v>98.446070000000006</v>
      </c>
      <c r="W357" s="22">
        <v>250.00700000000001</v>
      </c>
      <c r="X357">
        <v>176.5</v>
      </c>
      <c r="Y357" s="4">
        <v>86.786689999999993</v>
      </c>
      <c r="Z357" s="4">
        <f t="shared" si="28"/>
        <v>92.227519999999998</v>
      </c>
      <c r="AD357" s="24">
        <v>250.01785000000001</v>
      </c>
      <c r="AE357">
        <v>176.5</v>
      </c>
      <c r="AF357" s="19">
        <v>95.220140000000001</v>
      </c>
      <c r="AG357" s="4">
        <f t="shared" si="29"/>
        <v>95.481629999999996</v>
      </c>
    </row>
    <row r="358" spans="2:33" x14ac:dyDescent="0.15">
      <c r="B358" s="22">
        <v>200.02837</v>
      </c>
      <c r="C358">
        <v>177</v>
      </c>
      <c r="D358" s="4">
        <v>99.256630000000001</v>
      </c>
      <c r="E358" s="4">
        <f t="shared" si="25"/>
        <v>100.38307</v>
      </c>
      <c r="I358" s="22">
        <v>225.00399999999999</v>
      </c>
      <c r="J358">
        <v>177</v>
      </c>
      <c r="K358" s="4">
        <v>91.611360000000005</v>
      </c>
      <c r="L358" s="4">
        <f t="shared" si="26"/>
        <v>95.198430000000002</v>
      </c>
      <c r="P358" s="24">
        <v>225.02074999999999</v>
      </c>
      <c r="Q358">
        <v>177</v>
      </c>
      <c r="R358" s="19">
        <v>98.594480000000004</v>
      </c>
      <c r="S358" s="4">
        <f t="shared" si="27"/>
        <v>98.518660000000011</v>
      </c>
      <c r="W358" s="22">
        <v>250.00396000000001</v>
      </c>
      <c r="X358">
        <v>177</v>
      </c>
      <c r="Y358" s="23">
        <v>86.769360000000006</v>
      </c>
      <c r="Z358" s="4">
        <f t="shared" si="28"/>
        <v>92.210190000000011</v>
      </c>
      <c r="AD358" s="24">
        <v>250.01917</v>
      </c>
      <c r="AE358">
        <v>177</v>
      </c>
      <c r="AF358" s="25">
        <v>95.249989999999997</v>
      </c>
      <c r="AG358" s="4">
        <f t="shared" si="29"/>
        <v>95.511479999999992</v>
      </c>
    </row>
    <row r="359" spans="2:33" x14ac:dyDescent="0.15">
      <c r="B359" s="22">
        <v>200.02185</v>
      </c>
      <c r="C359">
        <v>177.5</v>
      </c>
      <c r="D359" s="23">
        <v>99.280760000000001</v>
      </c>
      <c r="E359" s="4">
        <f t="shared" si="25"/>
        <v>100.4072</v>
      </c>
      <c r="I359" s="22">
        <v>225.00496999999999</v>
      </c>
      <c r="J359">
        <v>177.5</v>
      </c>
      <c r="K359" s="23">
        <v>91.631640000000004</v>
      </c>
      <c r="L359" s="4">
        <f t="shared" si="26"/>
        <v>95.218710000000002</v>
      </c>
      <c r="P359" s="24">
        <v>225.01965999999999</v>
      </c>
      <c r="Q359">
        <v>177.5</v>
      </c>
      <c r="R359" s="25">
        <v>98.535319999999999</v>
      </c>
      <c r="S359" s="4">
        <f t="shared" si="27"/>
        <v>98.459500000000006</v>
      </c>
      <c r="W359" s="22">
        <v>250.00396000000001</v>
      </c>
      <c r="X359">
        <v>177.5</v>
      </c>
      <c r="Y359" s="4">
        <v>86.734840000000005</v>
      </c>
      <c r="Z359" s="4">
        <f t="shared" si="28"/>
        <v>92.175670000000011</v>
      </c>
      <c r="AD359" s="24">
        <v>250.02121</v>
      </c>
      <c r="AE359">
        <v>177.5</v>
      </c>
      <c r="AF359" s="19">
        <v>95.33484</v>
      </c>
      <c r="AG359" s="4">
        <f t="shared" si="29"/>
        <v>95.596329999999995</v>
      </c>
    </row>
    <row r="360" spans="2:33" x14ac:dyDescent="0.15">
      <c r="B360" s="22">
        <v>200.01541</v>
      </c>
      <c r="C360">
        <v>178</v>
      </c>
      <c r="D360" s="4">
        <v>99.162549999999996</v>
      </c>
      <c r="E360" s="4">
        <f t="shared" si="25"/>
        <v>100.28899</v>
      </c>
      <c r="I360" s="22">
        <v>225.00307000000001</v>
      </c>
      <c r="J360">
        <v>178</v>
      </c>
      <c r="K360" s="4">
        <v>91.593649999999997</v>
      </c>
      <c r="L360" s="4">
        <f t="shared" si="26"/>
        <v>95.180719999999994</v>
      </c>
      <c r="P360" s="24">
        <v>225.01849000000001</v>
      </c>
      <c r="Q360">
        <v>178</v>
      </c>
      <c r="R360" s="19">
        <v>98.55789</v>
      </c>
      <c r="S360" s="4">
        <f t="shared" si="27"/>
        <v>98.482070000000007</v>
      </c>
      <c r="W360" s="22">
        <v>249.99995999999999</v>
      </c>
      <c r="X360">
        <v>178</v>
      </c>
      <c r="Y360" s="23">
        <v>86.729079999999996</v>
      </c>
      <c r="Z360" s="4">
        <f t="shared" si="28"/>
        <v>92.169910000000002</v>
      </c>
      <c r="AD360" s="24">
        <v>250.02029999999999</v>
      </c>
      <c r="AE360">
        <v>178</v>
      </c>
      <c r="AF360" s="25">
        <v>95.197050000000004</v>
      </c>
      <c r="AG360" s="4">
        <f t="shared" si="29"/>
        <v>95.458539999999999</v>
      </c>
    </row>
    <row r="361" spans="2:33" x14ac:dyDescent="0.15">
      <c r="B361" s="22">
        <v>200.00621000000001</v>
      </c>
      <c r="C361">
        <v>178.5</v>
      </c>
      <c r="D361" s="23">
        <v>99.235870000000006</v>
      </c>
      <c r="E361" s="4">
        <f t="shared" si="25"/>
        <v>100.36231000000001</v>
      </c>
      <c r="I361" s="22">
        <v>225.00498999999999</v>
      </c>
      <c r="J361">
        <v>178.5</v>
      </c>
      <c r="K361" s="23">
        <v>91.604140000000001</v>
      </c>
      <c r="L361" s="4">
        <f t="shared" si="26"/>
        <v>95.191209999999998</v>
      </c>
      <c r="P361" s="24">
        <v>225.01701</v>
      </c>
      <c r="Q361">
        <v>178.5</v>
      </c>
      <c r="R361" s="25">
        <v>98.606880000000004</v>
      </c>
      <c r="S361" s="4">
        <f t="shared" si="27"/>
        <v>98.531060000000011</v>
      </c>
      <c r="W361" s="22">
        <v>250.00702999999999</v>
      </c>
      <c r="X361">
        <v>178.5</v>
      </c>
      <c r="Y361" s="4">
        <v>86.692760000000007</v>
      </c>
      <c r="Z361" s="4">
        <f t="shared" si="28"/>
        <v>92.133590000000012</v>
      </c>
      <c r="AD361" s="24">
        <v>250.02112</v>
      </c>
      <c r="AE361">
        <v>178.5</v>
      </c>
      <c r="AF361" s="19">
        <v>95.166309999999996</v>
      </c>
      <c r="AG361" s="4">
        <f t="shared" si="29"/>
        <v>95.427799999999991</v>
      </c>
    </row>
    <row r="362" spans="2:33" x14ac:dyDescent="0.15">
      <c r="B362" s="22">
        <v>200.00026</v>
      </c>
      <c r="C362">
        <v>179</v>
      </c>
      <c r="D362" s="4">
        <v>99.086150000000004</v>
      </c>
      <c r="E362" s="4">
        <f t="shared" si="25"/>
        <v>100.21259000000001</v>
      </c>
      <c r="I362" s="22">
        <v>225.00403</v>
      </c>
      <c r="J362">
        <v>179</v>
      </c>
      <c r="K362" s="4">
        <v>91.572789999999998</v>
      </c>
      <c r="L362" s="4">
        <f t="shared" si="26"/>
        <v>95.159859999999995</v>
      </c>
      <c r="P362" s="24">
        <v>225.01705999999999</v>
      </c>
      <c r="Q362">
        <v>179</v>
      </c>
      <c r="R362" s="19">
        <v>98.508970000000005</v>
      </c>
      <c r="S362" s="4">
        <f t="shared" si="27"/>
        <v>98.433150000000012</v>
      </c>
      <c r="W362" s="22">
        <v>250.00399999999999</v>
      </c>
      <c r="X362">
        <v>179</v>
      </c>
      <c r="Y362" s="23">
        <v>86.671400000000006</v>
      </c>
      <c r="Z362" s="4">
        <f t="shared" si="28"/>
        <v>92.112230000000011</v>
      </c>
      <c r="AD362" s="24">
        <v>250.01775000000001</v>
      </c>
      <c r="AE362">
        <v>179</v>
      </c>
      <c r="AF362" s="25">
        <v>95.182959999999994</v>
      </c>
      <c r="AG362" s="4">
        <f t="shared" si="29"/>
        <v>95.444449999999989</v>
      </c>
    </row>
    <row r="363" spans="2:33" x14ac:dyDescent="0.15">
      <c r="B363" s="22">
        <v>199.99969999999999</v>
      </c>
      <c r="C363">
        <v>179.5</v>
      </c>
      <c r="D363" s="23">
        <v>99.212180000000004</v>
      </c>
      <c r="E363" s="4">
        <f t="shared" si="25"/>
        <v>100.33862000000001</v>
      </c>
      <c r="I363" s="22">
        <v>225.00110000000001</v>
      </c>
      <c r="J363">
        <v>179.5</v>
      </c>
      <c r="K363" s="23">
        <v>91.560280000000006</v>
      </c>
      <c r="L363" s="4">
        <f t="shared" si="26"/>
        <v>95.147350000000003</v>
      </c>
      <c r="P363" s="24">
        <v>225.01784000000001</v>
      </c>
      <c r="Q363">
        <v>179.5</v>
      </c>
      <c r="R363" s="25">
        <v>98.45523</v>
      </c>
      <c r="S363" s="4">
        <f t="shared" si="27"/>
        <v>98.379410000000007</v>
      </c>
      <c r="W363" s="22">
        <v>250.00501</v>
      </c>
      <c r="X363">
        <v>179.5</v>
      </c>
      <c r="Y363" s="4">
        <v>86.652360000000002</v>
      </c>
      <c r="Z363" s="4">
        <f t="shared" si="28"/>
        <v>92.093190000000007</v>
      </c>
      <c r="AD363" s="24">
        <v>250.01588000000001</v>
      </c>
      <c r="AE363">
        <v>179.5</v>
      </c>
      <c r="AF363" s="19">
        <v>95.147710000000004</v>
      </c>
      <c r="AG363" s="4">
        <f t="shared" si="29"/>
        <v>95.409199999999998</v>
      </c>
    </row>
    <row r="364" spans="2:33" x14ac:dyDescent="0.15">
      <c r="B364" s="22">
        <v>200.00136000000001</v>
      </c>
      <c r="C364">
        <v>180</v>
      </c>
      <c r="D364" s="4">
        <v>99.261480000000006</v>
      </c>
      <c r="E364" s="4">
        <f t="shared" si="25"/>
        <v>100.38792000000001</v>
      </c>
      <c r="I364" s="22">
        <v>225.00188</v>
      </c>
      <c r="J364">
        <v>180</v>
      </c>
      <c r="K364" s="4">
        <v>91.560249999999996</v>
      </c>
      <c r="L364" s="4">
        <f t="shared" si="26"/>
        <v>95.147319999999993</v>
      </c>
      <c r="P364" s="24">
        <v>225.01777999999999</v>
      </c>
      <c r="Q364">
        <v>180</v>
      </c>
      <c r="R364" s="19">
        <v>98.543859999999995</v>
      </c>
      <c r="S364" s="4">
        <f t="shared" si="27"/>
        <v>98.468040000000002</v>
      </c>
      <c r="W364" s="22">
        <v>250.00398999999999</v>
      </c>
      <c r="X364">
        <v>180</v>
      </c>
      <c r="Y364" s="23">
        <v>86.633279999999999</v>
      </c>
      <c r="Z364" s="4">
        <f t="shared" si="28"/>
        <v>92.074110000000005</v>
      </c>
      <c r="AD364" s="24">
        <v>250.01775000000001</v>
      </c>
      <c r="AE364">
        <v>180</v>
      </c>
      <c r="AF364" s="25">
        <v>95.130229999999997</v>
      </c>
      <c r="AG364" s="4">
        <f t="shared" si="29"/>
        <v>95.391719999999992</v>
      </c>
    </row>
    <row r="365" spans="2:33" x14ac:dyDescent="0.15">
      <c r="B365" s="22">
        <v>200.00004999999999</v>
      </c>
      <c r="C365">
        <v>180.5</v>
      </c>
      <c r="D365" s="23">
        <v>99.318190000000001</v>
      </c>
      <c r="E365" s="4">
        <f t="shared" si="25"/>
        <v>100.44463</v>
      </c>
      <c r="I365" s="22">
        <v>225.001</v>
      </c>
      <c r="J365">
        <v>180.5</v>
      </c>
      <c r="K365" s="23">
        <v>91.545550000000006</v>
      </c>
      <c r="L365" s="4">
        <f t="shared" si="26"/>
        <v>95.132620000000003</v>
      </c>
      <c r="P365" s="24">
        <v>225.02088000000001</v>
      </c>
      <c r="Q365">
        <v>180.5</v>
      </c>
      <c r="R365" s="25">
        <v>98.487830000000002</v>
      </c>
      <c r="S365" s="4">
        <f t="shared" si="27"/>
        <v>98.412010000000009</v>
      </c>
      <c r="W365" s="22">
        <v>249.99895000000001</v>
      </c>
      <c r="X365">
        <v>180.5</v>
      </c>
      <c r="Y365" s="4">
        <v>86.604550000000003</v>
      </c>
      <c r="Z365" s="4">
        <f t="shared" si="28"/>
        <v>92.045380000000009</v>
      </c>
      <c r="AD365" s="24">
        <v>250.01777999999999</v>
      </c>
      <c r="AE365">
        <v>180.5</v>
      </c>
      <c r="AF365" s="19">
        <v>95.17774</v>
      </c>
      <c r="AG365" s="4">
        <f t="shared" si="29"/>
        <v>95.439229999999995</v>
      </c>
    </row>
    <row r="366" spans="2:33" x14ac:dyDescent="0.15">
      <c r="B366" s="22">
        <v>200.00200000000001</v>
      </c>
      <c r="C366">
        <v>181</v>
      </c>
      <c r="D366" s="4">
        <v>99.1678</v>
      </c>
      <c r="E366" s="4">
        <f t="shared" si="25"/>
        <v>100.29424</v>
      </c>
      <c r="I366" s="22">
        <v>225.00604999999999</v>
      </c>
      <c r="J366">
        <v>181</v>
      </c>
      <c r="K366" s="4">
        <v>91.521569999999997</v>
      </c>
      <c r="L366" s="4">
        <f t="shared" si="26"/>
        <v>95.108639999999994</v>
      </c>
      <c r="P366" s="24">
        <v>225.02486999999999</v>
      </c>
      <c r="Q366">
        <v>181</v>
      </c>
      <c r="R366" s="19">
        <v>98.626249999999999</v>
      </c>
      <c r="S366" s="4">
        <f t="shared" si="27"/>
        <v>98.550430000000006</v>
      </c>
      <c r="W366" s="22">
        <v>250.00300999999999</v>
      </c>
      <c r="X366">
        <v>181</v>
      </c>
      <c r="Y366" s="23">
        <v>86.598650000000006</v>
      </c>
      <c r="Z366" s="4">
        <f t="shared" si="28"/>
        <v>92.039480000000012</v>
      </c>
      <c r="AD366" s="24">
        <v>250.02213</v>
      </c>
      <c r="AE366">
        <v>181</v>
      </c>
      <c r="AF366" s="25">
        <v>95.178529999999995</v>
      </c>
      <c r="AG366" s="4">
        <f t="shared" si="29"/>
        <v>95.44001999999999</v>
      </c>
    </row>
    <row r="367" spans="2:33" x14ac:dyDescent="0.15">
      <c r="B367" s="22">
        <v>199.99982</v>
      </c>
      <c r="C367">
        <v>181.5</v>
      </c>
      <c r="D367" s="23">
        <v>99.098640000000003</v>
      </c>
      <c r="E367" s="4">
        <f t="shared" si="25"/>
        <v>100.22508000000001</v>
      </c>
      <c r="I367" s="22">
        <v>225.00585000000001</v>
      </c>
      <c r="J367">
        <v>181.5</v>
      </c>
      <c r="K367" s="23">
        <v>91.535979999999995</v>
      </c>
      <c r="L367" s="4">
        <f t="shared" si="26"/>
        <v>95.123049999999992</v>
      </c>
      <c r="P367" s="24">
        <v>225.02445</v>
      </c>
      <c r="Q367">
        <v>181.5</v>
      </c>
      <c r="R367" s="25">
        <v>98.486329999999995</v>
      </c>
      <c r="S367" s="4">
        <f t="shared" si="27"/>
        <v>98.410510000000002</v>
      </c>
      <c r="W367" s="22">
        <v>250.00102999999999</v>
      </c>
      <c r="X367">
        <v>181.5</v>
      </c>
      <c r="Y367" s="4">
        <v>86.581500000000005</v>
      </c>
      <c r="Z367" s="4">
        <f t="shared" si="28"/>
        <v>92.022330000000011</v>
      </c>
      <c r="AD367" s="24">
        <v>250.02251999999999</v>
      </c>
      <c r="AE367">
        <v>181.5</v>
      </c>
      <c r="AF367" s="19">
        <v>95.000489999999999</v>
      </c>
      <c r="AG367" s="4">
        <f t="shared" si="29"/>
        <v>95.261979999999994</v>
      </c>
    </row>
    <row r="368" spans="2:33" x14ac:dyDescent="0.15">
      <c r="B368" s="22">
        <v>199.99294</v>
      </c>
      <c r="C368">
        <v>182</v>
      </c>
      <c r="D368" s="4">
        <v>99.207049999999995</v>
      </c>
      <c r="E368" s="4">
        <f t="shared" si="25"/>
        <v>100.33349</v>
      </c>
      <c r="I368" s="22">
        <v>225.00797</v>
      </c>
      <c r="J368">
        <v>182</v>
      </c>
      <c r="K368" s="4">
        <v>91.521550000000005</v>
      </c>
      <c r="L368" s="4">
        <f t="shared" si="26"/>
        <v>95.108620000000002</v>
      </c>
      <c r="P368" s="24">
        <v>225.02382</v>
      </c>
      <c r="Q368">
        <v>182</v>
      </c>
      <c r="R368" s="19">
        <v>98.506379999999993</v>
      </c>
      <c r="S368" s="4">
        <f t="shared" si="27"/>
        <v>98.43056</v>
      </c>
      <c r="W368" s="22">
        <v>249.99895000000001</v>
      </c>
      <c r="X368">
        <v>182</v>
      </c>
      <c r="Y368" s="23">
        <v>86.556569999999994</v>
      </c>
      <c r="Z368" s="4">
        <f t="shared" si="28"/>
        <v>91.997399999999999</v>
      </c>
      <c r="AD368" s="24">
        <v>250.01795999999999</v>
      </c>
      <c r="AE368">
        <v>182</v>
      </c>
      <c r="AF368" s="25">
        <v>95.016900000000007</v>
      </c>
      <c r="AG368" s="4">
        <f t="shared" si="29"/>
        <v>95.278390000000002</v>
      </c>
    </row>
    <row r="369" spans="2:33" x14ac:dyDescent="0.15">
      <c r="B369" s="22">
        <v>199.98931999999999</v>
      </c>
      <c r="C369">
        <v>182.5</v>
      </c>
      <c r="D369" s="23">
        <v>99.18383</v>
      </c>
      <c r="E369" s="4">
        <f t="shared" si="25"/>
        <v>100.31027</v>
      </c>
      <c r="I369" s="22">
        <v>225.00507999999999</v>
      </c>
      <c r="J369">
        <v>182.5</v>
      </c>
      <c r="K369" s="23">
        <v>91.504230000000007</v>
      </c>
      <c r="L369" s="4">
        <f t="shared" si="26"/>
        <v>95.091300000000004</v>
      </c>
      <c r="P369" s="24">
        <v>225.02170000000001</v>
      </c>
      <c r="Q369">
        <v>182.5</v>
      </c>
      <c r="R369" s="25">
        <v>98.513099999999994</v>
      </c>
      <c r="S369" s="4">
        <f t="shared" si="27"/>
        <v>98.437280000000001</v>
      </c>
      <c r="W369" s="22">
        <v>250.001</v>
      </c>
      <c r="X369">
        <v>182.5</v>
      </c>
      <c r="Y369" s="4">
        <v>86.547049999999999</v>
      </c>
      <c r="Z369" s="4">
        <f t="shared" si="28"/>
        <v>91.987880000000004</v>
      </c>
      <c r="AD369" s="24">
        <v>250.01766000000001</v>
      </c>
      <c r="AE369">
        <v>182.5</v>
      </c>
      <c r="AF369" s="19">
        <v>95.023799999999994</v>
      </c>
      <c r="AG369" s="4">
        <f t="shared" si="29"/>
        <v>95.285289999999989</v>
      </c>
    </row>
    <row r="370" spans="2:33" x14ac:dyDescent="0.15">
      <c r="B370" s="22">
        <v>199.99226999999999</v>
      </c>
      <c r="C370">
        <v>183</v>
      </c>
      <c r="D370" s="4">
        <v>99.081419999999994</v>
      </c>
      <c r="E370" s="4">
        <f t="shared" si="25"/>
        <v>100.20786</v>
      </c>
      <c r="I370" s="22">
        <v>225.00399999999999</v>
      </c>
      <c r="J370">
        <v>183</v>
      </c>
      <c r="K370" s="4">
        <v>91.489239999999995</v>
      </c>
      <c r="L370" s="4">
        <f t="shared" si="26"/>
        <v>95.076309999999992</v>
      </c>
      <c r="P370" s="24">
        <v>225.01929999999999</v>
      </c>
      <c r="Q370">
        <v>183</v>
      </c>
      <c r="R370" s="19">
        <v>98.4636</v>
      </c>
      <c r="S370" s="4">
        <f t="shared" si="27"/>
        <v>98.387780000000006</v>
      </c>
      <c r="W370" s="22">
        <v>250.00808000000001</v>
      </c>
      <c r="X370">
        <v>183</v>
      </c>
      <c r="Y370" s="23">
        <v>86.499170000000007</v>
      </c>
      <c r="Z370" s="4">
        <f t="shared" si="28"/>
        <v>91.940000000000012</v>
      </c>
      <c r="AD370" s="24">
        <v>250.02026000000001</v>
      </c>
      <c r="AE370">
        <v>183</v>
      </c>
      <c r="AF370" s="25">
        <v>95.066469999999995</v>
      </c>
      <c r="AG370" s="4">
        <f t="shared" si="29"/>
        <v>95.32795999999999</v>
      </c>
    </row>
    <row r="371" spans="2:33" x14ac:dyDescent="0.15">
      <c r="B371" s="22">
        <v>199.99969999999999</v>
      </c>
      <c r="C371">
        <v>183.5</v>
      </c>
      <c r="D371" s="23">
        <v>99.23021</v>
      </c>
      <c r="E371" s="4">
        <f t="shared" si="25"/>
        <v>100.35665</v>
      </c>
      <c r="I371" s="22">
        <v>225.00518</v>
      </c>
      <c r="J371">
        <v>183.5</v>
      </c>
      <c r="K371" s="23">
        <v>91.476209999999995</v>
      </c>
      <c r="L371" s="4">
        <f t="shared" si="26"/>
        <v>95.063279999999992</v>
      </c>
      <c r="P371" s="24">
        <v>225.01918000000001</v>
      </c>
      <c r="Q371">
        <v>183.5</v>
      </c>
      <c r="R371" s="25">
        <v>98.402760000000001</v>
      </c>
      <c r="S371" s="4">
        <f t="shared" si="27"/>
        <v>98.326940000000008</v>
      </c>
      <c r="W371" s="22">
        <v>250.01098999999999</v>
      </c>
      <c r="X371">
        <v>183.5</v>
      </c>
      <c r="Y371" s="4">
        <v>86.493340000000003</v>
      </c>
      <c r="Z371" s="4">
        <f t="shared" si="28"/>
        <v>91.934170000000009</v>
      </c>
      <c r="AD371" s="24">
        <v>250.02393000000001</v>
      </c>
      <c r="AE371">
        <v>183.5</v>
      </c>
      <c r="AF371" s="19">
        <v>94.948989999999995</v>
      </c>
      <c r="AG371" s="4">
        <f t="shared" si="29"/>
        <v>95.21047999999999</v>
      </c>
    </row>
    <row r="372" spans="2:33" x14ac:dyDescent="0.15">
      <c r="B372" s="22">
        <v>200.01424</v>
      </c>
      <c r="C372">
        <v>184</v>
      </c>
      <c r="D372" s="4">
        <v>99.190880000000007</v>
      </c>
      <c r="E372" s="4">
        <f t="shared" si="25"/>
        <v>100.31732000000001</v>
      </c>
      <c r="I372" s="22">
        <v>225.01002</v>
      </c>
      <c r="J372">
        <v>184</v>
      </c>
      <c r="K372" s="4">
        <v>91.461619999999996</v>
      </c>
      <c r="L372" s="4">
        <f t="shared" si="26"/>
        <v>95.048689999999993</v>
      </c>
      <c r="P372" s="24">
        <v>225.02241000000001</v>
      </c>
      <c r="Q372">
        <v>184</v>
      </c>
      <c r="R372" s="19">
        <v>98.507189999999994</v>
      </c>
      <c r="S372" s="4">
        <f t="shared" si="27"/>
        <v>98.431370000000001</v>
      </c>
      <c r="W372" s="22">
        <v>250.00897000000001</v>
      </c>
      <c r="X372">
        <v>184</v>
      </c>
      <c r="Y372" s="23">
        <v>86.470060000000004</v>
      </c>
      <c r="Z372" s="4">
        <f t="shared" si="28"/>
        <v>91.910890000000009</v>
      </c>
      <c r="AD372" s="24">
        <v>250.02311</v>
      </c>
      <c r="AE372">
        <v>184</v>
      </c>
      <c r="AF372" s="25">
        <v>95.075990000000004</v>
      </c>
      <c r="AG372" s="4">
        <f t="shared" si="29"/>
        <v>95.337479999999999</v>
      </c>
    </row>
    <row r="373" spans="2:33" x14ac:dyDescent="0.15">
      <c r="B373" s="22">
        <v>200.03622999999999</v>
      </c>
      <c r="C373">
        <v>184.5</v>
      </c>
      <c r="D373" s="23">
        <v>99.057329999999993</v>
      </c>
      <c r="E373" s="4">
        <f t="shared" si="25"/>
        <v>100.18377</v>
      </c>
      <c r="I373" s="22">
        <v>225.00802999999999</v>
      </c>
      <c r="J373">
        <v>184.5</v>
      </c>
      <c r="K373" s="23">
        <v>91.430509999999998</v>
      </c>
      <c r="L373" s="4">
        <f t="shared" si="26"/>
        <v>95.017579999999995</v>
      </c>
      <c r="P373" s="24">
        <v>225.02179000000001</v>
      </c>
      <c r="Q373">
        <v>184.5</v>
      </c>
      <c r="R373" s="25">
        <v>98.545419999999993</v>
      </c>
      <c r="S373" s="4">
        <f t="shared" si="27"/>
        <v>98.4696</v>
      </c>
      <c r="W373" s="22">
        <v>249.99994000000001</v>
      </c>
      <c r="X373">
        <v>184.5</v>
      </c>
      <c r="Y373" s="4">
        <v>86.45881</v>
      </c>
      <c r="Z373" s="4">
        <f t="shared" si="28"/>
        <v>91.899640000000005</v>
      </c>
      <c r="AD373" s="24">
        <v>250.02276000000001</v>
      </c>
      <c r="AE373">
        <v>184.5</v>
      </c>
      <c r="AF373" s="19">
        <v>95.174660000000003</v>
      </c>
      <c r="AG373" s="4">
        <f t="shared" si="29"/>
        <v>95.436149999999998</v>
      </c>
    </row>
    <row r="374" spans="2:33" x14ac:dyDescent="0.15">
      <c r="B374" s="22">
        <v>200.05513999999999</v>
      </c>
      <c r="C374">
        <v>185</v>
      </c>
      <c r="D374" s="4">
        <v>99.226730000000003</v>
      </c>
      <c r="E374" s="4">
        <f t="shared" si="25"/>
        <v>100.35317000000001</v>
      </c>
      <c r="I374" s="22">
        <v>225.00609</v>
      </c>
      <c r="J374">
        <v>185</v>
      </c>
      <c r="K374" s="4">
        <v>91.437839999999994</v>
      </c>
      <c r="L374" s="4">
        <f t="shared" si="26"/>
        <v>95.024909999999991</v>
      </c>
      <c r="P374" s="24">
        <v>225.01786000000001</v>
      </c>
      <c r="Q374">
        <v>185</v>
      </c>
      <c r="R374" s="19">
        <v>98.449659999999994</v>
      </c>
      <c r="S374" s="4">
        <f t="shared" si="27"/>
        <v>98.373840000000001</v>
      </c>
      <c r="W374" s="22">
        <v>250.00303</v>
      </c>
      <c r="X374">
        <v>185</v>
      </c>
      <c r="Y374" s="23">
        <v>86.441469999999995</v>
      </c>
      <c r="Z374" s="4">
        <f t="shared" si="28"/>
        <v>91.882300000000001</v>
      </c>
      <c r="AD374" s="24">
        <v>250.02059</v>
      </c>
      <c r="AE374">
        <v>185</v>
      </c>
      <c r="AF374" s="25">
        <v>95.081789999999998</v>
      </c>
      <c r="AG374" s="4">
        <f t="shared" si="29"/>
        <v>95.343279999999993</v>
      </c>
    </row>
    <row r="375" spans="2:33" x14ac:dyDescent="0.15">
      <c r="B375" s="22">
        <v>200.04427000000001</v>
      </c>
      <c r="C375">
        <v>185.5</v>
      </c>
      <c r="D375" s="23">
        <v>99.13888</v>
      </c>
      <c r="E375" s="4">
        <f t="shared" si="25"/>
        <v>100.26532</v>
      </c>
      <c r="I375" s="22">
        <v>225.00797</v>
      </c>
      <c r="J375">
        <v>185.5</v>
      </c>
      <c r="K375" s="23">
        <v>91.403670000000005</v>
      </c>
      <c r="L375" s="4">
        <f t="shared" si="26"/>
        <v>94.990740000000002</v>
      </c>
      <c r="P375" s="24">
        <v>225.01563999999999</v>
      </c>
      <c r="Q375">
        <v>185.5</v>
      </c>
      <c r="R375" s="25">
        <v>98.511870000000002</v>
      </c>
      <c r="S375" s="4">
        <f t="shared" si="27"/>
        <v>98.436050000000009</v>
      </c>
      <c r="W375" s="22">
        <v>250.00796</v>
      </c>
      <c r="X375">
        <v>185.5</v>
      </c>
      <c r="Y375" s="4">
        <v>86.4148</v>
      </c>
      <c r="Z375" s="4">
        <f t="shared" si="28"/>
        <v>91.855630000000005</v>
      </c>
      <c r="AD375" s="24">
        <v>250.02045000000001</v>
      </c>
      <c r="AE375">
        <v>185.5</v>
      </c>
      <c r="AF375" s="19">
        <v>95.117109999999997</v>
      </c>
      <c r="AG375" s="4">
        <f t="shared" si="29"/>
        <v>95.378599999999992</v>
      </c>
    </row>
    <row r="376" spans="2:33" x14ac:dyDescent="0.15">
      <c r="B376" s="22">
        <v>200.01692</v>
      </c>
      <c r="C376">
        <v>186</v>
      </c>
      <c r="D376" s="4">
        <v>99.163560000000004</v>
      </c>
      <c r="E376" s="4">
        <f t="shared" si="25"/>
        <v>100.29</v>
      </c>
      <c r="I376" s="22">
        <v>225.00692000000001</v>
      </c>
      <c r="J376">
        <v>186</v>
      </c>
      <c r="K376" s="4">
        <v>91.412689999999998</v>
      </c>
      <c r="L376" s="4">
        <f t="shared" si="26"/>
        <v>94.999759999999995</v>
      </c>
      <c r="P376" s="24">
        <v>225.01614000000001</v>
      </c>
      <c r="Q376">
        <v>186</v>
      </c>
      <c r="R376" s="19">
        <v>98.492140000000006</v>
      </c>
      <c r="S376" s="4">
        <f t="shared" si="27"/>
        <v>98.416320000000013</v>
      </c>
      <c r="W376" s="22">
        <v>250.00899999999999</v>
      </c>
      <c r="X376">
        <v>186</v>
      </c>
      <c r="Y376" s="23">
        <v>86.414689999999993</v>
      </c>
      <c r="Z376" s="4">
        <f t="shared" si="28"/>
        <v>91.855519999999999</v>
      </c>
      <c r="AD376" s="24">
        <v>250.01527999999999</v>
      </c>
      <c r="AE376">
        <v>186</v>
      </c>
      <c r="AF376" s="25">
        <v>94.936080000000004</v>
      </c>
      <c r="AG376" s="4">
        <f t="shared" si="29"/>
        <v>95.197569999999999</v>
      </c>
    </row>
    <row r="377" spans="2:33" x14ac:dyDescent="0.15">
      <c r="B377" s="22">
        <v>200.00245000000001</v>
      </c>
      <c r="C377">
        <v>186.5</v>
      </c>
      <c r="D377" s="23">
        <v>99.194100000000006</v>
      </c>
      <c r="E377" s="4">
        <f t="shared" si="25"/>
        <v>100.32054000000001</v>
      </c>
      <c r="I377" s="22">
        <v>225.00326999999999</v>
      </c>
      <c r="J377">
        <v>186.5</v>
      </c>
      <c r="K377" s="23">
        <v>91.398910000000001</v>
      </c>
      <c r="L377" s="4">
        <f t="shared" si="26"/>
        <v>94.985979999999998</v>
      </c>
      <c r="P377" s="24">
        <v>225.01402999999999</v>
      </c>
      <c r="Q377">
        <v>186.5</v>
      </c>
      <c r="R377" s="25">
        <v>98.528720000000007</v>
      </c>
      <c r="S377" s="4">
        <f t="shared" si="27"/>
        <v>98.452900000000014</v>
      </c>
      <c r="W377" s="22">
        <v>250.00803999999999</v>
      </c>
      <c r="X377">
        <v>186.5</v>
      </c>
      <c r="Y377" s="4">
        <v>86.374369999999999</v>
      </c>
      <c r="Z377" s="4">
        <f t="shared" si="28"/>
        <v>91.815200000000004</v>
      </c>
      <c r="AD377" s="24">
        <v>250.01678999999999</v>
      </c>
      <c r="AE377">
        <v>186.5</v>
      </c>
      <c r="AF377" s="19">
        <v>94.997309999999999</v>
      </c>
      <c r="AG377" s="4">
        <f t="shared" si="29"/>
        <v>95.258799999999994</v>
      </c>
    </row>
    <row r="378" spans="2:33" x14ac:dyDescent="0.15">
      <c r="B378" s="22">
        <v>200.00348</v>
      </c>
      <c r="C378">
        <v>187</v>
      </c>
      <c r="D378" s="4">
        <v>99.193340000000006</v>
      </c>
      <c r="E378" s="4">
        <f t="shared" si="25"/>
        <v>100.31978000000001</v>
      </c>
      <c r="I378" s="22">
        <v>225.00212999999999</v>
      </c>
      <c r="J378">
        <v>187</v>
      </c>
      <c r="K378" s="4">
        <v>91.394239999999996</v>
      </c>
      <c r="L378" s="4">
        <f t="shared" si="26"/>
        <v>94.981309999999993</v>
      </c>
      <c r="P378" s="24">
        <v>225.01438999999999</v>
      </c>
      <c r="Q378">
        <v>187</v>
      </c>
      <c r="R378" s="19">
        <v>98.497540000000001</v>
      </c>
      <c r="S378" s="4">
        <f t="shared" si="27"/>
        <v>98.421720000000008</v>
      </c>
      <c r="W378" s="22">
        <v>250.00402</v>
      </c>
      <c r="X378">
        <v>187</v>
      </c>
      <c r="Y378" s="23">
        <v>86.364639999999994</v>
      </c>
      <c r="Z378" s="4">
        <f t="shared" si="28"/>
        <v>91.80547</v>
      </c>
      <c r="AD378" s="24">
        <v>250.01902999999999</v>
      </c>
      <c r="AE378">
        <v>187</v>
      </c>
      <c r="AF378" s="25">
        <v>95.01652</v>
      </c>
      <c r="AG378" s="4">
        <f t="shared" si="29"/>
        <v>95.278009999999995</v>
      </c>
    </row>
    <row r="379" spans="2:33" x14ac:dyDescent="0.15">
      <c r="B379" s="22">
        <v>200.02036000000001</v>
      </c>
      <c r="C379">
        <v>187.5</v>
      </c>
      <c r="D379" s="23">
        <v>99.215190000000007</v>
      </c>
      <c r="E379" s="4">
        <f t="shared" si="25"/>
        <v>100.34163000000001</v>
      </c>
      <c r="I379" s="22">
        <v>225.00595999999999</v>
      </c>
      <c r="J379">
        <v>187.5</v>
      </c>
      <c r="K379" s="23">
        <v>91.380619999999993</v>
      </c>
      <c r="L379" s="4">
        <f t="shared" si="26"/>
        <v>94.96768999999999</v>
      </c>
      <c r="P379" s="24">
        <v>225.01177000000001</v>
      </c>
      <c r="Q379">
        <v>187.5</v>
      </c>
      <c r="R379" s="25">
        <v>98.425640000000001</v>
      </c>
      <c r="S379" s="4">
        <f t="shared" si="27"/>
        <v>98.349820000000008</v>
      </c>
      <c r="W379" s="22">
        <v>250.00496000000001</v>
      </c>
      <c r="X379">
        <v>187.5</v>
      </c>
      <c r="Y379" s="4">
        <v>86.332049999999995</v>
      </c>
      <c r="Z379" s="4">
        <f t="shared" si="28"/>
        <v>91.772880000000001</v>
      </c>
      <c r="AD379" s="24">
        <v>250.01597000000001</v>
      </c>
      <c r="AE379">
        <v>187.5</v>
      </c>
      <c r="AF379" s="19">
        <v>94.943160000000006</v>
      </c>
      <c r="AG379" s="4">
        <f t="shared" si="29"/>
        <v>95.204650000000001</v>
      </c>
    </row>
    <row r="380" spans="2:33" x14ac:dyDescent="0.15">
      <c r="B380" s="22">
        <v>200.03532000000001</v>
      </c>
      <c r="C380">
        <v>188</v>
      </c>
      <c r="D380" s="4">
        <v>99.033019999999993</v>
      </c>
      <c r="E380" s="4">
        <f t="shared" si="25"/>
        <v>100.15946</v>
      </c>
      <c r="I380" s="22">
        <v>225.00509</v>
      </c>
      <c r="J380">
        <v>188</v>
      </c>
      <c r="K380" s="4">
        <v>91.353579999999994</v>
      </c>
      <c r="L380" s="4">
        <f t="shared" si="26"/>
        <v>94.940649999999991</v>
      </c>
      <c r="P380" s="24">
        <v>225.00927999999999</v>
      </c>
      <c r="Q380">
        <v>188</v>
      </c>
      <c r="R380" s="19">
        <v>98.43074</v>
      </c>
      <c r="S380" s="4">
        <f t="shared" si="27"/>
        <v>98.354920000000007</v>
      </c>
      <c r="W380" s="22">
        <v>250.00701000000001</v>
      </c>
      <c r="X380">
        <v>188</v>
      </c>
      <c r="Y380" s="23">
        <v>86.316969999999998</v>
      </c>
      <c r="Z380" s="4">
        <f t="shared" si="28"/>
        <v>91.757800000000003</v>
      </c>
      <c r="AD380" s="24">
        <v>250.01644999999999</v>
      </c>
      <c r="AE380">
        <v>188</v>
      </c>
      <c r="AF380" s="25">
        <v>94.859750000000005</v>
      </c>
      <c r="AG380" s="4">
        <f t="shared" si="29"/>
        <v>95.12124</v>
      </c>
    </row>
    <row r="381" spans="2:33" x14ac:dyDescent="0.15">
      <c r="B381" s="22">
        <v>200.05016000000001</v>
      </c>
      <c r="C381">
        <v>188.5</v>
      </c>
      <c r="D381" s="23">
        <v>99.096419999999995</v>
      </c>
      <c r="E381" s="4">
        <f t="shared" si="25"/>
        <v>100.22286</v>
      </c>
      <c r="I381" s="22">
        <v>225.00694999999999</v>
      </c>
      <c r="J381">
        <v>188.5</v>
      </c>
      <c r="K381" s="23">
        <v>91.329580000000007</v>
      </c>
      <c r="L381" s="4">
        <f t="shared" si="26"/>
        <v>94.916650000000004</v>
      </c>
      <c r="P381" s="24">
        <v>225.01412999999999</v>
      </c>
      <c r="Q381">
        <v>188.5</v>
      </c>
      <c r="R381" s="25">
        <v>98.426820000000006</v>
      </c>
      <c r="S381" s="4">
        <f t="shared" si="27"/>
        <v>98.351000000000013</v>
      </c>
      <c r="W381" s="22">
        <v>250.00698</v>
      </c>
      <c r="X381">
        <v>188.5</v>
      </c>
      <c r="Y381" s="4">
        <v>86.274630000000002</v>
      </c>
      <c r="Z381" s="4">
        <f t="shared" si="28"/>
        <v>91.715460000000007</v>
      </c>
      <c r="AD381" s="24">
        <v>250.02036000000001</v>
      </c>
      <c r="AE381">
        <v>188.5</v>
      </c>
      <c r="AF381" s="19">
        <v>94.980760000000004</v>
      </c>
      <c r="AG381" s="4">
        <f t="shared" si="29"/>
        <v>95.242249999999999</v>
      </c>
    </row>
    <row r="382" spans="2:33" x14ac:dyDescent="0.15">
      <c r="B382" s="22">
        <v>200.07032000000001</v>
      </c>
      <c r="C382">
        <v>189</v>
      </c>
      <c r="D382" s="4">
        <v>99.102289999999996</v>
      </c>
      <c r="E382" s="4">
        <f t="shared" si="25"/>
        <v>100.22873</v>
      </c>
      <c r="I382" s="22">
        <v>225.00507999999999</v>
      </c>
      <c r="J382">
        <v>189</v>
      </c>
      <c r="K382" s="4">
        <v>91.353719999999996</v>
      </c>
      <c r="L382" s="4">
        <f t="shared" si="26"/>
        <v>94.940789999999993</v>
      </c>
      <c r="P382" s="24">
        <v>225.01489000000001</v>
      </c>
      <c r="Q382">
        <v>189</v>
      </c>
      <c r="R382" s="19">
        <v>98.486990000000006</v>
      </c>
      <c r="S382" s="4">
        <f t="shared" si="27"/>
        <v>98.411170000000013</v>
      </c>
      <c r="W382" s="22">
        <v>250.00794999999999</v>
      </c>
      <c r="X382">
        <v>189</v>
      </c>
      <c r="Y382" s="23">
        <v>86.276629999999997</v>
      </c>
      <c r="Z382" s="4">
        <f t="shared" si="28"/>
        <v>91.717460000000003</v>
      </c>
      <c r="AD382" s="24">
        <v>250.01885999999999</v>
      </c>
      <c r="AE382">
        <v>189</v>
      </c>
      <c r="AF382" s="25">
        <v>94.865679999999998</v>
      </c>
      <c r="AG382" s="4">
        <f t="shared" si="29"/>
        <v>95.127169999999992</v>
      </c>
    </row>
    <row r="383" spans="2:33" x14ac:dyDescent="0.15">
      <c r="B383" s="22">
        <v>200.09732</v>
      </c>
      <c r="C383">
        <v>189.5</v>
      </c>
      <c r="D383" s="23">
        <v>99.149140000000003</v>
      </c>
      <c r="E383" s="4">
        <f t="shared" si="25"/>
        <v>100.27558000000001</v>
      </c>
      <c r="I383" s="22">
        <v>225.00495000000001</v>
      </c>
      <c r="J383">
        <v>189.5</v>
      </c>
      <c r="K383" s="23">
        <v>91.300759999999997</v>
      </c>
      <c r="L383" s="4">
        <f t="shared" si="26"/>
        <v>94.887829999999994</v>
      </c>
      <c r="P383" s="24">
        <v>225.01516000000001</v>
      </c>
      <c r="Q383">
        <v>189.5</v>
      </c>
      <c r="R383" s="25">
        <v>98.404290000000003</v>
      </c>
      <c r="S383" s="4">
        <f t="shared" si="27"/>
        <v>98.32847000000001</v>
      </c>
      <c r="W383" s="22">
        <v>250.00801999999999</v>
      </c>
      <c r="X383">
        <v>189.5</v>
      </c>
      <c r="Y383" s="4">
        <v>86.24024</v>
      </c>
      <c r="Z383" s="4">
        <f t="shared" si="28"/>
        <v>91.681070000000005</v>
      </c>
      <c r="AD383" s="24">
        <v>250.01936000000001</v>
      </c>
      <c r="AE383">
        <v>189.5</v>
      </c>
      <c r="AF383" s="19">
        <v>94.87764</v>
      </c>
      <c r="AG383" s="4">
        <f t="shared" si="29"/>
        <v>95.139129999999994</v>
      </c>
    </row>
    <row r="384" spans="2:33" x14ac:dyDescent="0.15">
      <c r="B384" s="22">
        <v>200.11854</v>
      </c>
      <c r="C384">
        <v>190</v>
      </c>
      <c r="D384" s="4">
        <v>99.086619999999996</v>
      </c>
      <c r="E384" s="4">
        <f t="shared" si="25"/>
        <v>100.21306</v>
      </c>
      <c r="I384" s="22">
        <v>225.00004000000001</v>
      </c>
      <c r="J384">
        <v>190</v>
      </c>
      <c r="K384" s="4">
        <v>91.304670000000002</v>
      </c>
      <c r="L384" s="4">
        <f t="shared" si="26"/>
        <v>94.891739999999999</v>
      </c>
      <c r="P384" s="24">
        <v>225.01525000000001</v>
      </c>
      <c r="Q384">
        <v>190</v>
      </c>
      <c r="R384" s="19">
        <v>98.468559999999997</v>
      </c>
      <c r="S384" s="4">
        <f t="shared" si="27"/>
        <v>98.392740000000003</v>
      </c>
      <c r="W384" s="22">
        <v>250.01300000000001</v>
      </c>
      <c r="X384">
        <v>190</v>
      </c>
      <c r="Y384" s="23">
        <v>86.232299999999995</v>
      </c>
      <c r="Z384" s="4">
        <f t="shared" si="28"/>
        <v>91.67313</v>
      </c>
      <c r="AD384" s="24">
        <v>250.02005</v>
      </c>
      <c r="AE384">
        <v>190</v>
      </c>
      <c r="AF384" s="25">
        <v>94.914280000000005</v>
      </c>
      <c r="AG384" s="4">
        <f t="shared" si="29"/>
        <v>95.17577</v>
      </c>
    </row>
    <row r="385" spans="2:33" x14ac:dyDescent="0.15">
      <c r="B385" s="22">
        <v>200.12393</v>
      </c>
      <c r="C385">
        <v>190.5</v>
      </c>
      <c r="D385" s="23">
        <v>99.055090000000007</v>
      </c>
      <c r="E385" s="4">
        <f t="shared" si="25"/>
        <v>100.18153000000001</v>
      </c>
      <c r="I385" s="22">
        <v>225.00103999999999</v>
      </c>
      <c r="J385">
        <v>190.5</v>
      </c>
      <c r="K385" s="23">
        <v>91.286090000000002</v>
      </c>
      <c r="L385" s="4">
        <f t="shared" si="26"/>
        <v>94.873159999999999</v>
      </c>
      <c r="P385" s="24">
        <v>225.01560000000001</v>
      </c>
      <c r="Q385">
        <v>190.5</v>
      </c>
      <c r="R385" s="25">
        <v>98.502650000000003</v>
      </c>
      <c r="S385" s="4">
        <f t="shared" si="27"/>
        <v>98.42683000000001</v>
      </c>
      <c r="W385" s="22">
        <v>250.00303</v>
      </c>
      <c r="X385">
        <v>190.5</v>
      </c>
      <c r="Y385" s="4">
        <v>86.215260000000001</v>
      </c>
      <c r="Z385" s="4">
        <f t="shared" si="28"/>
        <v>91.656090000000006</v>
      </c>
      <c r="AD385" s="24">
        <v>250.01961</v>
      </c>
      <c r="AE385">
        <v>190.5</v>
      </c>
      <c r="AF385" s="19">
        <v>94.884600000000006</v>
      </c>
      <c r="AG385" s="4">
        <f t="shared" si="29"/>
        <v>95.146090000000001</v>
      </c>
    </row>
    <row r="386" spans="2:33" x14ac:dyDescent="0.15">
      <c r="B386" s="22">
        <v>200.10986</v>
      </c>
      <c r="C386">
        <v>191</v>
      </c>
      <c r="D386" s="4">
        <v>99.121560000000002</v>
      </c>
      <c r="E386" s="4">
        <f t="shared" si="25"/>
        <v>100.248</v>
      </c>
      <c r="I386" s="22">
        <v>225.00505999999999</v>
      </c>
      <c r="J386">
        <v>191</v>
      </c>
      <c r="K386" s="4">
        <v>91.304310000000001</v>
      </c>
      <c r="L386" s="4">
        <f t="shared" si="26"/>
        <v>94.891379999999998</v>
      </c>
      <c r="P386" s="24">
        <v>225.01840999999999</v>
      </c>
      <c r="Q386">
        <v>191</v>
      </c>
      <c r="R386" s="19">
        <v>98.366190000000003</v>
      </c>
      <c r="S386" s="4">
        <f t="shared" si="27"/>
        <v>98.29037000000001</v>
      </c>
      <c r="W386" s="22">
        <v>250.00400999999999</v>
      </c>
      <c r="X386">
        <v>191</v>
      </c>
      <c r="Y386" s="23">
        <v>86.188469999999995</v>
      </c>
      <c r="Z386" s="4">
        <f t="shared" si="28"/>
        <v>91.629300000000001</v>
      </c>
      <c r="AD386" s="24">
        <v>250.01752999999999</v>
      </c>
      <c r="AE386">
        <v>191</v>
      </c>
      <c r="AF386" s="25">
        <v>94.854780000000005</v>
      </c>
      <c r="AG386" s="4">
        <f t="shared" si="29"/>
        <v>95.11627</v>
      </c>
    </row>
    <row r="387" spans="2:33" x14ac:dyDescent="0.15">
      <c r="B387" s="22">
        <v>200.07953000000001</v>
      </c>
      <c r="C387">
        <v>191.5</v>
      </c>
      <c r="D387" s="23">
        <v>99.212140000000005</v>
      </c>
      <c r="E387" s="4">
        <f t="shared" si="25"/>
        <v>100.33858000000001</v>
      </c>
      <c r="I387" s="22">
        <v>225.00715</v>
      </c>
      <c r="J387">
        <v>191.5</v>
      </c>
      <c r="K387" s="23">
        <v>91.273399999999995</v>
      </c>
      <c r="L387" s="4">
        <f t="shared" si="26"/>
        <v>94.860469999999992</v>
      </c>
      <c r="P387" s="24">
        <v>225.01763</v>
      </c>
      <c r="Q387">
        <v>191.5</v>
      </c>
      <c r="R387" s="25">
        <v>98.407309999999995</v>
      </c>
      <c r="S387" s="4">
        <f t="shared" si="27"/>
        <v>98.331490000000002</v>
      </c>
      <c r="W387" s="22">
        <v>250.00200000000001</v>
      </c>
      <c r="X387">
        <v>191.5</v>
      </c>
      <c r="Y387" s="4">
        <v>86.178629999999998</v>
      </c>
      <c r="Z387" s="4">
        <f t="shared" si="28"/>
        <v>91.619460000000004</v>
      </c>
      <c r="AD387" s="24">
        <v>250.01439999999999</v>
      </c>
      <c r="AE387">
        <v>191.5</v>
      </c>
      <c r="AF387" s="19">
        <v>94.865499999999997</v>
      </c>
      <c r="AG387" s="4">
        <f t="shared" si="29"/>
        <v>95.126989999999992</v>
      </c>
    </row>
    <row r="388" spans="2:33" x14ac:dyDescent="0.15">
      <c r="B388" s="22">
        <v>200.05383</v>
      </c>
      <c r="C388">
        <v>192</v>
      </c>
      <c r="D388" s="4">
        <v>99.206540000000004</v>
      </c>
      <c r="E388" s="4">
        <f t="shared" si="25"/>
        <v>100.33298000000001</v>
      </c>
      <c r="I388" s="22">
        <v>225.0061</v>
      </c>
      <c r="J388">
        <v>192</v>
      </c>
      <c r="K388" s="4">
        <v>91.256659999999997</v>
      </c>
      <c r="L388" s="4">
        <f t="shared" si="26"/>
        <v>94.843729999999994</v>
      </c>
      <c r="P388" s="24">
        <v>225.01560000000001</v>
      </c>
      <c r="Q388">
        <v>192</v>
      </c>
      <c r="R388" s="19">
        <v>98.393439999999998</v>
      </c>
      <c r="S388" s="4">
        <f t="shared" si="27"/>
        <v>98.317620000000005</v>
      </c>
      <c r="W388" s="22">
        <v>250</v>
      </c>
      <c r="X388">
        <v>192</v>
      </c>
      <c r="Y388" s="23">
        <v>86.171009999999995</v>
      </c>
      <c r="Z388" s="4">
        <f t="shared" si="28"/>
        <v>91.611840000000001</v>
      </c>
      <c r="AD388" s="24">
        <v>250.01155</v>
      </c>
      <c r="AE388">
        <v>192</v>
      </c>
      <c r="AF388" s="25">
        <v>94.770359999999997</v>
      </c>
      <c r="AG388" s="4">
        <f t="shared" si="29"/>
        <v>95.031849999999991</v>
      </c>
    </row>
    <row r="389" spans="2:33" x14ac:dyDescent="0.15">
      <c r="B389" s="22">
        <v>200.03898000000001</v>
      </c>
      <c r="C389">
        <v>192.5</v>
      </c>
      <c r="D389" s="23">
        <v>99.037229999999994</v>
      </c>
      <c r="E389" s="4">
        <f t="shared" ref="E389:E452" si="30">100-($D$4-D389)</f>
        <v>100.16367</v>
      </c>
      <c r="I389" s="22">
        <v>225.00712999999999</v>
      </c>
      <c r="J389">
        <v>192.5</v>
      </c>
      <c r="K389" s="23">
        <v>91.25564</v>
      </c>
      <c r="L389" s="4">
        <f t="shared" ref="L389:L452" si="31">100-($K$4-K389)</f>
        <v>94.842709999999997</v>
      </c>
      <c r="P389" s="24">
        <v>225.01649</v>
      </c>
      <c r="Q389">
        <v>192.5</v>
      </c>
      <c r="R389" s="25">
        <v>98.46857</v>
      </c>
      <c r="S389" s="4">
        <f t="shared" ref="S389:S452" si="32">100-($R$4-R389)</f>
        <v>98.392750000000007</v>
      </c>
      <c r="W389" s="22">
        <v>250.00203999999999</v>
      </c>
      <c r="X389">
        <v>192.5</v>
      </c>
      <c r="Y389" s="4">
        <v>86.144149999999996</v>
      </c>
      <c r="Z389" s="4">
        <f t="shared" ref="Z389:Z452" si="33">100-($Y$4-Y389)</f>
        <v>91.584980000000002</v>
      </c>
      <c r="AD389" s="24">
        <v>250.00934000000001</v>
      </c>
      <c r="AE389">
        <v>192.5</v>
      </c>
      <c r="AF389" s="19">
        <v>94.834800000000001</v>
      </c>
      <c r="AG389" s="4">
        <f t="shared" ref="AG389:AG452" si="34">100-($AF$4-AF389)</f>
        <v>95.096289999999996</v>
      </c>
    </row>
    <row r="390" spans="2:33" x14ac:dyDescent="0.15">
      <c r="B390" s="22">
        <v>200.0325</v>
      </c>
      <c r="C390">
        <v>193</v>
      </c>
      <c r="D390" s="4">
        <v>99.055090000000007</v>
      </c>
      <c r="E390" s="4">
        <f t="shared" si="30"/>
        <v>100.18153000000001</v>
      </c>
      <c r="I390" s="22">
        <v>225.00292999999999</v>
      </c>
      <c r="J390">
        <v>193</v>
      </c>
      <c r="K390" s="4">
        <v>91.231340000000003</v>
      </c>
      <c r="L390" s="4">
        <f t="shared" si="31"/>
        <v>94.81841</v>
      </c>
      <c r="P390" s="24">
        <v>225.01453000000001</v>
      </c>
      <c r="Q390">
        <v>193</v>
      </c>
      <c r="R390" s="19">
        <v>98.513530000000003</v>
      </c>
      <c r="S390" s="4">
        <f t="shared" si="32"/>
        <v>98.43771000000001</v>
      </c>
      <c r="W390" s="22">
        <v>250.00306</v>
      </c>
      <c r="X390">
        <v>193</v>
      </c>
      <c r="Y390" s="23">
        <v>86.11354</v>
      </c>
      <c r="Z390" s="4">
        <f t="shared" si="33"/>
        <v>91.554370000000006</v>
      </c>
      <c r="AD390" s="24">
        <v>250.01115999999999</v>
      </c>
      <c r="AE390">
        <v>193</v>
      </c>
      <c r="AF390" s="25">
        <v>94.799949999999995</v>
      </c>
      <c r="AG390" s="4">
        <f t="shared" si="34"/>
        <v>95.06143999999999</v>
      </c>
    </row>
    <row r="391" spans="2:33" x14ac:dyDescent="0.15">
      <c r="B391" s="22">
        <v>200.03037</v>
      </c>
      <c r="C391">
        <v>193.5</v>
      </c>
      <c r="D391" s="23">
        <v>99.108009999999993</v>
      </c>
      <c r="E391" s="4">
        <f t="shared" si="30"/>
        <v>100.23445</v>
      </c>
      <c r="I391" s="22">
        <v>225.00196</v>
      </c>
      <c r="J391">
        <v>193.5</v>
      </c>
      <c r="K391" s="23">
        <v>91.2089</v>
      </c>
      <c r="L391" s="4">
        <f t="shared" si="31"/>
        <v>94.795969999999997</v>
      </c>
      <c r="P391" s="24">
        <v>225.01634000000001</v>
      </c>
      <c r="Q391">
        <v>193.5</v>
      </c>
      <c r="R391" s="25">
        <v>98.474260000000001</v>
      </c>
      <c r="S391" s="4">
        <f t="shared" si="32"/>
        <v>98.398440000000008</v>
      </c>
      <c r="W391" s="22">
        <v>250.00701000000001</v>
      </c>
      <c r="X391">
        <v>193.5</v>
      </c>
      <c r="Y391" s="4">
        <v>86.092510000000004</v>
      </c>
      <c r="Z391" s="4">
        <f t="shared" si="33"/>
        <v>91.53334000000001</v>
      </c>
      <c r="AD391" s="24">
        <v>250.01670999999999</v>
      </c>
      <c r="AE391">
        <v>193.5</v>
      </c>
      <c r="AF391" s="19">
        <v>94.778620000000004</v>
      </c>
      <c r="AG391" s="4">
        <f t="shared" si="34"/>
        <v>95.040109999999999</v>
      </c>
    </row>
    <row r="392" spans="2:33" x14ac:dyDescent="0.15">
      <c r="B392" s="22">
        <v>200.02545000000001</v>
      </c>
      <c r="C392">
        <v>194</v>
      </c>
      <c r="D392" s="4">
        <v>99.114729999999994</v>
      </c>
      <c r="E392" s="4">
        <f t="shared" si="30"/>
        <v>100.24117</v>
      </c>
      <c r="I392" s="22">
        <v>225.00399999999999</v>
      </c>
      <c r="J392">
        <v>194</v>
      </c>
      <c r="K392" s="4">
        <v>91.236400000000003</v>
      </c>
      <c r="L392" s="4">
        <f t="shared" si="31"/>
        <v>94.82347</v>
      </c>
      <c r="P392" s="24">
        <v>225.01702</v>
      </c>
      <c r="Q392">
        <v>194</v>
      </c>
      <c r="R392" s="19">
        <v>98.478319999999997</v>
      </c>
      <c r="S392" s="4">
        <f t="shared" si="32"/>
        <v>98.402500000000003</v>
      </c>
      <c r="W392" s="22">
        <v>250.01302000000001</v>
      </c>
      <c r="X392">
        <v>194</v>
      </c>
      <c r="Y392" s="23">
        <v>86.102230000000006</v>
      </c>
      <c r="Z392" s="4">
        <f t="shared" si="33"/>
        <v>91.543060000000011</v>
      </c>
      <c r="AD392" s="24">
        <v>250.02014</v>
      </c>
      <c r="AE392">
        <v>194</v>
      </c>
      <c r="AF392" s="25">
        <v>94.885339999999999</v>
      </c>
      <c r="AG392" s="4">
        <f t="shared" si="34"/>
        <v>95.146829999999994</v>
      </c>
    </row>
    <row r="393" spans="2:33" x14ac:dyDescent="0.15">
      <c r="B393" s="22">
        <v>200.0188</v>
      </c>
      <c r="C393">
        <v>194.5</v>
      </c>
      <c r="D393" s="23">
        <v>99.239869999999996</v>
      </c>
      <c r="E393" s="4">
        <f t="shared" si="30"/>
        <v>100.36631</v>
      </c>
      <c r="I393" s="22">
        <v>225.01000999999999</v>
      </c>
      <c r="J393">
        <v>194.5</v>
      </c>
      <c r="K393" s="23">
        <v>91.18441</v>
      </c>
      <c r="L393" s="4">
        <f t="shared" si="31"/>
        <v>94.771479999999997</v>
      </c>
      <c r="P393" s="24">
        <v>225.01918000000001</v>
      </c>
      <c r="Q393">
        <v>194.5</v>
      </c>
      <c r="R393" s="25">
        <v>98.285619999999994</v>
      </c>
      <c r="S393" s="4">
        <f t="shared" si="32"/>
        <v>98.209800000000001</v>
      </c>
      <c r="W393" s="22">
        <v>250.01201</v>
      </c>
      <c r="X393">
        <v>194.5</v>
      </c>
      <c r="Y393" s="4">
        <v>86.08887</v>
      </c>
      <c r="Z393" s="4">
        <f t="shared" si="33"/>
        <v>91.529700000000005</v>
      </c>
      <c r="AD393" s="24">
        <v>250.01884000000001</v>
      </c>
      <c r="AE393">
        <v>194.5</v>
      </c>
      <c r="AF393" s="19">
        <v>94.738820000000004</v>
      </c>
      <c r="AG393" s="4">
        <f t="shared" si="34"/>
        <v>95.000309999999999</v>
      </c>
    </row>
    <row r="394" spans="2:33" x14ac:dyDescent="0.15">
      <c r="B394" s="22">
        <v>200.00413</v>
      </c>
      <c r="C394">
        <v>195</v>
      </c>
      <c r="D394" s="4">
        <v>99.286869999999993</v>
      </c>
      <c r="E394" s="4">
        <f t="shared" si="30"/>
        <v>100.41331</v>
      </c>
      <c r="I394" s="22">
        <v>225.00709000000001</v>
      </c>
      <c r="J394">
        <v>195</v>
      </c>
      <c r="K394" s="4">
        <v>91.18759</v>
      </c>
      <c r="L394" s="4">
        <f t="shared" si="31"/>
        <v>94.774659999999997</v>
      </c>
      <c r="P394" s="24">
        <v>225.01828</v>
      </c>
      <c r="Q394">
        <v>195</v>
      </c>
      <c r="R394" s="19">
        <v>98.470029999999994</v>
      </c>
      <c r="S394" s="4">
        <f t="shared" si="32"/>
        <v>98.394210000000001</v>
      </c>
      <c r="W394" s="22">
        <v>250.00203999999999</v>
      </c>
      <c r="X394">
        <v>195</v>
      </c>
      <c r="Y394" s="23">
        <v>86.052369999999996</v>
      </c>
      <c r="Z394" s="4">
        <f t="shared" si="33"/>
        <v>91.493200000000002</v>
      </c>
      <c r="AD394" s="24">
        <v>250.01705999999999</v>
      </c>
      <c r="AE394">
        <v>195</v>
      </c>
      <c r="AF394" s="25">
        <v>94.811179999999993</v>
      </c>
      <c r="AG394" s="4">
        <f t="shared" si="34"/>
        <v>95.072669999999988</v>
      </c>
    </row>
    <row r="395" spans="2:33" x14ac:dyDescent="0.15">
      <c r="B395" s="22">
        <v>199.98488</v>
      </c>
      <c r="C395">
        <v>195.5</v>
      </c>
      <c r="D395" s="23">
        <v>99.219949999999997</v>
      </c>
      <c r="E395" s="4">
        <f t="shared" si="30"/>
        <v>100.34639</v>
      </c>
      <c r="I395" s="22">
        <v>225.00896</v>
      </c>
      <c r="J395">
        <v>195.5</v>
      </c>
      <c r="K395" s="23">
        <v>91.170820000000006</v>
      </c>
      <c r="L395" s="4">
        <f t="shared" si="31"/>
        <v>94.757890000000003</v>
      </c>
      <c r="P395" s="24">
        <v>225.01636999999999</v>
      </c>
      <c r="Q395">
        <v>195.5</v>
      </c>
      <c r="R395" s="25">
        <v>98.437430000000006</v>
      </c>
      <c r="S395" s="4">
        <f t="shared" si="32"/>
        <v>98.361610000000013</v>
      </c>
      <c r="W395" s="22">
        <v>250.00900999999999</v>
      </c>
      <c r="X395">
        <v>195.5</v>
      </c>
      <c r="Y395" s="4">
        <v>86.040840000000003</v>
      </c>
      <c r="Z395" s="4">
        <f t="shared" si="33"/>
        <v>91.481670000000008</v>
      </c>
      <c r="AD395" s="24">
        <v>250.01689999999999</v>
      </c>
      <c r="AE395">
        <v>195.5</v>
      </c>
      <c r="AF395" s="19">
        <v>94.831000000000003</v>
      </c>
      <c r="AG395" s="4">
        <f t="shared" si="34"/>
        <v>95.092489999999998</v>
      </c>
    </row>
    <row r="396" spans="2:33" x14ac:dyDescent="0.15">
      <c r="B396" s="22">
        <v>199.97645</v>
      </c>
      <c r="C396">
        <v>196</v>
      </c>
      <c r="D396" s="4">
        <v>99.191479999999999</v>
      </c>
      <c r="E396" s="4">
        <f t="shared" si="30"/>
        <v>100.31792</v>
      </c>
      <c r="I396" s="22">
        <v>225.00792999999999</v>
      </c>
      <c r="J396">
        <v>196</v>
      </c>
      <c r="K396" s="4">
        <v>91.180059999999997</v>
      </c>
      <c r="L396" s="4">
        <f t="shared" si="31"/>
        <v>94.767129999999995</v>
      </c>
      <c r="P396" s="24">
        <v>225.01861</v>
      </c>
      <c r="Q396">
        <v>196</v>
      </c>
      <c r="R396" s="19">
        <v>98.555719999999994</v>
      </c>
      <c r="S396" s="4">
        <f t="shared" si="32"/>
        <v>98.479900000000001</v>
      </c>
      <c r="W396" s="22">
        <v>250.00596999999999</v>
      </c>
      <c r="X396">
        <v>196</v>
      </c>
      <c r="Y396" s="23">
        <v>86.002420000000001</v>
      </c>
      <c r="Z396" s="4">
        <f t="shared" si="33"/>
        <v>91.443250000000006</v>
      </c>
      <c r="AD396" s="24">
        <v>250.01543000000001</v>
      </c>
      <c r="AE396">
        <v>196</v>
      </c>
      <c r="AF396" s="25">
        <v>94.721829999999997</v>
      </c>
      <c r="AG396" s="4">
        <f t="shared" si="34"/>
        <v>94.983319999999992</v>
      </c>
    </row>
    <row r="397" spans="2:33" x14ac:dyDescent="0.15">
      <c r="B397" s="22">
        <v>199.98246</v>
      </c>
      <c r="C397">
        <v>196.5</v>
      </c>
      <c r="D397" s="23">
        <v>99.18065</v>
      </c>
      <c r="E397" s="4">
        <f t="shared" si="30"/>
        <v>100.30709</v>
      </c>
      <c r="I397" s="22">
        <v>225.00303</v>
      </c>
      <c r="J397">
        <v>196.5</v>
      </c>
      <c r="K397" s="23">
        <v>91.152649999999994</v>
      </c>
      <c r="L397" s="4">
        <f t="shared" si="31"/>
        <v>94.739719999999991</v>
      </c>
      <c r="P397" s="24">
        <v>225.01844</v>
      </c>
      <c r="Q397">
        <v>196.5</v>
      </c>
      <c r="R397" s="25">
        <v>98.437780000000004</v>
      </c>
      <c r="S397" s="4">
        <f t="shared" si="32"/>
        <v>98.36196000000001</v>
      </c>
      <c r="W397" s="22">
        <v>250.006</v>
      </c>
      <c r="X397">
        <v>196.5</v>
      </c>
      <c r="Y397" s="4">
        <v>85.996570000000006</v>
      </c>
      <c r="Z397" s="4">
        <f t="shared" si="33"/>
        <v>91.437400000000011</v>
      </c>
      <c r="AD397" s="24">
        <v>250.01514</v>
      </c>
      <c r="AE397">
        <v>196.5</v>
      </c>
      <c r="AF397" s="19">
        <v>94.755849999999995</v>
      </c>
      <c r="AG397" s="4">
        <f t="shared" si="34"/>
        <v>95.01733999999999</v>
      </c>
    </row>
    <row r="398" spans="2:33" x14ac:dyDescent="0.15">
      <c r="B398" s="22">
        <v>199.99106</v>
      </c>
      <c r="C398">
        <v>197</v>
      </c>
      <c r="D398" s="4">
        <v>99.156239999999997</v>
      </c>
      <c r="E398" s="4">
        <f t="shared" si="30"/>
        <v>100.28268</v>
      </c>
      <c r="I398" s="22">
        <v>225.00614999999999</v>
      </c>
      <c r="J398">
        <v>197</v>
      </c>
      <c r="K398" s="4">
        <v>91.125550000000004</v>
      </c>
      <c r="L398" s="4">
        <f t="shared" si="31"/>
        <v>94.712620000000001</v>
      </c>
      <c r="P398" s="24">
        <v>225.01604</v>
      </c>
      <c r="Q398">
        <v>197</v>
      </c>
      <c r="R398" s="19">
        <v>98.473479999999995</v>
      </c>
      <c r="S398" s="4">
        <f t="shared" si="32"/>
        <v>98.397660000000002</v>
      </c>
      <c r="W398" s="22">
        <v>250.00301999999999</v>
      </c>
      <c r="X398">
        <v>197</v>
      </c>
      <c r="Y398" s="23">
        <v>85.975620000000006</v>
      </c>
      <c r="Z398" s="4">
        <f t="shared" si="33"/>
        <v>91.416450000000012</v>
      </c>
      <c r="AD398" s="24">
        <v>250.01455000000001</v>
      </c>
      <c r="AE398">
        <v>197</v>
      </c>
      <c r="AF398" s="25">
        <v>94.618290000000002</v>
      </c>
      <c r="AG398" s="4">
        <f t="shared" si="34"/>
        <v>94.879779999999997</v>
      </c>
    </row>
    <row r="399" spans="2:33" x14ac:dyDescent="0.15">
      <c r="B399" s="22">
        <v>200.00211999999999</v>
      </c>
      <c r="C399">
        <v>197.5</v>
      </c>
      <c r="D399" s="23">
        <v>99.176249999999996</v>
      </c>
      <c r="E399" s="4">
        <f t="shared" si="30"/>
        <v>100.30269</v>
      </c>
      <c r="I399" s="22">
        <v>225.00491</v>
      </c>
      <c r="J399">
        <v>197.5</v>
      </c>
      <c r="K399" s="23">
        <v>91.134950000000003</v>
      </c>
      <c r="L399" s="4">
        <f t="shared" si="31"/>
        <v>94.722020000000001</v>
      </c>
      <c r="P399" s="24">
        <v>225.01974999999999</v>
      </c>
      <c r="Q399">
        <v>197.5</v>
      </c>
      <c r="R399" s="25">
        <v>98.317639999999997</v>
      </c>
      <c r="S399" s="4">
        <f t="shared" si="32"/>
        <v>98.241820000000004</v>
      </c>
      <c r="W399" s="22">
        <v>250.00398999999999</v>
      </c>
      <c r="X399">
        <v>197.5</v>
      </c>
      <c r="Y399" s="4">
        <v>85.942920000000001</v>
      </c>
      <c r="Z399" s="4">
        <f t="shared" si="33"/>
        <v>91.383750000000006</v>
      </c>
      <c r="AD399" s="24">
        <v>250.01678000000001</v>
      </c>
      <c r="AE399">
        <v>197.5</v>
      </c>
      <c r="AF399" s="19">
        <v>94.737830000000002</v>
      </c>
      <c r="AG399" s="4">
        <f t="shared" si="34"/>
        <v>94.999319999999997</v>
      </c>
    </row>
    <row r="400" spans="2:33" x14ac:dyDescent="0.15">
      <c r="B400" s="22">
        <v>200.00828000000001</v>
      </c>
      <c r="C400">
        <v>198</v>
      </c>
      <c r="D400" s="4">
        <v>99.14161</v>
      </c>
      <c r="E400" s="4">
        <f t="shared" si="30"/>
        <v>100.26805</v>
      </c>
      <c r="I400" s="22">
        <v>225.00603000000001</v>
      </c>
      <c r="J400">
        <v>198</v>
      </c>
      <c r="K400" s="4">
        <v>91.098479999999995</v>
      </c>
      <c r="L400" s="4">
        <f t="shared" si="31"/>
        <v>94.685549999999992</v>
      </c>
      <c r="P400" s="24">
        <v>225.02107000000001</v>
      </c>
      <c r="Q400">
        <v>198</v>
      </c>
      <c r="R400" s="19">
        <v>98.376660000000001</v>
      </c>
      <c r="S400" s="4">
        <f t="shared" si="32"/>
        <v>98.300840000000008</v>
      </c>
      <c r="W400" s="22">
        <v>250.005</v>
      </c>
      <c r="X400">
        <v>198</v>
      </c>
      <c r="Y400" s="23">
        <v>85.941090000000003</v>
      </c>
      <c r="Z400" s="4">
        <f t="shared" si="33"/>
        <v>91.381920000000008</v>
      </c>
      <c r="AD400" s="24">
        <v>250.01938999999999</v>
      </c>
      <c r="AE400">
        <v>198</v>
      </c>
      <c r="AF400" s="25">
        <v>94.650189999999995</v>
      </c>
      <c r="AG400" s="4">
        <f t="shared" si="34"/>
        <v>94.91167999999999</v>
      </c>
    </row>
    <row r="401" spans="2:33" x14ac:dyDescent="0.15">
      <c r="B401" s="22">
        <v>200.00792999999999</v>
      </c>
      <c r="C401">
        <v>198.5</v>
      </c>
      <c r="D401" s="23">
        <v>99.269900000000007</v>
      </c>
      <c r="E401" s="4">
        <f t="shared" si="30"/>
        <v>100.39634000000001</v>
      </c>
      <c r="I401" s="22">
        <v>225.01096999999999</v>
      </c>
      <c r="J401">
        <v>198.5</v>
      </c>
      <c r="K401" s="23">
        <v>91.10342</v>
      </c>
      <c r="L401" s="4">
        <f t="shared" si="31"/>
        <v>94.690489999999997</v>
      </c>
      <c r="P401" s="24">
        <v>225.01813000000001</v>
      </c>
      <c r="Q401">
        <v>198.5</v>
      </c>
      <c r="R401" s="25">
        <v>98.449460000000002</v>
      </c>
      <c r="S401" s="4">
        <f t="shared" si="32"/>
        <v>98.373640000000009</v>
      </c>
      <c r="W401" s="22">
        <v>250.00397000000001</v>
      </c>
      <c r="X401">
        <v>198.5</v>
      </c>
      <c r="Y401" s="4">
        <v>85.927779999999998</v>
      </c>
      <c r="Z401" s="4">
        <f t="shared" si="33"/>
        <v>91.368610000000004</v>
      </c>
      <c r="AD401" s="24">
        <v>250.01732000000001</v>
      </c>
      <c r="AE401">
        <v>198.5</v>
      </c>
      <c r="AF401" s="19">
        <v>94.656679999999994</v>
      </c>
      <c r="AG401" s="4">
        <f t="shared" si="34"/>
        <v>94.918169999999989</v>
      </c>
    </row>
    <row r="402" spans="2:33" x14ac:dyDescent="0.15">
      <c r="B402" s="22">
        <v>200.00837000000001</v>
      </c>
      <c r="C402">
        <v>199</v>
      </c>
      <c r="D402" s="4">
        <v>99.095619999999997</v>
      </c>
      <c r="E402" s="4">
        <f t="shared" si="30"/>
        <v>100.22206</v>
      </c>
      <c r="I402" s="22">
        <v>225.00505999999999</v>
      </c>
      <c r="J402">
        <v>199</v>
      </c>
      <c r="K402" s="4">
        <v>91.110820000000004</v>
      </c>
      <c r="L402" s="4">
        <f t="shared" si="31"/>
        <v>94.697890000000001</v>
      </c>
      <c r="P402" s="24">
        <v>225.01399000000001</v>
      </c>
      <c r="Q402">
        <v>199</v>
      </c>
      <c r="R402" s="19">
        <v>98.384169999999997</v>
      </c>
      <c r="S402" s="4">
        <f t="shared" si="32"/>
        <v>98.308350000000004</v>
      </c>
      <c r="W402" s="22">
        <v>250.00396000000001</v>
      </c>
      <c r="X402">
        <v>199</v>
      </c>
      <c r="Y402" s="23">
        <v>85.927719999999994</v>
      </c>
      <c r="Z402" s="4">
        <f t="shared" si="33"/>
        <v>91.368549999999999</v>
      </c>
      <c r="AD402" s="24">
        <v>250.01725999999999</v>
      </c>
      <c r="AE402">
        <v>199</v>
      </c>
      <c r="AF402" s="25">
        <v>94.789159999999995</v>
      </c>
      <c r="AG402" s="4">
        <f t="shared" si="34"/>
        <v>95.05064999999999</v>
      </c>
    </row>
    <row r="403" spans="2:33" x14ac:dyDescent="0.15">
      <c r="B403" s="22">
        <v>200.00191000000001</v>
      </c>
      <c r="C403">
        <v>199.5</v>
      </c>
      <c r="D403" s="23">
        <v>99.086500000000001</v>
      </c>
      <c r="E403" s="4">
        <f t="shared" si="30"/>
        <v>100.21294</v>
      </c>
      <c r="I403" s="22">
        <v>225.00596999999999</v>
      </c>
      <c r="J403">
        <v>199.5</v>
      </c>
      <c r="K403" s="23">
        <v>91.093860000000006</v>
      </c>
      <c r="L403" s="4">
        <f t="shared" si="31"/>
        <v>94.680930000000004</v>
      </c>
      <c r="P403" s="24">
        <v>225.01472999999999</v>
      </c>
      <c r="Q403">
        <v>199.5</v>
      </c>
      <c r="R403" s="25">
        <v>98.396079999999998</v>
      </c>
      <c r="S403" s="4">
        <f t="shared" si="32"/>
        <v>98.320260000000005</v>
      </c>
      <c r="W403" s="22">
        <v>250.00798</v>
      </c>
      <c r="X403">
        <v>199.5</v>
      </c>
      <c r="Y403" s="4">
        <v>85.904589999999999</v>
      </c>
      <c r="Z403" s="4">
        <f t="shared" si="33"/>
        <v>91.345420000000004</v>
      </c>
      <c r="AD403" s="24">
        <v>250.0181</v>
      </c>
      <c r="AE403">
        <v>199.5</v>
      </c>
      <c r="AF403" s="19">
        <v>94.698409999999996</v>
      </c>
      <c r="AG403" s="4">
        <f t="shared" si="34"/>
        <v>94.95989999999999</v>
      </c>
    </row>
    <row r="404" spans="2:33" x14ac:dyDescent="0.15">
      <c r="B404" s="22">
        <v>199.98824999999999</v>
      </c>
      <c r="C404">
        <v>200</v>
      </c>
      <c r="D404" s="4">
        <v>99.254530000000003</v>
      </c>
      <c r="E404" s="4">
        <f t="shared" si="30"/>
        <v>100.38097</v>
      </c>
      <c r="I404" s="22">
        <v>225.00797</v>
      </c>
      <c r="J404">
        <v>200</v>
      </c>
      <c r="K404" s="4">
        <v>91.084999999999994</v>
      </c>
      <c r="L404" s="4">
        <f t="shared" si="31"/>
        <v>94.672069999999991</v>
      </c>
      <c r="P404" s="24">
        <v>225.01768999999999</v>
      </c>
      <c r="Q404">
        <v>200</v>
      </c>
      <c r="R404" s="19">
        <v>98.407439999999994</v>
      </c>
      <c r="S404" s="4">
        <f t="shared" si="32"/>
        <v>98.331620000000001</v>
      </c>
      <c r="W404" s="22">
        <v>250.01197999999999</v>
      </c>
      <c r="X404">
        <v>200</v>
      </c>
      <c r="Y404" s="23">
        <v>85.883439999999993</v>
      </c>
      <c r="Z404" s="4">
        <f t="shared" si="33"/>
        <v>91.324269999999999</v>
      </c>
      <c r="AD404" s="24">
        <v>250.02117999999999</v>
      </c>
      <c r="AE404">
        <v>200</v>
      </c>
      <c r="AF404" s="25">
        <v>94.726730000000003</v>
      </c>
      <c r="AG404" s="4">
        <f t="shared" si="34"/>
        <v>94.988219999999998</v>
      </c>
    </row>
    <row r="405" spans="2:33" x14ac:dyDescent="0.15">
      <c r="B405" s="22">
        <v>199.98407</v>
      </c>
      <c r="C405">
        <v>200.5</v>
      </c>
      <c r="D405" s="23">
        <v>99.210369999999998</v>
      </c>
      <c r="E405" s="4">
        <f t="shared" si="30"/>
        <v>100.33681</v>
      </c>
      <c r="I405" s="22">
        <v>225.00615999999999</v>
      </c>
      <c r="J405">
        <v>200.5</v>
      </c>
      <c r="K405" s="23">
        <v>91.072069999999997</v>
      </c>
      <c r="L405" s="4">
        <f t="shared" si="31"/>
        <v>94.659139999999994</v>
      </c>
      <c r="P405" s="24">
        <v>225.02067</v>
      </c>
      <c r="Q405">
        <v>200.5</v>
      </c>
      <c r="R405" s="25">
        <v>98.285560000000004</v>
      </c>
      <c r="S405" s="4">
        <f t="shared" si="32"/>
        <v>98.209740000000011</v>
      </c>
      <c r="W405" s="22">
        <v>250.01203000000001</v>
      </c>
      <c r="X405">
        <v>200.5</v>
      </c>
      <c r="Y405" s="4">
        <v>85.864400000000003</v>
      </c>
      <c r="Z405" s="4">
        <f t="shared" si="33"/>
        <v>91.305230000000009</v>
      </c>
      <c r="AD405" s="24">
        <v>250.0224</v>
      </c>
      <c r="AE405">
        <v>200.5</v>
      </c>
      <c r="AF405" s="19">
        <v>94.692880000000002</v>
      </c>
      <c r="AG405" s="4">
        <f t="shared" si="34"/>
        <v>94.954369999999997</v>
      </c>
    </row>
    <row r="406" spans="2:33" x14ac:dyDescent="0.15">
      <c r="B406" s="22">
        <v>199.99831</v>
      </c>
      <c r="C406">
        <v>201</v>
      </c>
      <c r="D406" s="4">
        <v>99.176469999999995</v>
      </c>
      <c r="E406" s="4">
        <f t="shared" si="30"/>
        <v>100.30291</v>
      </c>
      <c r="I406" s="22">
        <v>225.00412</v>
      </c>
      <c r="J406">
        <v>201</v>
      </c>
      <c r="K406" s="4">
        <v>91.040369999999996</v>
      </c>
      <c r="L406" s="4">
        <f t="shared" si="31"/>
        <v>94.627439999999993</v>
      </c>
      <c r="P406" s="24">
        <v>225.01729</v>
      </c>
      <c r="Q406">
        <v>201</v>
      </c>
      <c r="R406" s="19">
        <v>98.336470000000006</v>
      </c>
      <c r="S406" s="4">
        <f t="shared" si="32"/>
        <v>98.260650000000012</v>
      </c>
      <c r="W406" s="22">
        <v>250.00800000000001</v>
      </c>
      <c r="X406">
        <v>201</v>
      </c>
      <c r="Y406" s="23">
        <v>85.845230000000001</v>
      </c>
      <c r="Z406" s="4">
        <f t="shared" si="33"/>
        <v>91.286060000000006</v>
      </c>
      <c r="AD406" s="24">
        <v>250.02489</v>
      </c>
      <c r="AE406">
        <v>201</v>
      </c>
      <c r="AF406" s="25">
        <v>94.69605</v>
      </c>
      <c r="AG406" s="4">
        <f t="shared" si="34"/>
        <v>94.957539999999995</v>
      </c>
    </row>
    <row r="407" spans="2:33" x14ac:dyDescent="0.15">
      <c r="B407" s="22">
        <v>200.03854000000001</v>
      </c>
      <c r="C407">
        <v>201.5</v>
      </c>
      <c r="D407" s="23">
        <v>99.263109999999998</v>
      </c>
      <c r="E407" s="4">
        <f t="shared" si="30"/>
        <v>100.38955</v>
      </c>
      <c r="I407" s="22">
        <v>225.00599</v>
      </c>
      <c r="J407">
        <v>201.5</v>
      </c>
      <c r="K407" s="23">
        <v>91.068740000000005</v>
      </c>
      <c r="L407" s="4">
        <f t="shared" si="31"/>
        <v>94.655810000000002</v>
      </c>
      <c r="P407" s="24">
        <v>225.0163</v>
      </c>
      <c r="Q407">
        <v>201.5</v>
      </c>
      <c r="R407" s="25">
        <v>98.342280000000002</v>
      </c>
      <c r="S407" s="4">
        <f t="shared" si="32"/>
        <v>98.266460000000009</v>
      </c>
      <c r="W407" s="22">
        <v>250.00900999999999</v>
      </c>
      <c r="X407">
        <v>201.5</v>
      </c>
      <c r="Y407" s="4">
        <v>85.826120000000003</v>
      </c>
      <c r="Z407" s="4">
        <f t="shared" si="33"/>
        <v>91.266950000000008</v>
      </c>
      <c r="AD407" s="24">
        <v>250.02589</v>
      </c>
      <c r="AE407">
        <v>201.5</v>
      </c>
      <c r="AF407" s="19">
        <v>94.661910000000006</v>
      </c>
      <c r="AG407" s="4">
        <f t="shared" si="34"/>
        <v>94.923400000000001</v>
      </c>
    </row>
    <row r="408" spans="2:33" x14ac:dyDescent="0.15">
      <c r="B408" s="22">
        <v>200.09404000000001</v>
      </c>
      <c r="C408">
        <v>202</v>
      </c>
      <c r="D408" s="4">
        <v>99.116829999999993</v>
      </c>
      <c r="E408" s="4">
        <f t="shared" si="30"/>
        <v>100.24327</v>
      </c>
      <c r="I408" s="22">
        <v>225.00107</v>
      </c>
      <c r="J408">
        <v>202</v>
      </c>
      <c r="K408" s="4">
        <v>91.021960000000007</v>
      </c>
      <c r="L408" s="4">
        <f t="shared" si="31"/>
        <v>94.609030000000004</v>
      </c>
      <c r="P408" s="24">
        <v>225.01419000000001</v>
      </c>
      <c r="Q408">
        <v>202</v>
      </c>
      <c r="R408" s="19">
        <v>98.239450000000005</v>
      </c>
      <c r="S408" s="4">
        <f t="shared" si="32"/>
        <v>98.163630000000012</v>
      </c>
      <c r="W408" s="22">
        <v>250.00702000000001</v>
      </c>
      <c r="X408">
        <v>202</v>
      </c>
      <c r="Y408" s="23">
        <v>85.822249999999997</v>
      </c>
      <c r="Z408" s="4">
        <f t="shared" si="33"/>
        <v>91.263080000000002</v>
      </c>
      <c r="AD408" s="24">
        <v>250.02038999999999</v>
      </c>
      <c r="AE408">
        <v>202</v>
      </c>
      <c r="AF408" s="25">
        <v>94.514830000000003</v>
      </c>
      <c r="AG408" s="4">
        <f t="shared" si="34"/>
        <v>94.776319999999998</v>
      </c>
    </row>
    <row r="409" spans="2:33" x14ac:dyDescent="0.15">
      <c r="B409" s="22">
        <v>200.14049</v>
      </c>
      <c r="C409">
        <v>202.5</v>
      </c>
      <c r="D409" s="23">
        <v>99.213700000000003</v>
      </c>
      <c r="E409" s="4">
        <f t="shared" si="30"/>
        <v>100.34014000000001</v>
      </c>
      <c r="I409" s="22">
        <v>225.00807</v>
      </c>
      <c r="J409">
        <v>202.5</v>
      </c>
      <c r="K409" s="23">
        <v>91.026210000000006</v>
      </c>
      <c r="L409" s="4">
        <f t="shared" si="31"/>
        <v>94.613280000000003</v>
      </c>
      <c r="P409" s="24">
        <v>225.01293000000001</v>
      </c>
      <c r="Q409">
        <v>202.5</v>
      </c>
      <c r="R409" s="25">
        <v>98.398219999999995</v>
      </c>
      <c r="S409" s="4">
        <f t="shared" si="32"/>
        <v>98.322400000000002</v>
      </c>
      <c r="W409" s="22">
        <v>250.00895</v>
      </c>
      <c r="X409">
        <v>202.5</v>
      </c>
      <c r="Y409" s="4">
        <v>85.793350000000004</v>
      </c>
      <c r="Z409" s="4">
        <f t="shared" si="33"/>
        <v>91.234180000000009</v>
      </c>
      <c r="AD409" s="24">
        <v>250.01909000000001</v>
      </c>
      <c r="AE409">
        <v>202.5</v>
      </c>
      <c r="AF409" s="19">
        <v>94.612949999999998</v>
      </c>
      <c r="AG409" s="4">
        <f t="shared" si="34"/>
        <v>94.874439999999993</v>
      </c>
    </row>
    <row r="410" spans="2:33" x14ac:dyDescent="0.15">
      <c r="B410" s="22">
        <v>200.16217</v>
      </c>
      <c r="C410">
        <v>203</v>
      </c>
      <c r="D410" s="4">
        <v>99.286249999999995</v>
      </c>
      <c r="E410" s="4">
        <f t="shared" si="30"/>
        <v>100.41269</v>
      </c>
      <c r="I410" s="22">
        <v>225.00597999999999</v>
      </c>
      <c r="J410">
        <v>203</v>
      </c>
      <c r="K410" s="4">
        <v>91.021150000000006</v>
      </c>
      <c r="L410" s="4">
        <f t="shared" si="31"/>
        <v>94.608220000000003</v>
      </c>
      <c r="P410" s="24">
        <v>225.01291000000001</v>
      </c>
      <c r="Q410">
        <v>203</v>
      </c>
      <c r="R410" s="19">
        <v>98.307860000000005</v>
      </c>
      <c r="S410" s="4">
        <f t="shared" si="32"/>
        <v>98.232040000000012</v>
      </c>
      <c r="W410" s="22">
        <v>250.00798</v>
      </c>
      <c r="X410">
        <v>203</v>
      </c>
      <c r="Y410" s="23">
        <v>85.753190000000004</v>
      </c>
      <c r="Z410" s="4">
        <f t="shared" si="33"/>
        <v>91.194020000000009</v>
      </c>
      <c r="AD410" s="24">
        <v>250.01909000000001</v>
      </c>
      <c r="AE410">
        <v>203</v>
      </c>
      <c r="AF410" s="25">
        <v>94.740300000000005</v>
      </c>
      <c r="AG410" s="4">
        <f t="shared" si="34"/>
        <v>95.00179</v>
      </c>
    </row>
    <row r="411" spans="2:33" x14ac:dyDescent="0.15">
      <c r="B411" s="22">
        <v>200.15879000000001</v>
      </c>
      <c r="C411">
        <v>203.5</v>
      </c>
      <c r="D411" s="23">
        <v>99.072280000000006</v>
      </c>
      <c r="E411" s="4">
        <f t="shared" si="30"/>
        <v>100.19872000000001</v>
      </c>
      <c r="I411" s="22">
        <v>225.00712999999999</v>
      </c>
      <c r="J411">
        <v>203.5</v>
      </c>
      <c r="K411" s="23">
        <v>91.015550000000005</v>
      </c>
      <c r="L411" s="4">
        <f t="shared" si="31"/>
        <v>94.602620000000002</v>
      </c>
      <c r="P411" s="24">
        <v>225.01330999999999</v>
      </c>
      <c r="Q411">
        <v>203.5</v>
      </c>
      <c r="R411" s="25">
        <v>98.32884</v>
      </c>
      <c r="S411" s="4">
        <f t="shared" si="32"/>
        <v>98.253020000000006</v>
      </c>
      <c r="W411" s="22">
        <v>250.00203999999999</v>
      </c>
      <c r="X411">
        <v>203.5</v>
      </c>
      <c r="Y411" s="4">
        <v>85.735870000000006</v>
      </c>
      <c r="Z411" s="4">
        <f t="shared" si="33"/>
        <v>91.176700000000011</v>
      </c>
      <c r="AD411" s="24">
        <v>250.02090000000001</v>
      </c>
      <c r="AE411">
        <v>203.5</v>
      </c>
      <c r="AF411" s="19">
        <v>94.447819999999993</v>
      </c>
      <c r="AG411" s="4">
        <f t="shared" si="34"/>
        <v>94.709309999999988</v>
      </c>
    </row>
    <row r="412" spans="2:33" x14ac:dyDescent="0.15">
      <c r="B412" s="22">
        <v>200.13990999999999</v>
      </c>
      <c r="C412">
        <v>204</v>
      </c>
      <c r="D412" s="4">
        <v>99.239570000000001</v>
      </c>
      <c r="E412" s="4">
        <f t="shared" si="30"/>
        <v>100.36601</v>
      </c>
      <c r="I412" s="22">
        <v>225.00494</v>
      </c>
      <c r="J412">
        <v>204</v>
      </c>
      <c r="K412" s="4">
        <v>91.004940000000005</v>
      </c>
      <c r="L412" s="4">
        <f t="shared" si="31"/>
        <v>94.592010000000002</v>
      </c>
      <c r="P412" s="24">
        <v>225.01588000000001</v>
      </c>
      <c r="Q412">
        <v>204</v>
      </c>
      <c r="R412" s="19">
        <v>98.406710000000004</v>
      </c>
      <c r="S412" s="4">
        <f t="shared" si="32"/>
        <v>98.330890000000011</v>
      </c>
      <c r="W412" s="22">
        <v>250.00104999999999</v>
      </c>
      <c r="X412">
        <v>204</v>
      </c>
      <c r="Y412" s="23">
        <v>85.751220000000004</v>
      </c>
      <c r="Z412" s="4">
        <f t="shared" si="33"/>
        <v>91.192050000000009</v>
      </c>
      <c r="AD412" s="24">
        <v>250.02276000000001</v>
      </c>
      <c r="AE412">
        <v>204</v>
      </c>
      <c r="AF412" s="25">
        <v>94.598330000000004</v>
      </c>
      <c r="AG412" s="4">
        <f t="shared" si="34"/>
        <v>94.859819999999999</v>
      </c>
    </row>
    <row r="413" spans="2:33" x14ac:dyDescent="0.15">
      <c r="B413" s="22">
        <v>200.10503</v>
      </c>
      <c r="C413">
        <v>204.5</v>
      </c>
      <c r="D413" s="23">
        <v>99.15692</v>
      </c>
      <c r="E413" s="4">
        <f t="shared" si="30"/>
        <v>100.28336</v>
      </c>
      <c r="I413" s="22">
        <v>225.00108</v>
      </c>
      <c r="J413">
        <v>204.5</v>
      </c>
      <c r="K413" s="23">
        <v>90.999390000000005</v>
      </c>
      <c r="L413" s="4">
        <f t="shared" si="31"/>
        <v>94.586460000000002</v>
      </c>
      <c r="P413" s="24">
        <v>225.01772</v>
      </c>
      <c r="Q413">
        <v>204.5</v>
      </c>
      <c r="R413" s="25">
        <v>98.31465</v>
      </c>
      <c r="S413" s="4">
        <f t="shared" si="32"/>
        <v>98.238830000000007</v>
      </c>
      <c r="W413" s="22">
        <v>250.00002000000001</v>
      </c>
      <c r="X413">
        <v>204.5</v>
      </c>
      <c r="Y413" s="4">
        <v>85.720529999999997</v>
      </c>
      <c r="Z413" s="4">
        <f t="shared" si="33"/>
        <v>91.161360000000002</v>
      </c>
      <c r="AD413" s="24">
        <v>250.02484000000001</v>
      </c>
      <c r="AE413">
        <v>204.5</v>
      </c>
      <c r="AF413" s="19">
        <v>94.531130000000005</v>
      </c>
      <c r="AG413" s="4">
        <f t="shared" si="34"/>
        <v>94.792619999999999</v>
      </c>
    </row>
    <row r="414" spans="2:33" x14ac:dyDescent="0.15">
      <c r="B414" s="22">
        <v>200.07714999999999</v>
      </c>
      <c r="C414">
        <v>205</v>
      </c>
      <c r="D414" s="4">
        <v>99.186480000000003</v>
      </c>
      <c r="E414" s="4">
        <f t="shared" si="30"/>
        <v>100.31292000000001</v>
      </c>
      <c r="I414" s="22">
        <v>225.00390999999999</v>
      </c>
      <c r="J414">
        <v>205</v>
      </c>
      <c r="K414" s="4">
        <v>90.987350000000006</v>
      </c>
      <c r="L414" s="4">
        <f t="shared" si="31"/>
        <v>94.574420000000003</v>
      </c>
      <c r="P414" s="24">
        <v>225.0129</v>
      </c>
      <c r="Q414">
        <v>205</v>
      </c>
      <c r="R414" s="19">
        <v>98.268180000000001</v>
      </c>
      <c r="S414" s="4">
        <f t="shared" si="32"/>
        <v>98.192360000000008</v>
      </c>
      <c r="W414" s="22">
        <v>250.00497999999999</v>
      </c>
      <c r="X414">
        <v>205</v>
      </c>
      <c r="Y414" s="23">
        <v>85.695729999999998</v>
      </c>
      <c r="Z414" s="4">
        <f t="shared" si="33"/>
        <v>91.136560000000003</v>
      </c>
      <c r="AD414" s="24">
        <v>250.02205000000001</v>
      </c>
      <c r="AE414">
        <v>205</v>
      </c>
      <c r="AF414" s="25">
        <v>94.612960000000001</v>
      </c>
      <c r="AG414" s="4">
        <f t="shared" si="34"/>
        <v>94.874449999999996</v>
      </c>
    </row>
    <row r="415" spans="2:33" x14ac:dyDescent="0.15">
      <c r="B415" s="22">
        <v>200.05842000000001</v>
      </c>
      <c r="C415">
        <v>205.5</v>
      </c>
      <c r="D415" s="23">
        <v>99.160020000000003</v>
      </c>
      <c r="E415" s="4">
        <f t="shared" si="30"/>
        <v>100.28646000000001</v>
      </c>
      <c r="I415" s="22">
        <v>225.00583</v>
      </c>
      <c r="J415">
        <v>205.5</v>
      </c>
      <c r="K415" s="23">
        <v>90.948449999999994</v>
      </c>
      <c r="L415" s="4">
        <f t="shared" si="31"/>
        <v>94.535519999999991</v>
      </c>
      <c r="P415" s="24">
        <v>225.01485</v>
      </c>
      <c r="Q415">
        <v>205.5</v>
      </c>
      <c r="R415" s="25">
        <v>98.403390000000002</v>
      </c>
      <c r="S415" s="4">
        <f t="shared" si="32"/>
        <v>98.327570000000009</v>
      </c>
      <c r="W415" s="22">
        <v>250.00699</v>
      </c>
      <c r="X415">
        <v>205.5</v>
      </c>
      <c r="Y415" s="4">
        <v>85.682220000000001</v>
      </c>
      <c r="Z415" s="4">
        <f t="shared" si="33"/>
        <v>91.123050000000006</v>
      </c>
      <c r="AD415" s="24">
        <v>250.02205000000001</v>
      </c>
      <c r="AE415">
        <v>205.5</v>
      </c>
      <c r="AF415" s="19">
        <v>94.508859999999999</v>
      </c>
      <c r="AG415" s="4">
        <f t="shared" si="34"/>
        <v>94.770349999999993</v>
      </c>
    </row>
    <row r="416" spans="2:33" x14ac:dyDescent="0.15">
      <c r="B416" s="22">
        <v>200.04777999999999</v>
      </c>
      <c r="C416">
        <v>206</v>
      </c>
      <c r="D416" s="4">
        <v>99.115610000000004</v>
      </c>
      <c r="E416" s="4">
        <f t="shared" si="30"/>
        <v>100.24205000000001</v>
      </c>
      <c r="I416" s="22">
        <v>225.00209000000001</v>
      </c>
      <c r="J416">
        <v>206</v>
      </c>
      <c r="K416" s="4">
        <v>90.968689999999995</v>
      </c>
      <c r="L416" s="4">
        <f t="shared" si="31"/>
        <v>94.555759999999992</v>
      </c>
      <c r="P416" s="24">
        <v>225.01676</v>
      </c>
      <c r="Q416">
        <v>206</v>
      </c>
      <c r="R416" s="19">
        <v>98.348389999999995</v>
      </c>
      <c r="S416" s="4">
        <f t="shared" si="32"/>
        <v>98.272570000000002</v>
      </c>
      <c r="W416" s="22">
        <v>250.00399999999999</v>
      </c>
      <c r="X416">
        <v>206</v>
      </c>
      <c r="Y416" s="23">
        <v>85.651740000000004</v>
      </c>
      <c r="Z416" s="4">
        <f t="shared" si="33"/>
        <v>91.092570000000009</v>
      </c>
      <c r="AD416" s="24">
        <v>250.02198000000001</v>
      </c>
      <c r="AE416">
        <v>206</v>
      </c>
      <c r="AF416" s="25">
        <v>94.652429999999995</v>
      </c>
      <c r="AG416" s="4">
        <f t="shared" si="34"/>
        <v>94.91391999999999</v>
      </c>
    </row>
    <row r="417" spans="2:33" x14ac:dyDescent="0.15">
      <c r="B417" s="22">
        <v>200.03989000000001</v>
      </c>
      <c r="C417">
        <v>206.5</v>
      </c>
      <c r="D417" s="23">
        <v>99.159139999999994</v>
      </c>
      <c r="E417" s="4">
        <f t="shared" si="30"/>
        <v>100.28558</v>
      </c>
      <c r="I417" s="22">
        <v>225.00710000000001</v>
      </c>
      <c r="J417">
        <v>206.5</v>
      </c>
      <c r="K417" s="23">
        <v>90.930670000000006</v>
      </c>
      <c r="L417" s="4">
        <f t="shared" si="31"/>
        <v>94.517740000000003</v>
      </c>
      <c r="P417" s="24">
        <v>225.01644999999999</v>
      </c>
      <c r="Q417">
        <v>206.5</v>
      </c>
      <c r="R417" s="25">
        <v>98.359840000000005</v>
      </c>
      <c r="S417" s="4">
        <f t="shared" si="32"/>
        <v>98.284020000000012</v>
      </c>
      <c r="W417" s="22">
        <v>250.00498999999999</v>
      </c>
      <c r="X417">
        <v>206.5</v>
      </c>
      <c r="Y417" s="4">
        <v>85.639920000000004</v>
      </c>
      <c r="Z417" s="4">
        <f t="shared" si="33"/>
        <v>91.080750000000009</v>
      </c>
      <c r="AD417" s="24">
        <v>250.0232</v>
      </c>
      <c r="AE417">
        <v>206.5</v>
      </c>
      <c r="AF417" s="19">
        <v>94.359800000000007</v>
      </c>
      <c r="AG417" s="4">
        <f t="shared" si="34"/>
        <v>94.621290000000002</v>
      </c>
    </row>
    <row r="418" spans="2:33" x14ac:dyDescent="0.15">
      <c r="B418" s="22">
        <v>200.03836999999999</v>
      </c>
      <c r="C418">
        <v>207</v>
      </c>
      <c r="D418" s="4">
        <v>99.180959999999999</v>
      </c>
      <c r="E418" s="4">
        <f t="shared" si="30"/>
        <v>100.3074</v>
      </c>
      <c r="I418" s="22">
        <v>225.01096999999999</v>
      </c>
      <c r="J418">
        <v>207</v>
      </c>
      <c r="K418" s="4">
        <v>90.942769999999996</v>
      </c>
      <c r="L418" s="4">
        <f t="shared" si="31"/>
        <v>94.529839999999993</v>
      </c>
      <c r="P418" s="24">
        <v>225.01824999999999</v>
      </c>
      <c r="Q418">
        <v>207</v>
      </c>
      <c r="R418" s="19">
        <v>98.27749</v>
      </c>
      <c r="S418" s="4">
        <f t="shared" si="32"/>
        <v>98.201670000000007</v>
      </c>
      <c r="W418" s="22">
        <v>250.00303</v>
      </c>
      <c r="X418">
        <v>207</v>
      </c>
      <c r="Y418" s="23">
        <v>85.619029999999995</v>
      </c>
      <c r="Z418" s="4">
        <f t="shared" si="33"/>
        <v>91.05986</v>
      </c>
      <c r="AD418" s="24">
        <v>250.02234999999999</v>
      </c>
      <c r="AE418">
        <v>207</v>
      </c>
      <c r="AF418" s="25">
        <v>94.51876</v>
      </c>
      <c r="AG418" s="4">
        <f t="shared" si="34"/>
        <v>94.780249999999995</v>
      </c>
    </row>
    <row r="419" spans="2:33" x14ac:dyDescent="0.15">
      <c r="B419" s="22">
        <v>200.04073</v>
      </c>
      <c r="C419">
        <v>207.5</v>
      </c>
      <c r="D419" s="23">
        <v>99.008380000000002</v>
      </c>
      <c r="E419" s="4">
        <f t="shared" si="30"/>
        <v>100.13482</v>
      </c>
      <c r="I419" s="22">
        <v>225.00997000000001</v>
      </c>
      <c r="J419">
        <v>207.5</v>
      </c>
      <c r="K419" s="23">
        <v>90.950419999999994</v>
      </c>
      <c r="L419" s="4">
        <f t="shared" si="31"/>
        <v>94.537489999999991</v>
      </c>
      <c r="P419" s="24">
        <v>225.01924</v>
      </c>
      <c r="Q419">
        <v>207.5</v>
      </c>
      <c r="R419" s="25">
        <v>98.30162</v>
      </c>
      <c r="S419" s="4">
        <f t="shared" si="32"/>
        <v>98.225800000000007</v>
      </c>
      <c r="W419" s="22">
        <v>250.001</v>
      </c>
      <c r="X419">
        <v>207.5</v>
      </c>
      <c r="Y419" s="4">
        <v>85.609369999999998</v>
      </c>
      <c r="Z419" s="4">
        <f t="shared" si="33"/>
        <v>91.050200000000004</v>
      </c>
      <c r="AD419" s="24">
        <v>250.01857000000001</v>
      </c>
      <c r="AE419">
        <v>207.5</v>
      </c>
      <c r="AF419" s="19">
        <v>94.433710000000005</v>
      </c>
      <c r="AG419" s="4">
        <f t="shared" si="34"/>
        <v>94.6952</v>
      </c>
    </row>
    <row r="420" spans="2:33" x14ac:dyDescent="0.15">
      <c r="B420" s="22">
        <v>200.04611</v>
      </c>
      <c r="C420">
        <v>208</v>
      </c>
      <c r="D420" s="4">
        <v>99.173079999999999</v>
      </c>
      <c r="E420" s="4">
        <f t="shared" si="30"/>
        <v>100.29952</v>
      </c>
      <c r="I420" s="22">
        <v>225.00400999999999</v>
      </c>
      <c r="J420">
        <v>208</v>
      </c>
      <c r="K420" s="4">
        <v>90.931690000000003</v>
      </c>
      <c r="L420" s="4">
        <f t="shared" si="31"/>
        <v>94.51876</v>
      </c>
      <c r="P420" s="24">
        <v>225.02016</v>
      </c>
      <c r="Q420">
        <v>208</v>
      </c>
      <c r="R420" s="19">
        <v>98.397980000000004</v>
      </c>
      <c r="S420" s="4">
        <f t="shared" si="32"/>
        <v>98.322160000000011</v>
      </c>
      <c r="W420" s="22">
        <v>250.001</v>
      </c>
      <c r="X420">
        <v>208</v>
      </c>
      <c r="Y420" s="23">
        <v>85.59393</v>
      </c>
      <c r="Z420" s="4">
        <f t="shared" si="33"/>
        <v>91.034760000000006</v>
      </c>
      <c r="AD420" s="24">
        <v>250.01424</v>
      </c>
      <c r="AE420">
        <v>208</v>
      </c>
      <c r="AF420" s="25">
        <v>94.540009999999995</v>
      </c>
      <c r="AG420" s="4">
        <f t="shared" si="34"/>
        <v>94.80149999999999</v>
      </c>
    </row>
    <row r="421" spans="2:33" x14ac:dyDescent="0.15">
      <c r="B421" s="22">
        <v>200.04812999999999</v>
      </c>
      <c r="C421">
        <v>208.5</v>
      </c>
      <c r="D421" s="23">
        <v>99.072869999999995</v>
      </c>
      <c r="E421" s="4">
        <f t="shared" si="30"/>
        <v>100.19931</v>
      </c>
      <c r="I421" s="22">
        <v>225.00684999999999</v>
      </c>
      <c r="J421">
        <v>208.5</v>
      </c>
      <c r="K421" s="23">
        <v>90.907979999999995</v>
      </c>
      <c r="L421" s="4">
        <f t="shared" si="31"/>
        <v>94.495049999999992</v>
      </c>
      <c r="P421" s="24">
        <v>225.01963000000001</v>
      </c>
      <c r="Q421">
        <v>208.5</v>
      </c>
      <c r="R421" s="25">
        <v>98.317009999999996</v>
      </c>
      <c r="S421" s="4">
        <f t="shared" si="32"/>
        <v>98.241190000000003</v>
      </c>
      <c r="W421" s="22">
        <v>250.00304</v>
      </c>
      <c r="X421">
        <v>208.5</v>
      </c>
      <c r="Y421" s="4">
        <v>85.571079999999995</v>
      </c>
      <c r="Z421" s="4">
        <f t="shared" si="33"/>
        <v>91.01191</v>
      </c>
      <c r="AD421" s="24">
        <v>250.01322999999999</v>
      </c>
      <c r="AE421">
        <v>208.5</v>
      </c>
      <c r="AF421" s="19">
        <v>94.38212</v>
      </c>
      <c r="AG421" s="4">
        <f t="shared" si="34"/>
        <v>94.643609999999995</v>
      </c>
    </row>
    <row r="422" spans="2:33" x14ac:dyDescent="0.15">
      <c r="B422" s="22">
        <v>200.04807</v>
      </c>
      <c r="C422">
        <v>209</v>
      </c>
      <c r="D422" s="4">
        <v>99.089449999999999</v>
      </c>
      <c r="E422" s="4">
        <f t="shared" si="30"/>
        <v>100.21589</v>
      </c>
      <c r="I422" s="22">
        <v>225.00201999999999</v>
      </c>
      <c r="J422">
        <v>209</v>
      </c>
      <c r="K422" s="4">
        <v>90.919470000000004</v>
      </c>
      <c r="L422" s="4">
        <f t="shared" si="31"/>
        <v>94.506540000000001</v>
      </c>
      <c r="P422" s="24">
        <v>225.01702</v>
      </c>
      <c r="Q422">
        <v>209</v>
      </c>
      <c r="R422" s="19">
        <v>98.318240000000003</v>
      </c>
      <c r="S422" s="4">
        <f t="shared" si="32"/>
        <v>98.24242000000001</v>
      </c>
      <c r="W422" s="22">
        <v>250.00400999999999</v>
      </c>
      <c r="X422">
        <v>209</v>
      </c>
      <c r="Y422" s="23">
        <v>85.548029999999997</v>
      </c>
      <c r="Z422" s="4">
        <f t="shared" si="33"/>
        <v>90.988860000000003</v>
      </c>
      <c r="AD422" s="24">
        <v>250.01042000000001</v>
      </c>
      <c r="AE422">
        <v>209</v>
      </c>
      <c r="AF422" s="25">
        <v>94.497399999999999</v>
      </c>
      <c r="AG422" s="4">
        <f t="shared" si="34"/>
        <v>94.758889999999994</v>
      </c>
    </row>
    <row r="423" spans="2:33" x14ac:dyDescent="0.15">
      <c r="B423" s="22">
        <v>200.04365000000001</v>
      </c>
      <c r="C423">
        <v>209.5</v>
      </c>
      <c r="D423" s="23">
        <v>99.255579999999995</v>
      </c>
      <c r="E423" s="4">
        <f t="shared" si="30"/>
        <v>100.38202</v>
      </c>
      <c r="I423" s="22">
        <v>225.00304</v>
      </c>
      <c r="J423">
        <v>209.5</v>
      </c>
      <c r="K423" s="23">
        <v>90.890339999999995</v>
      </c>
      <c r="L423" s="4">
        <f t="shared" si="31"/>
        <v>94.477409999999992</v>
      </c>
      <c r="P423" s="24">
        <v>225.01438999999999</v>
      </c>
      <c r="Q423">
        <v>209.5</v>
      </c>
      <c r="R423" s="25">
        <v>98.264769999999999</v>
      </c>
      <c r="S423" s="4">
        <f t="shared" si="32"/>
        <v>98.188950000000006</v>
      </c>
      <c r="W423" s="22">
        <v>250.00505000000001</v>
      </c>
      <c r="X423">
        <v>209.5</v>
      </c>
      <c r="Y423" s="4">
        <v>85.532870000000003</v>
      </c>
      <c r="Z423" s="4">
        <f t="shared" si="33"/>
        <v>90.973700000000008</v>
      </c>
      <c r="AD423" s="24">
        <v>250.01199</v>
      </c>
      <c r="AE423">
        <v>209.5</v>
      </c>
      <c r="AF423" s="19">
        <v>94.278750000000002</v>
      </c>
      <c r="AG423" s="4">
        <f t="shared" si="34"/>
        <v>94.540239999999997</v>
      </c>
    </row>
    <row r="424" spans="2:33" x14ac:dyDescent="0.15">
      <c r="B424" s="22">
        <v>200.03912</v>
      </c>
      <c r="C424">
        <v>210</v>
      </c>
      <c r="D424" s="4">
        <v>99.083150000000003</v>
      </c>
      <c r="E424" s="4">
        <f t="shared" si="30"/>
        <v>100.20959000000001</v>
      </c>
      <c r="I424" s="22">
        <v>225.00391999999999</v>
      </c>
      <c r="J424">
        <v>210</v>
      </c>
      <c r="K424" s="4">
        <v>90.911320000000003</v>
      </c>
      <c r="L424" s="4">
        <f t="shared" si="31"/>
        <v>94.498390000000001</v>
      </c>
      <c r="P424" s="24">
        <v>225.01451</v>
      </c>
      <c r="Q424">
        <v>210</v>
      </c>
      <c r="R424" s="19">
        <v>98.357799999999997</v>
      </c>
      <c r="S424" s="4">
        <f t="shared" si="32"/>
        <v>98.281980000000004</v>
      </c>
      <c r="W424" s="22">
        <v>250.006</v>
      </c>
      <c r="X424">
        <v>210</v>
      </c>
      <c r="Y424" s="23">
        <v>85.507369999999995</v>
      </c>
      <c r="Z424" s="4">
        <f t="shared" si="33"/>
        <v>90.9482</v>
      </c>
      <c r="AD424" s="24">
        <v>250.01253</v>
      </c>
      <c r="AE424">
        <v>210</v>
      </c>
      <c r="AF424" s="25">
        <v>94.43535</v>
      </c>
      <c r="AG424" s="4">
        <f t="shared" si="34"/>
        <v>94.696839999999995</v>
      </c>
    </row>
    <row r="425" spans="2:33" x14ac:dyDescent="0.15">
      <c r="B425" s="22">
        <v>200.03766999999999</v>
      </c>
      <c r="C425">
        <v>210.5</v>
      </c>
      <c r="D425" s="23">
        <v>99.109099999999998</v>
      </c>
      <c r="E425" s="4">
        <f t="shared" si="30"/>
        <v>100.23554</v>
      </c>
      <c r="I425" s="22">
        <v>225.00098</v>
      </c>
      <c r="J425">
        <v>210.5</v>
      </c>
      <c r="K425" s="23">
        <v>90.873729999999995</v>
      </c>
      <c r="L425" s="4">
        <f t="shared" si="31"/>
        <v>94.460799999999992</v>
      </c>
      <c r="P425" s="24">
        <v>225.01957999999999</v>
      </c>
      <c r="Q425">
        <v>210.5</v>
      </c>
      <c r="R425" s="25">
        <v>98.340699999999998</v>
      </c>
      <c r="S425" s="4">
        <f t="shared" si="32"/>
        <v>98.264880000000005</v>
      </c>
      <c r="W425" s="22">
        <v>250.00199000000001</v>
      </c>
      <c r="X425">
        <v>210.5</v>
      </c>
      <c r="Y425" s="4">
        <v>85.498000000000005</v>
      </c>
      <c r="Z425" s="4">
        <f t="shared" si="33"/>
        <v>90.93883000000001</v>
      </c>
      <c r="AD425" s="24">
        <v>250.01576</v>
      </c>
      <c r="AE425">
        <v>210.5</v>
      </c>
      <c r="AF425" s="19">
        <v>94.426860000000005</v>
      </c>
      <c r="AG425" s="4">
        <f t="shared" si="34"/>
        <v>94.68835</v>
      </c>
    </row>
    <row r="426" spans="2:33" x14ac:dyDescent="0.15">
      <c r="B426" s="22">
        <v>200.04590999999999</v>
      </c>
      <c r="C426">
        <v>211</v>
      </c>
      <c r="D426" s="4">
        <v>99.255369999999999</v>
      </c>
      <c r="E426" s="4">
        <f t="shared" si="30"/>
        <v>100.38181</v>
      </c>
      <c r="I426" s="22">
        <v>225.00207</v>
      </c>
      <c r="J426">
        <v>211</v>
      </c>
      <c r="K426" s="4">
        <v>90.873559999999998</v>
      </c>
      <c r="L426" s="4">
        <f t="shared" si="31"/>
        <v>94.460629999999995</v>
      </c>
      <c r="P426" s="24">
        <v>225.02127999999999</v>
      </c>
      <c r="Q426">
        <v>211</v>
      </c>
      <c r="R426" s="19">
        <v>98.343249999999998</v>
      </c>
      <c r="S426" s="4">
        <f t="shared" si="32"/>
        <v>98.267430000000004</v>
      </c>
      <c r="W426" s="22">
        <v>250.00198</v>
      </c>
      <c r="X426">
        <v>211</v>
      </c>
      <c r="Y426" s="23">
        <v>85.473230000000001</v>
      </c>
      <c r="Z426" s="4">
        <f t="shared" si="33"/>
        <v>90.914060000000006</v>
      </c>
      <c r="AD426" s="24">
        <v>250.01356000000001</v>
      </c>
      <c r="AE426">
        <v>211</v>
      </c>
      <c r="AF426" s="25">
        <v>94.385800000000003</v>
      </c>
      <c r="AG426" s="4">
        <f t="shared" si="34"/>
        <v>94.647289999999998</v>
      </c>
    </row>
    <row r="427" spans="2:33" x14ac:dyDescent="0.15">
      <c r="B427" s="22">
        <v>200.04910000000001</v>
      </c>
      <c r="C427">
        <v>211.5</v>
      </c>
      <c r="D427" s="23">
        <v>99.191419999999994</v>
      </c>
      <c r="E427" s="4">
        <f t="shared" si="30"/>
        <v>100.31786</v>
      </c>
      <c r="I427" s="22">
        <v>225.00004000000001</v>
      </c>
      <c r="J427">
        <v>211.5</v>
      </c>
      <c r="K427" s="23">
        <v>90.848020000000005</v>
      </c>
      <c r="L427" s="4">
        <f t="shared" si="31"/>
        <v>94.435090000000002</v>
      </c>
      <c r="P427" s="24">
        <v>225.01719</v>
      </c>
      <c r="Q427">
        <v>211.5</v>
      </c>
      <c r="R427" s="25">
        <v>98.414069999999995</v>
      </c>
      <c r="S427" s="4">
        <f t="shared" si="32"/>
        <v>98.338250000000002</v>
      </c>
      <c r="W427" s="22">
        <v>250.00596999999999</v>
      </c>
      <c r="X427">
        <v>211.5</v>
      </c>
      <c r="Y427" s="4">
        <v>85.463729999999998</v>
      </c>
      <c r="Z427" s="4">
        <f t="shared" si="33"/>
        <v>90.904560000000004</v>
      </c>
      <c r="AD427" s="24">
        <v>250.01295999999999</v>
      </c>
      <c r="AE427">
        <v>211.5</v>
      </c>
      <c r="AF427" s="19">
        <v>94.312880000000007</v>
      </c>
      <c r="AG427" s="4">
        <f t="shared" si="34"/>
        <v>94.574370000000002</v>
      </c>
    </row>
    <row r="428" spans="2:33" x14ac:dyDescent="0.15">
      <c r="B428" s="22">
        <v>200.05020999999999</v>
      </c>
      <c r="C428">
        <v>212</v>
      </c>
      <c r="D428" s="4">
        <v>99.17604</v>
      </c>
      <c r="E428" s="4">
        <f t="shared" si="30"/>
        <v>100.30248</v>
      </c>
      <c r="I428" s="22">
        <v>225.00102000000001</v>
      </c>
      <c r="J428">
        <v>212</v>
      </c>
      <c r="K428" s="4">
        <v>90.854969999999994</v>
      </c>
      <c r="L428" s="4">
        <f t="shared" si="31"/>
        <v>94.442039999999992</v>
      </c>
      <c r="P428" s="24">
        <v>225.02072999999999</v>
      </c>
      <c r="Q428">
        <v>212</v>
      </c>
      <c r="R428" s="19">
        <v>98.350080000000005</v>
      </c>
      <c r="S428" s="4">
        <f t="shared" si="32"/>
        <v>98.274260000000012</v>
      </c>
      <c r="W428" s="22">
        <v>250.00093000000001</v>
      </c>
      <c r="X428">
        <v>212</v>
      </c>
      <c r="Y428" s="23">
        <v>85.427239999999998</v>
      </c>
      <c r="Z428" s="4">
        <f t="shared" si="33"/>
        <v>90.868070000000003</v>
      </c>
      <c r="AD428" s="24">
        <v>250.01080999999999</v>
      </c>
      <c r="AE428">
        <v>212</v>
      </c>
      <c r="AF428" s="25">
        <v>94.275419999999997</v>
      </c>
      <c r="AG428" s="4">
        <f t="shared" si="34"/>
        <v>94.536909999999992</v>
      </c>
    </row>
    <row r="429" spans="2:33" x14ac:dyDescent="0.15">
      <c r="B429" s="22">
        <v>200.05213000000001</v>
      </c>
      <c r="C429">
        <v>212.5</v>
      </c>
      <c r="D429" s="23">
        <v>99.00609</v>
      </c>
      <c r="E429" s="4">
        <f t="shared" si="30"/>
        <v>100.13253</v>
      </c>
      <c r="I429" s="22">
        <v>225.00397000000001</v>
      </c>
      <c r="J429">
        <v>212.5</v>
      </c>
      <c r="K429" s="23">
        <v>90.815280000000001</v>
      </c>
      <c r="L429" s="4">
        <f t="shared" si="31"/>
        <v>94.402349999999998</v>
      </c>
      <c r="P429" s="24">
        <v>225.02472</v>
      </c>
      <c r="Q429">
        <v>212.5</v>
      </c>
      <c r="R429" s="25">
        <v>98.336330000000004</v>
      </c>
      <c r="S429" s="4">
        <f t="shared" si="32"/>
        <v>98.260510000000011</v>
      </c>
      <c r="W429" s="22">
        <v>250.00606999999999</v>
      </c>
      <c r="X429">
        <v>212.5</v>
      </c>
      <c r="Y429" s="4">
        <v>85.432980000000001</v>
      </c>
      <c r="Z429" s="4">
        <f t="shared" si="33"/>
        <v>90.873810000000006</v>
      </c>
      <c r="AD429" s="24">
        <v>250.01204999999999</v>
      </c>
      <c r="AE429">
        <v>212.5</v>
      </c>
      <c r="AF429" s="19">
        <v>94.294960000000003</v>
      </c>
      <c r="AG429" s="4">
        <f t="shared" si="34"/>
        <v>94.556449999999998</v>
      </c>
    </row>
    <row r="430" spans="2:33" x14ac:dyDescent="0.15">
      <c r="B430" s="22">
        <v>200.05117999999999</v>
      </c>
      <c r="C430">
        <v>213</v>
      </c>
      <c r="D430" s="4">
        <v>99.346500000000006</v>
      </c>
      <c r="E430" s="4">
        <f t="shared" si="30"/>
        <v>100.47294000000001</v>
      </c>
      <c r="I430" s="22">
        <v>225.00903</v>
      </c>
      <c r="J430">
        <v>213</v>
      </c>
      <c r="K430" s="4">
        <v>90.854770000000002</v>
      </c>
      <c r="L430" s="4">
        <f t="shared" si="31"/>
        <v>94.441839999999999</v>
      </c>
      <c r="P430" s="24">
        <v>225.02239</v>
      </c>
      <c r="Q430">
        <v>213</v>
      </c>
      <c r="R430" s="19">
        <v>98.439170000000004</v>
      </c>
      <c r="S430" s="4">
        <f t="shared" si="32"/>
        <v>98.363350000000011</v>
      </c>
      <c r="W430" s="22">
        <v>250.01000999999999</v>
      </c>
      <c r="X430">
        <v>213</v>
      </c>
      <c r="Y430" s="23">
        <v>85.412049999999994</v>
      </c>
      <c r="Z430" s="4">
        <f t="shared" si="33"/>
        <v>90.852879999999999</v>
      </c>
      <c r="AD430" s="24">
        <v>250.01236</v>
      </c>
      <c r="AE430">
        <v>213</v>
      </c>
      <c r="AF430" s="25">
        <v>94.36824</v>
      </c>
      <c r="AG430" s="4">
        <f t="shared" si="34"/>
        <v>94.629729999999995</v>
      </c>
    </row>
    <row r="431" spans="2:33" x14ac:dyDescent="0.15">
      <c r="B431" s="22">
        <v>200.04927000000001</v>
      </c>
      <c r="C431">
        <v>213.5</v>
      </c>
      <c r="D431" s="23">
        <v>99.038049999999998</v>
      </c>
      <c r="E431" s="4">
        <f t="shared" si="30"/>
        <v>100.16449</v>
      </c>
      <c r="I431" s="22">
        <v>225.00695999999999</v>
      </c>
      <c r="J431">
        <v>213.5</v>
      </c>
      <c r="K431" s="23">
        <v>90.844139999999996</v>
      </c>
      <c r="L431" s="4">
        <f t="shared" si="31"/>
        <v>94.431209999999993</v>
      </c>
      <c r="P431" s="24">
        <v>225.02718999999999</v>
      </c>
      <c r="Q431">
        <v>213.5</v>
      </c>
      <c r="R431" s="25">
        <v>98.196389999999994</v>
      </c>
      <c r="S431" s="4">
        <f t="shared" si="32"/>
        <v>98.120570000000001</v>
      </c>
      <c r="W431" s="22">
        <v>250.00492</v>
      </c>
      <c r="X431">
        <v>213.5</v>
      </c>
      <c r="Y431" s="4">
        <v>85.39246</v>
      </c>
      <c r="Z431" s="4">
        <f t="shared" si="33"/>
        <v>90.833290000000005</v>
      </c>
      <c r="AD431" s="24">
        <v>250.01674</v>
      </c>
      <c r="AE431">
        <v>213.5</v>
      </c>
      <c r="AF431" s="19">
        <v>94.274919999999995</v>
      </c>
      <c r="AG431" s="4">
        <f t="shared" si="34"/>
        <v>94.536409999999989</v>
      </c>
    </row>
    <row r="432" spans="2:33" x14ac:dyDescent="0.15">
      <c r="B432" s="22">
        <v>200.04548</v>
      </c>
      <c r="C432">
        <v>214</v>
      </c>
      <c r="D432" s="4">
        <v>99.210390000000004</v>
      </c>
      <c r="E432" s="4">
        <f t="shared" si="30"/>
        <v>100.33683000000001</v>
      </c>
      <c r="I432" s="22">
        <v>225.00303</v>
      </c>
      <c r="J432">
        <v>214</v>
      </c>
      <c r="K432" s="4">
        <v>90.806089999999998</v>
      </c>
      <c r="L432" s="4">
        <f t="shared" si="31"/>
        <v>94.393159999999995</v>
      </c>
      <c r="P432" s="24">
        <v>225.03036</v>
      </c>
      <c r="Q432">
        <v>214</v>
      </c>
      <c r="R432" s="19">
        <v>98.220309999999998</v>
      </c>
      <c r="S432" s="4">
        <f t="shared" si="32"/>
        <v>98.144490000000005</v>
      </c>
      <c r="W432" s="22">
        <v>250.01102</v>
      </c>
      <c r="X432">
        <v>214</v>
      </c>
      <c r="Y432" s="23">
        <v>85.375470000000007</v>
      </c>
      <c r="Z432" s="4">
        <f t="shared" si="33"/>
        <v>90.816300000000012</v>
      </c>
      <c r="AD432" s="24">
        <v>250.0204</v>
      </c>
      <c r="AE432">
        <v>214</v>
      </c>
      <c r="AF432" s="25">
        <v>94.241209999999995</v>
      </c>
      <c r="AG432" s="4">
        <f t="shared" si="34"/>
        <v>94.50269999999999</v>
      </c>
    </row>
    <row r="433" spans="2:33" x14ac:dyDescent="0.15">
      <c r="B433" s="22">
        <v>200.04608999999999</v>
      </c>
      <c r="C433">
        <v>214.5</v>
      </c>
      <c r="D433" s="23">
        <v>99.225999999999999</v>
      </c>
      <c r="E433" s="4">
        <f t="shared" si="30"/>
        <v>100.35244</v>
      </c>
      <c r="I433" s="22">
        <v>225.00506999999999</v>
      </c>
      <c r="J433">
        <v>214.5</v>
      </c>
      <c r="K433" s="23">
        <v>90.825739999999996</v>
      </c>
      <c r="L433" s="4">
        <f t="shared" si="31"/>
        <v>94.412809999999993</v>
      </c>
      <c r="P433" s="24">
        <v>225.02762999999999</v>
      </c>
      <c r="Q433">
        <v>214.5</v>
      </c>
      <c r="R433" s="25">
        <v>98.292100000000005</v>
      </c>
      <c r="S433" s="4">
        <f t="shared" si="32"/>
        <v>98.216280000000012</v>
      </c>
      <c r="W433" s="22">
        <v>250.00403</v>
      </c>
      <c r="X433">
        <v>214.5</v>
      </c>
      <c r="Y433" s="4">
        <v>85.352490000000003</v>
      </c>
      <c r="Z433" s="4">
        <f t="shared" si="33"/>
        <v>90.793320000000008</v>
      </c>
      <c r="AD433" s="24">
        <v>250.01902999999999</v>
      </c>
      <c r="AE433">
        <v>214.5</v>
      </c>
      <c r="AF433" s="19">
        <v>94.345470000000006</v>
      </c>
      <c r="AG433" s="4">
        <f t="shared" si="34"/>
        <v>94.606960000000001</v>
      </c>
    </row>
    <row r="434" spans="2:33" x14ac:dyDescent="0.15">
      <c r="B434" s="22">
        <v>200.04691</v>
      </c>
      <c r="C434">
        <v>215</v>
      </c>
      <c r="D434" s="4">
        <v>99.182199999999995</v>
      </c>
      <c r="E434" s="4">
        <f t="shared" si="30"/>
        <v>100.30864</v>
      </c>
      <c r="I434" s="22">
        <v>225.00808000000001</v>
      </c>
      <c r="J434">
        <v>215</v>
      </c>
      <c r="K434" s="4">
        <v>90.805959999999999</v>
      </c>
      <c r="L434" s="4">
        <f t="shared" si="31"/>
        <v>94.393029999999996</v>
      </c>
      <c r="P434" s="24">
        <v>225.02626000000001</v>
      </c>
      <c r="Q434">
        <v>215</v>
      </c>
      <c r="R434" s="19">
        <v>98.292029999999997</v>
      </c>
      <c r="S434" s="4">
        <f t="shared" si="32"/>
        <v>98.216210000000004</v>
      </c>
      <c r="W434" s="22">
        <v>250.005</v>
      </c>
      <c r="X434">
        <v>215</v>
      </c>
      <c r="Y434" s="23">
        <v>85.344740000000002</v>
      </c>
      <c r="Z434" s="4">
        <f t="shared" si="33"/>
        <v>90.785570000000007</v>
      </c>
      <c r="AD434" s="24">
        <v>250.01759000000001</v>
      </c>
      <c r="AE434">
        <v>215</v>
      </c>
      <c r="AF434" s="25">
        <v>94.361770000000007</v>
      </c>
      <c r="AG434" s="4">
        <f t="shared" si="34"/>
        <v>94.623260000000002</v>
      </c>
    </row>
    <row r="435" spans="2:33" x14ac:dyDescent="0.15">
      <c r="B435" s="22">
        <v>200.04713000000001</v>
      </c>
      <c r="C435">
        <v>215.5</v>
      </c>
      <c r="D435" s="23">
        <v>99.076700000000002</v>
      </c>
      <c r="E435" s="4">
        <f t="shared" si="30"/>
        <v>100.20314</v>
      </c>
      <c r="I435" s="22">
        <v>225.00407999999999</v>
      </c>
      <c r="J435">
        <v>215.5</v>
      </c>
      <c r="K435" s="23">
        <v>90.794079999999994</v>
      </c>
      <c r="L435" s="4">
        <f t="shared" si="31"/>
        <v>94.381149999999991</v>
      </c>
      <c r="P435" s="24">
        <v>225.02280999999999</v>
      </c>
      <c r="Q435">
        <v>215.5</v>
      </c>
      <c r="R435" s="25">
        <v>98.246709999999993</v>
      </c>
      <c r="S435" s="4">
        <f t="shared" si="32"/>
        <v>98.17089</v>
      </c>
      <c r="W435" s="22">
        <v>250.00202999999999</v>
      </c>
      <c r="X435">
        <v>215.5</v>
      </c>
      <c r="Y435" s="4">
        <v>85.335070000000002</v>
      </c>
      <c r="Z435" s="4">
        <f t="shared" si="33"/>
        <v>90.775900000000007</v>
      </c>
      <c r="AD435" s="24">
        <v>250.01609999999999</v>
      </c>
      <c r="AE435">
        <v>215.5</v>
      </c>
      <c r="AF435" s="19">
        <v>94.269440000000003</v>
      </c>
      <c r="AG435" s="4">
        <f t="shared" si="34"/>
        <v>94.530929999999998</v>
      </c>
    </row>
    <row r="436" spans="2:33" x14ac:dyDescent="0.15">
      <c r="B436" s="22">
        <v>200.05032</v>
      </c>
      <c r="C436">
        <v>216</v>
      </c>
      <c r="D436" s="4">
        <v>99.154129999999995</v>
      </c>
      <c r="E436" s="4">
        <f t="shared" si="30"/>
        <v>100.28057</v>
      </c>
      <c r="I436" s="22">
        <v>225.00397000000001</v>
      </c>
      <c r="J436">
        <v>216</v>
      </c>
      <c r="K436" s="4">
        <v>90.777209999999997</v>
      </c>
      <c r="L436" s="4">
        <f t="shared" si="31"/>
        <v>94.364279999999994</v>
      </c>
      <c r="P436" s="24">
        <v>225.01482999999999</v>
      </c>
      <c r="Q436">
        <v>216</v>
      </c>
      <c r="R436" s="19">
        <v>98.295490000000001</v>
      </c>
      <c r="S436" s="4">
        <f t="shared" si="32"/>
        <v>98.219670000000008</v>
      </c>
      <c r="W436" s="22">
        <v>250.00400999999999</v>
      </c>
      <c r="X436">
        <v>216</v>
      </c>
      <c r="Y436" s="23">
        <v>85.304469999999995</v>
      </c>
      <c r="Z436" s="4">
        <f t="shared" si="33"/>
        <v>90.7453</v>
      </c>
      <c r="AD436" s="24">
        <v>250.01828</v>
      </c>
      <c r="AE436">
        <v>216</v>
      </c>
      <c r="AF436" s="25">
        <v>94.248350000000002</v>
      </c>
      <c r="AG436" s="4">
        <f t="shared" si="34"/>
        <v>94.509839999999997</v>
      </c>
    </row>
    <row r="437" spans="2:33" x14ac:dyDescent="0.15">
      <c r="B437" s="22">
        <v>200.04660000000001</v>
      </c>
      <c r="C437">
        <v>216.5</v>
      </c>
      <c r="D437" s="23">
        <v>99.137690000000006</v>
      </c>
      <c r="E437" s="4">
        <f t="shared" si="30"/>
        <v>100.26413000000001</v>
      </c>
      <c r="I437" s="22">
        <v>225.00308000000001</v>
      </c>
      <c r="J437">
        <v>216.5</v>
      </c>
      <c r="K437" s="23">
        <v>90.760180000000005</v>
      </c>
      <c r="L437" s="4">
        <f t="shared" si="31"/>
        <v>94.347250000000003</v>
      </c>
      <c r="P437" s="24">
        <v>225.01320000000001</v>
      </c>
      <c r="Q437">
        <v>216.5</v>
      </c>
      <c r="R437" s="25">
        <v>98.29374</v>
      </c>
      <c r="S437" s="4">
        <f t="shared" si="32"/>
        <v>98.217920000000007</v>
      </c>
      <c r="W437" s="22">
        <v>250.00398999999999</v>
      </c>
      <c r="X437">
        <v>216.5</v>
      </c>
      <c r="Y437" s="4">
        <v>85.300719999999998</v>
      </c>
      <c r="Z437" s="4">
        <f t="shared" si="33"/>
        <v>90.741550000000004</v>
      </c>
      <c r="AD437" s="24">
        <v>250.01841999999999</v>
      </c>
      <c r="AE437">
        <v>216.5</v>
      </c>
      <c r="AF437" s="19">
        <v>94.25985</v>
      </c>
      <c r="AG437" s="4">
        <f t="shared" si="34"/>
        <v>94.521339999999995</v>
      </c>
    </row>
    <row r="438" spans="2:33" x14ac:dyDescent="0.15">
      <c r="B438" s="22">
        <v>200.04306</v>
      </c>
      <c r="C438">
        <v>217</v>
      </c>
      <c r="D438" s="4">
        <v>99.203230000000005</v>
      </c>
      <c r="E438" s="4">
        <f t="shared" si="30"/>
        <v>100.32967000000001</v>
      </c>
      <c r="I438" s="22">
        <v>225.00801000000001</v>
      </c>
      <c r="J438">
        <v>217</v>
      </c>
      <c r="K438" s="4">
        <v>90.751249999999999</v>
      </c>
      <c r="L438" s="4">
        <f t="shared" si="31"/>
        <v>94.338319999999996</v>
      </c>
      <c r="P438" s="24">
        <v>225.01456999999999</v>
      </c>
      <c r="Q438">
        <v>217</v>
      </c>
      <c r="R438" s="19">
        <v>98.334000000000003</v>
      </c>
      <c r="S438" s="4">
        <f t="shared" si="32"/>
        <v>98.25818000000001</v>
      </c>
      <c r="W438" s="22">
        <v>250.00299999999999</v>
      </c>
      <c r="X438">
        <v>217</v>
      </c>
      <c r="Y438" s="23">
        <v>85.285319999999999</v>
      </c>
      <c r="Z438" s="4">
        <f t="shared" si="33"/>
        <v>90.726150000000004</v>
      </c>
      <c r="AD438" s="24">
        <v>250.01441</v>
      </c>
      <c r="AE438">
        <v>217</v>
      </c>
      <c r="AF438" s="25">
        <v>94.21678</v>
      </c>
      <c r="AG438" s="4">
        <f t="shared" si="34"/>
        <v>94.478269999999995</v>
      </c>
    </row>
    <row r="439" spans="2:33" x14ac:dyDescent="0.15">
      <c r="B439" s="22">
        <v>200.04232999999999</v>
      </c>
      <c r="C439">
        <v>217.5</v>
      </c>
      <c r="D439" s="23">
        <v>99.036569999999998</v>
      </c>
      <c r="E439" s="4">
        <f t="shared" si="30"/>
        <v>100.16301</v>
      </c>
      <c r="I439" s="22">
        <v>225.00603000000001</v>
      </c>
      <c r="J439">
        <v>217.5</v>
      </c>
      <c r="K439" s="23">
        <v>90.751670000000004</v>
      </c>
      <c r="L439" s="4">
        <f t="shared" si="31"/>
        <v>94.338740000000001</v>
      </c>
      <c r="P439" s="24">
        <v>225.01333</v>
      </c>
      <c r="Q439">
        <v>217.5</v>
      </c>
      <c r="R439" s="25">
        <v>98.312479999999994</v>
      </c>
      <c r="S439" s="4">
        <f t="shared" si="32"/>
        <v>98.236660000000001</v>
      </c>
      <c r="W439" s="22">
        <v>250.00200000000001</v>
      </c>
      <c r="X439">
        <v>217.5</v>
      </c>
      <c r="Y439" s="4">
        <v>85.271829999999994</v>
      </c>
      <c r="Z439" s="4">
        <f t="shared" si="33"/>
        <v>90.71266</v>
      </c>
      <c r="AD439" s="24">
        <v>250.01438999999999</v>
      </c>
      <c r="AE439">
        <v>217.5</v>
      </c>
      <c r="AF439" s="19">
        <v>94.313379999999995</v>
      </c>
      <c r="AG439" s="4">
        <f t="shared" si="34"/>
        <v>94.57486999999999</v>
      </c>
    </row>
    <row r="440" spans="2:33" x14ac:dyDescent="0.15">
      <c r="B440" s="22">
        <v>200.04525000000001</v>
      </c>
      <c r="C440">
        <v>218</v>
      </c>
      <c r="D440" s="4">
        <v>99.06926</v>
      </c>
      <c r="E440" s="4">
        <f t="shared" si="30"/>
        <v>100.1957</v>
      </c>
      <c r="I440" s="22">
        <v>225.00985</v>
      </c>
      <c r="J440">
        <v>218</v>
      </c>
      <c r="K440" s="4">
        <v>90.752529999999993</v>
      </c>
      <c r="L440" s="4">
        <f t="shared" si="31"/>
        <v>94.33959999999999</v>
      </c>
      <c r="P440" s="24">
        <v>225.00988000000001</v>
      </c>
      <c r="Q440">
        <v>218</v>
      </c>
      <c r="R440" s="19">
        <v>98.215310000000002</v>
      </c>
      <c r="S440" s="4">
        <f t="shared" si="32"/>
        <v>98.139490000000009</v>
      </c>
      <c r="W440" s="22">
        <v>250.00503</v>
      </c>
      <c r="X440">
        <v>218</v>
      </c>
      <c r="Y440" s="23">
        <v>85.231620000000007</v>
      </c>
      <c r="Z440" s="4">
        <f t="shared" si="33"/>
        <v>90.672450000000012</v>
      </c>
      <c r="AD440" s="24">
        <v>250.01751999999999</v>
      </c>
      <c r="AE440">
        <v>218</v>
      </c>
      <c r="AF440" s="25">
        <v>94.239630000000005</v>
      </c>
      <c r="AG440" s="4">
        <f t="shared" si="34"/>
        <v>94.50112</v>
      </c>
    </row>
    <row r="441" spans="2:33" x14ac:dyDescent="0.15">
      <c r="B441" s="22">
        <v>200.04722000000001</v>
      </c>
      <c r="C441">
        <v>218.5</v>
      </c>
      <c r="D441" s="23">
        <v>99.007329999999996</v>
      </c>
      <c r="E441" s="4">
        <f t="shared" si="30"/>
        <v>100.13377</v>
      </c>
      <c r="I441" s="22">
        <v>225.00594000000001</v>
      </c>
      <c r="J441">
        <v>218.5</v>
      </c>
      <c r="K441" s="23">
        <v>90.756320000000002</v>
      </c>
      <c r="L441" s="4">
        <f t="shared" si="31"/>
        <v>94.343389999999999</v>
      </c>
      <c r="P441" s="24">
        <v>225.01111</v>
      </c>
      <c r="Q441">
        <v>218.5</v>
      </c>
      <c r="R441" s="25">
        <v>98.130859999999998</v>
      </c>
      <c r="S441" s="4">
        <f t="shared" si="32"/>
        <v>98.055040000000005</v>
      </c>
      <c r="W441" s="22">
        <v>250.00797</v>
      </c>
      <c r="X441">
        <v>218.5</v>
      </c>
      <c r="Y441" s="4">
        <v>85.239140000000006</v>
      </c>
      <c r="Z441" s="4">
        <f t="shared" si="33"/>
        <v>90.679970000000012</v>
      </c>
      <c r="AD441" s="24">
        <v>250.01978</v>
      </c>
      <c r="AE441">
        <v>218.5</v>
      </c>
      <c r="AF441" s="19">
        <v>94.170190000000005</v>
      </c>
      <c r="AG441" s="4">
        <f t="shared" si="34"/>
        <v>94.43168</v>
      </c>
    </row>
    <row r="442" spans="2:33" x14ac:dyDescent="0.15">
      <c r="B442" s="22">
        <v>200.04554999999999</v>
      </c>
      <c r="C442">
        <v>219</v>
      </c>
      <c r="D442" s="4">
        <v>99.077169999999995</v>
      </c>
      <c r="E442" s="4">
        <f t="shared" si="30"/>
        <v>100.20361</v>
      </c>
      <c r="I442" s="22">
        <v>224.99981</v>
      </c>
      <c r="J442">
        <v>219</v>
      </c>
      <c r="K442" s="4">
        <v>90.692340000000002</v>
      </c>
      <c r="L442" s="4">
        <f t="shared" si="31"/>
        <v>94.279409999999999</v>
      </c>
      <c r="P442" s="24">
        <v>225.01365000000001</v>
      </c>
      <c r="Q442">
        <v>219</v>
      </c>
      <c r="R442" s="19">
        <v>98.236050000000006</v>
      </c>
      <c r="S442" s="4">
        <f t="shared" si="32"/>
        <v>98.160230000000013</v>
      </c>
      <c r="W442" s="22">
        <v>250.00901999999999</v>
      </c>
      <c r="X442">
        <v>219</v>
      </c>
      <c r="Y442" s="23">
        <v>85.220129999999997</v>
      </c>
      <c r="Z442" s="4">
        <f t="shared" si="33"/>
        <v>90.660960000000003</v>
      </c>
      <c r="AD442" s="24">
        <v>250.01526999999999</v>
      </c>
      <c r="AE442">
        <v>219</v>
      </c>
      <c r="AF442" s="25">
        <v>94.219139999999996</v>
      </c>
      <c r="AG442" s="4">
        <f t="shared" si="34"/>
        <v>94.480629999999991</v>
      </c>
    </row>
    <row r="443" spans="2:33" x14ac:dyDescent="0.15">
      <c r="B443" s="22">
        <v>200.04386</v>
      </c>
      <c r="C443">
        <v>219.5</v>
      </c>
      <c r="D443" s="23">
        <v>99.084540000000004</v>
      </c>
      <c r="E443" s="4">
        <f t="shared" si="30"/>
        <v>100.21098000000001</v>
      </c>
      <c r="I443" s="22">
        <v>225.00498999999999</v>
      </c>
      <c r="J443">
        <v>219.5</v>
      </c>
      <c r="K443" s="23">
        <v>90.721770000000006</v>
      </c>
      <c r="L443" s="4">
        <f t="shared" si="31"/>
        <v>94.308840000000004</v>
      </c>
      <c r="P443" s="24">
        <v>225.01267000000001</v>
      </c>
      <c r="Q443">
        <v>219.5</v>
      </c>
      <c r="R443" s="25">
        <v>98.176950000000005</v>
      </c>
      <c r="S443" s="4">
        <f t="shared" si="32"/>
        <v>98.101130000000012</v>
      </c>
      <c r="W443" s="22">
        <v>250.00396000000001</v>
      </c>
      <c r="X443">
        <v>219.5</v>
      </c>
      <c r="Y443" s="4">
        <v>85.19323</v>
      </c>
      <c r="Z443" s="4">
        <f t="shared" si="33"/>
        <v>90.634060000000005</v>
      </c>
      <c r="AD443" s="24">
        <v>250.01176000000001</v>
      </c>
      <c r="AE443">
        <v>219.5</v>
      </c>
      <c r="AF443" s="19">
        <v>94.229489999999998</v>
      </c>
      <c r="AG443" s="4">
        <f t="shared" si="34"/>
        <v>94.490979999999993</v>
      </c>
    </row>
    <row r="444" spans="2:33" x14ac:dyDescent="0.15">
      <c r="B444" s="22">
        <v>200.04490000000001</v>
      </c>
      <c r="C444">
        <v>220</v>
      </c>
      <c r="D444" s="4">
        <v>99.07244</v>
      </c>
      <c r="E444" s="4">
        <f t="shared" si="30"/>
        <v>100.19888</v>
      </c>
      <c r="I444" s="22">
        <v>225.00107</v>
      </c>
      <c r="J444">
        <v>220</v>
      </c>
      <c r="K444" s="4">
        <v>90.731930000000006</v>
      </c>
      <c r="L444" s="4">
        <f t="shared" si="31"/>
        <v>94.319000000000003</v>
      </c>
      <c r="P444" s="24">
        <v>225.01481999999999</v>
      </c>
      <c r="Q444">
        <v>220</v>
      </c>
      <c r="R444" s="19">
        <v>98.267870000000002</v>
      </c>
      <c r="S444" s="4">
        <f t="shared" si="32"/>
        <v>98.192050000000009</v>
      </c>
      <c r="W444" s="22">
        <v>250.00194999999999</v>
      </c>
      <c r="X444">
        <v>220</v>
      </c>
      <c r="Y444" s="23">
        <v>85.18356</v>
      </c>
      <c r="Z444" s="4">
        <f t="shared" si="33"/>
        <v>90.624390000000005</v>
      </c>
      <c r="AD444" s="24">
        <v>250.01461</v>
      </c>
      <c r="AE444">
        <v>220</v>
      </c>
      <c r="AF444" s="25">
        <v>94.217619999999997</v>
      </c>
      <c r="AG444" s="4">
        <f t="shared" si="34"/>
        <v>94.479109999999991</v>
      </c>
    </row>
    <row r="445" spans="2:33" x14ac:dyDescent="0.15">
      <c r="B445" s="22">
        <v>200.04854</v>
      </c>
      <c r="C445">
        <v>220.5</v>
      </c>
      <c r="D445" s="23">
        <v>98.961820000000003</v>
      </c>
      <c r="E445" s="4">
        <f t="shared" si="30"/>
        <v>100.08826000000001</v>
      </c>
      <c r="I445" s="22">
        <v>225.00486000000001</v>
      </c>
      <c r="J445">
        <v>220.5</v>
      </c>
      <c r="K445" s="23">
        <v>90.678219999999996</v>
      </c>
      <c r="L445" s="4">
        <f t="shared" si="31"/>
        <v>94.265289999999993</v>
      </c>
      <c r="P445" s="24">
        <v>225.01921999999999</v>
      </c>
      <c r="Q445">
        <v>220.5</v>
      </c>
      <c r="R445" s="25">
        <v>98.195999999999998</v>
      </c>
      <c r="S445" s="4">
        <f t="shared" si="32"/>
        <v>98.120180000000005</v>
      </c>
      <c r="W445" s="22">
        <v>250.00597999999999</v>
      </c>
      <c r="X445">
        <v>220.5</v>
      </c>
      <c r="Y445" s="4">
        <v>85.181669999999997</v>
      </c>
      <c r="Z445" s="4">
        <f t="shared" si="33"/>
        <v>90.622500000000002</v>
      </c>
      <c r="AD445" s="24">
        <v>250.01695000000001</v>
      </c>
      <c r="AE445">
        <v>220.5</v>
      </c>
      <c r="AF445" s="19">
        <v>94.139690000000002</v>
      </c>
      <c r="AG445" s="4">
        <f t="shared" si="34"/>
        <v>94.401179999999997</v>
      </c>
    </row>
    <row r="446" spans="2:33" x14ac:dyDescent="0.15">
      <c r="B446" s="22">
        <v>200.04516000000001</v>
      </c>
      <c r="C446">
        <v>221</v>
      </c>
      <c r="D446" s="4">
        <v>99.190550000000002</v>
      </c>
      <c r="E446" s="4">
        <f t="shared" si="30"/>
        <v>100.31699</v>
      </c>
      <c r="I446" s="22">
        <v>225.00390999999999</v>
      </c>
      <c r="J446">
        <v>221</v>
      </c>
      <c r="K446" s="4">
        <v>90.665899999999993</v>
      </c>
      <c r="L446" s="4">
        <f t="shared" si="31"/>
        <v>94.252969999999991</v>
      </c>
      <c r="P446" s="24">
        <v>225.02279999999999</v>
      </c>
      <c r="Q446">
        <v>221</v>
      </c>
      <c r="R446" s="19">
        <v>98.147069999999999</v>
      </c>
      <c r="S446" s="4">
        <f t="shared" si="32"/>
        <v>98.071250000000006</v>
      </c>
      <c r="W446" s="22">
        <v>250.00299000000001</v>
      </c>
      <c r="X446">
        <v>221</v>
      </c>
      <c r="Y446" s="23">
        <v>85.158969999999997</v>
      </c>
      <c r="Z446" s="4">
        <f t="shared" si="33"/>
        <v>90.599800000000002</v>
      </c>
      <c r="AD446" s="24">
        <v>250.01294999999999</v>
      </c>
      <c r="AE446">
        <v>221</v>
      </c>
      <c r="AF446" s="25">
        <v>94.155860000000004</v>
      </c>
      <c r="AG446" s="4">
        <f t="shared" si="34"/>
        <v>94.417349999999999</v>
      </c>
    </row>
    <row r="447" spans="2:33" x14ac:dyDescent="0.15">
      <c r="B447" s="22">
        <v>200.04417000000001</v>
      </c>
      <c r="C447">
        <v>221.5</v>
      </c>
      <c r="D447" s="23">
        <v>99.135620000000003</v>
      </c>
      <c r="E447" s="4">
        <f t="shared" si="30"/>
        <v>100.26206000000001</v>
      </c>
      <c r="I447" s="22">
        <v>225.00899999999999</v>
      </c>
      <c r="J447">
        <v>221.5</v>
      </c>
      <c r="K447" s="23">
        <v>90.654210000000006</v>
      </c>
      <c r="L447" s="4">
        <f t="shared" si="31"/>
        <v>94.241280000000003</v>
      </c>
      <c r="P447" s="24">
        <v>225.02153000000001</v>
      </c>
      <c r="Q447">
        <v>221.5</v>
      </c>
      <c r="R447" s="25">
        <v>98.335480000000004</v>
      </c>
      <c r="S447" s="4">
        <f t="shared" si="32"/>
        <v>98.259660000000011</v>
      </c>
      <c r="W447" s="22">
        <v>250.00502</v>
      </c>
      <c r="X447">
        <v>221.5</v>
      </c>
      <c r="Y447" s="4">
        <v>85.147180000000006</v>
      </c>
      <c r="Z447" s="4">
        <f t="shared" si="33"/>
        <v>90.588010000000011</v>
      </c>
      <c r="AD447" s="24">
        <v>250.01133999999999</v>
      </c>
      <c r="AE447">
        <v>221.5</v>
      </c>
      <c r="AF447" s="19">
        <v>94.162379999999999</v>
      </c>
      <c r="AG447" s="4">
        <f t="shared" si="34"/>
        <v>94.423869999999994</v>
      </c>
    </row>
    <row r="448" spans="2:33" x14ac:dyDescent="0.15">
      <c r="B448" s="22">
        <v>200.04140000000001</v>
      </c>
      <c r="C448">
        <v>222</v>
      </c>
      <c r="D448" s="4">
        <v>99.0124</v>
      </c>
      <c r="E448" s="4">
        <f t="shared" si="30"/>
        <v>100.13884</v>
      </c>
      <c r="I448" s="22">
        <v>225.00903</v>
      </c>
      <c r="J448">
        <v>222</v>
      </c>
      <c r="K448" s="4">
        <v>90.643330000000006</v>
      </c>
      <c r="L448" s="4">
        <f t="shared" si="31"/>
        <v>94.230400000000003</v>
      </c>
      <c r="P448" s="24">
        <v>225.0239</v>
      </c>
      <c r="Q448">
        <v>222</v>
      </c>
      <c r="R448" s="19">
        <v>98.190849999999998</v>
      </c>
      <c r="S448" s="4">
        <f t="shared" si="32"/>
        <v>98.115030000000004</v>
      </c>
      <c r="W448" s="22">
        <v>250.00498999999999</v>
      </c>
      <c r="X448">
        <v>222</v>
      </c>
      <c r="Y448" s="23">
        <v>85.112520000000004</v>
      </c>
      <c r="Z448" s="4">
        <f t="shared" si="33"/>
        <v>90.553350000000009</v>
      </c>
      <c r="AD448" s="24">
        <v>250.01196999999999</v>
      </c>
      <c r="AE448">
        <v>222</v>
      </c>
      <c r="AF448" s="25">
        <v>94.098830000000007</v>
      </c>
      <c r="AG448" s="4">
        <f t="shared" si="34"/>
        <v>94.360320000000002</v>
      </c>
    </row>
    <row r="449" spans="2:33" x14ac:dyDescent="0.15">
      <c r="B449" s="22">
        <v>200.03658999999999</v>
      </c>
      <c r="C449">
        <v>222.5</v>
      </c>
      <c r="D449" s="23">
        <v>99.19014</v>
      </c>
      <c r="E449" s="4">
        <f t="shared" si="30"/>
        <v>100.31658</v>
      </c>
      <c r="I449" s="22">
        <v>225.00400999999999</v>
      </c>
      <c r="J449">
        <v>222.5</v>
      </c>
      <c r="K449" s="23">
        <v>90.636060000000001</v>
      </c>
      <c r="L449" s="4">
        <f t="shared" si="31"/>
        <v>94.223129999999998</v>
      </c>
      <c r="P449" s="24">
        <v>225.02368999999999</v>
      </c>
      <c r="Q449">
        <v>222.5</v>
      </c>
      <c r="R449" s="25">
        <v>98.200029999999998</v>
      </c>
      <c r="S449" s="4">
        <f t="shared" si="32"/>
        <v>98.124210000000005</v>
      </c>
      <c r="W449" s="22">
        <v>250.00597999999999</v>
      </c>
      <c r="X449">
        <v>222.5</v>
      </c>
      <c r="Y449" s="4">
        <v>85.108800000000002</v>
      </c>
      <c r="Z449" s="4">
        <f t="shared" si="33"/>
        <v>90.549630000000008</v>
      </c>
      <c r="AD449" s="24">
        <v>250.00933000000001</v>
      </c>
      <c r="AE449">
        <v>222.5</v>
      </c>
      <c r="AF449" s="19">
        <v>94.162549999999996</v>
      </c>
      <c r="AG449" s="4">
        <f t="shared" si="34"/>
        <v>94.424039999999991</v>
      </c>
    </row>
    <row r="450" spans="2:33" x14ac:dyDescent="0.15">
      <c r="B450" s="22">
        <v>200.03823</v>
      </c>
      <c r="C450">
        <v>223</v>
      </c>
      <c r="D450" s="4">
        <v>99.117339999999999</v>
      </c>
      <c r="E450" s="4">
        <f t="shared" si="30"/>
        <v>100.24378</v>
      </c>
      <c r="I450" s="22">
        <v>225.00503</v>
      </c>
      <c r="J450">
        <v>223</v>
      </c>
      <c r="K450" s="4">
        <v>90.637749999999997</v>
      </c>
      <c r="L450" s="4">
        <f t="shared" si="31"/>
        <v>94.224819999999994</v>
      </c>
      <c r="P450" s="24">
        <v>225.01848000000001</v>
      </c>
      <c r="Q450">
        <v>223</v>
      </c>
      <c r="R450" s="19">
        <v>98.248440000000002</v>
      </c>
      <c r="S450" s="4">
        <f t="shared" si="32"/>
        <v>98.172620000000009</v>
      </c>
      <c r="W450" s="22">
        <v>250.00803999999999</v>
      </c>
      <c r="X450">
        <v>223</v>
      </c>
      <c r="Y450" s="23">
        <v>85.093450000000004</v>
      </c>
      <c r="Z450" s="4">
        <f t="shared" si="33"/>
        <v>90.53428000000001</v>
      </c>
      <c r="AD450" s="24">
        <v>250.01031</v>
      </c>
      <c r="AE450">
        <v>223</v>
      </c>
      <c r="AF450" s="25">
        <v>94.099270000000004</v>
      </c>
      <c r="AG450" s="4">
        <f t="shared" si="34"/>
        <v>94.360759999999999</v>
      </c>
    </row>
    <row r="451" spans="2:33" x14ac:dyDescent="0.15">
      <c r="B451" s="22">
        <v>200.03740999999999</v>
      </c>
      <c r="C451">
        <v>223.5</v>
      </c>
      <c r="D451" s="23">
        <v>99.201149999999998</v>
      </c>
      <c r="E451" s="4">
        <f t="shared" si="30"/>
        <v>100.32759</v>
      </c>
      <c r="I451" s="22">
        <v>225.00503</v>
      </c>
      <c r="J451">
        <v>223.5</v>
      </c>
      <c r="K451" s="23">
        <v>90.623239999999996</v>
      </c>
      <c r="L451" s="4">
        <f t="shared" si="31"/>
        <v>94.210309999999993</v>
      </c>
      <c r="P451" s="24">
        <v>225.01435000000001</v>
      </c>
      <c r="Q451">
        <v>223.5</v>
      </c>
      <c r="R451" s="25">
        <v>98.312629999999999</v>
      </c>
      <c r="S451" s="4">
        <f t="shared" si="32"/>
        <v>98.236810000000006</v>
      </c>
      <c r="W451" s="22">
        <v>250.00400999999999</v>
      </c>
      <c r="X451">
        <v>223.5</v>
      </c>
      <c r="Y451" s="4">
        <v>85.072580000000002</v>
      </c>
      <c r="Z451" s="4">
        <f t="shared" si="33"/>
        <v>90.513410000000007</v>
      </c>
      <c r="AD451" s="24">
        <v>250.01415</v>
      </c>
      <c r="AE451">
        <v>223.5</v>
      </c>
      <c r="AF451" s="19">
        <v>94.172579999999996</v>
      </c>
      <c r="AG451" s="4">
        <f t="shared" si="34"/>
        <v>94.434069999999991</v>
      </c>
    </row>
    <row r="452" spans="2:33" x14ac:dyDescent="0.15">
      <c r="B452" s="22">
        <v>200.03655000000001</v>
      </c>
      <c r="C452">
        <v>224</v>
      </c>
      <c r="D452" s="4">
        <v>99.142979999999994</v>
      </c>
      <c r="E452" s="4">
        <f t="shared" si="30"/>
        <v>100.26942</v>
      </c>
      <c r="I452" s="22">
        <v>225.00298000000001</v>
      </c>
      <c r="J452">
        <v>224</v>
      </c>
      <c r="K452" s="4">
        <v>90.619299999999996</v>
      </c>
      <c r="L452" s="4">
        <f t="shared" si="31"/>
        <v>94.206369999999993</v>
      </c>
      <c r="P452" s="24">
        <v>225.01974000000001</v>
      </c>
      <c r="Q452">
        <v>224</v>
      </c>
      <c r="R452" s="19">
        <v>98.233919999999998</v>
      </c>
      <c r="S452" s="4">
        <f t="shared" si="32"/>
        <v>98.158100000000005</v>
      </c>
      <c r="W452" s="22">
        <v>250.00297</v>
      </c>
      <c r="X452">
        <v>224</v>
      </c>
      <c r="Y452" s="23">
        <v>85.064719999999994</v>
      </c>
      <c r="Z452" s="4">
        <f t="shared" si="33"/>
        <v>90.505549999999999</v>
      </c>
      <c r="AD452" s="24">
        <v>250.01482999999999</v>
      </c>
      <c r="AE452">
        <v>224</v>
      </c>
      <c r="AF452" s="25">
        <v>94.028180000000006</v>
      </c>
      <c r="AG452" s="4">
        <f t="shared" si="34"/>
        <v>94.289670000000001</v>
      </c>
    </row>
    <row r="453" spans="2:33" x14ac:dyDescent="0.15">
      <c r="B453" s="22">
        <v>200.03352000000001</v>
      </c>
      <c r="C453">
        <v>224.5</v>
      </c>
      <c r="D453" s="23">
        <v>99.069900000000004</v>
      </c>
      <c r="E453" s="4">
        <f t="shared" ref="E453:E483" si="35">100-($D$4-D453)</f>
        <v>100.19634000000001</v>
      </c>
      <c r="I453" s="22">
        <v>225.00506999999999</v>
      </c>
      <c r="J453">
        <v>224.5</v>
      </c>
      <c r="K453" s="23">
        <v>90.604939999999999</v>
      </c>
      <c r="L453" s="4">
        <f t="shared" ref="L453:L483" si="36">100-($K$4-K453)</f>
        <v>94.192009999999996</v>
      </c>
      <c r="P453" s="24">
        <v>225.02108999999999</v>
      </c>
      <c r="Q453">
        <v>224.5</v>
      </c>
      <c r="R453" s="25">
        <v>98.093289999999996</v>
      </c>
      <c r="S453" s="4">
        <f t="shared" ref="S453:S483" si="37">100-($R$4-R453)</f>
        <v>98.017470000000003</v>
      </c>
      <c r="W453" s="22">
        <v>250.00798</v>
      </c>
      <c r="X453">
        <v>224.5</v>
      </c>
      <c r="Y453" s="4">
        <v>85.051479999999998</v>
      </c>
      <c r="Z453" s="4">
        <f t="shared" ref="Z453:Z516" si="38">100-($Y$4-Y453)</f>
        <v>90.492310000000003</v>
      </c>
      <c r="AD453" s="24">
        <v>250.01464000000001</v>
      </c>
      <c r="AE453">
        <v>224.5</v>
      </c>
      <c r="AF453" s="19">
        <v>94.153739999999999</v>
      </c>
      <c r="AG453" s="4">
        <f t="shared" ref="AG453:AG516" si="39">100-($AF$4-AF453)</f>
        <v>94.415229999999994</v>
      </c>
    </row>
    <row r="454" spans="2:33" x14ac:dyDescent="0.15">
      <c r="B454" s="22">
        <v>200.03038000000001</v>
      </c>
      <c r="C454">
        <v>225</v>
      </c>
      <c r="D454" s="4">
        <v>99.073409999999996</v>
      </c>
      <c r="E454" s="4">
        <f t="shared" si="35"/>
        <v>100.19985</v>
      </c>
      <c r="I454" s="22">
        <v>225.00708</v>
      </c>
      <c r="J454">
        <v>225</v>
      </c>
      <c r="K454" s="4">
        <v>90.595489999999998</v>
      </c>
      <c r="L454" s="4">
        <f t="shared" si="36"/>
        <v>94.182559999999995</v>
      </c>
      <c r="P454" s="24">
        <v>225.01820000000001</v>
      </c>
      <c r="Q454">
        <v>225</v>
      </c>
      <c r="R454" s="19">
        <v>98.208449999999999</v>
      </c>
      <c r="S454" s="4">
        <f t="shared" si="37"/>
        <v>98.132630000000006</v>
      </c>
      <c r="W454" s="22">
        <v>250.00298000000001</v>
      </c>
      <c r="X454">
        <v>225</v>
      </c>
      <c r="Y454" s="23">
        <v>85.020690000000002</v>
      </c>
      <c r="Z454" s="4">
        <f t="shared" si="38"/>
        <v>90.461520000000007</v>
      </c>
      <c r="AD454" s="24">
        <v>250.01299</v>
      </c>
      <c r="AE454">
        <v>225</v>
      </c>
      <c r="AF454" s="25">
        <v>93.934049999999999</v>
      </c>
      <c r="AG454" s="4">
        <f t="shared" si="39"/>
        <v>94.195539999999994</v>
      </c>
    </row>
    <row r="455" spans="2:33" x14ac:dyDescent="0.15">
      <c r="B455" s="22">
        <v>200.02789000000001</v>
      </c>
      <c r="C455">
        <v>225.5</v>
      </c>
      <c r="D455" s="23">
        <v>99.106849999999994</v>
      </c>
      <c r="E455" s="4">
        <f t="shared" si="35"/>
        <v>100.23329</v>
      </c>
      <c r="I455" s="22">
        <v>225.00491</v>
      </c>
      <c r="J455">
        <v>225.5</v>
      </c>
      <c r="K455" s="23">
        <v>90.582740000000001</v>
      </c>
      <c r="L455" s="4">
        <f t="shared" si="36"/>
        <v>94.169809999999998</v>
      </c>
      <c r="P455" s="24">
        <v>225.0154</v>
      </c>
      <c r="Q455">
        <v>225.5</v>
      </c>
      <c r="R455" s="25">
        <v>98.288780000000003</v>
      </c>
      <c r="S455" s="4">
        <f t="shared" si="37"/>
        <v>98.21296000000001</v>
      </c>
      <c r="W455" s="22">
        <v>250</v>
      </c>
      <c r="X455">
        <v>225.5</v>
      </c>
      <c r="Y455" s="4">
        <v>85.009150000000005</v>
      </c>
      <c r="Z455" s="4">
        <f t="shared" si="38"/>
        <v>90.449980000000011</v>
      </c>
      <c r="AD455" s="24">
        <v>250.01485</v>
      </c>
      <c r="AE455">
        <v>225.5</v>
      </c>
      <c r="AF455" s="19">
        <v>94.064089999999993</v>
      </c>
      <c r="AG455" s="4">
        <f t="shared" si="39"/>
        <v>94.325579999999988</v>
      </c>
    </row>
    <row r="456" spans="2:33" x14ac:dyDescent="0.15">
      <c r="B456" s="22">
        <v>200.02458999999999</v>
      </c>
      <c r="C456">
        <v>226</v>
      </c>
      <c r="D456" s="4">
        <v>99.141050000000007</v>
      </c>
      <c r="E456" s="4">
        <f t="shared" si="35"/>
        <v>100.26749000000001</v>
      </c>
      <c r="I456" s="22">
        <v>225.00788</v>
      </c>
      <c r="J456">
        <v>226</v>
      </c>
      <c r="K456" s="4">
        <v>90.593670000000003</v>
      </c>
      <c r="L456" s="4">
        <f t="shared" si="36"/>
        <v>94.18074</v>
      </c>
      <c r="P456" s="24">
        <v>225.01275999999999</v>
      </c>
      <c r="Q456">
        <v>226</v>
      </c>
      <c r="R456" s="19">
        <v>98.194550000000007</v>
      </c>
      <c r="S456" s="4">
        <f t="shared" si="37"/>
        <v>98.118730000000014</v>
      </c>
      <c r="W456" s="22">
        <v>250.00199000000001</v>
      </c>
      <c r="X456">
        <v>226</v>
      </c>
      <c r="Y456" s="23">
        <v>84.97466</v>
      </c>
      <c r="Z456" s="4">
        <f t="shared" si="38"/>
        <v>90.415490000000005</v>
      </c>
      <c r="AD456" s="24">
        <v>250.01626999999999</v>
      </c>
      <c r="AE456">
        <v>226</v>
      </c>
      <c r="AF456" s="25">
        <v>93.947490000000002</v>
      </c>
      <c r="AG456" s="4">
        <f t="shared" si="39"/>
        <v>94.208979999999997</v>
      </c>
    </row>
    <row r="457" spans="2:33" x14ac:dyDescent="0.15">
      <c r="B457" s="22">
        <v>200.02448999999999</v>
      </c>
      <c r="C457">
        <v>226.5</v>
      </c>
      <c r="D457" s="23">
        <v>99.085579999999993</v>
      </c>
      <c r="E457" s="4">
        <f t="shared" si="35"/>
        <v>100.21202</v>
      </c>
      <c r="I457" s="22">
        <v>225.00597999999999</v>
      </c>
      <c r="J457">
        <v>226.5</v>
      </c>
      <c r="K457" s="23">
        <v>90.570580000000007</v>
      </c>
      <c r="L457" s="4">
        <f t="shared" si="36"/>
        <v>94.157650000000004</v>
      </c>
      <c r="P457" s="24">
        <v>225.01017999999999</v>
      </c>
      <c r="Q457">
        <v>226.5</v>
      </c>
      <c r="R457" s="25">
        <v>98.206850000000003</v>
      </c>
      <c r="S457" s="4">
        <f t="shared" si="37"/>
        <v>98.13103000000001</v>
      </c>
      <c r="W457" s="22">
        <v>250.00504000000001</v>
      </c>
      <c r="X457">
        <v>226.5</v>
      </c>
      <c r="Y457" s="4">
        <v>84.968919999999997</v>
      </c>
      <c r="Z457" s="4">
        <f t="shared" si="38"/>
        <v>90.409750000000003</v>
      </c>
      <c r="AD457" s="24">
        <v>250.01648</v>
      </c>
      <c r="AE457">
        <v>226.5</v>
      </c>
      <c r="AF457" s="19">
        <v>94.047820000000002</v>
      </c>
      <c r="AG457" s="4">
        <f t="shared" si="39"/>
        <v>94.309309999999996</v>
      </c>
    </row>
    <row r="458" spans="2:33" x14ac:dyDescent="0.15">
      <c r="B458" s="22">
        <v>200.02466999999999</v>
      </c>
      <c r="C458">
        <v>227</v>
      </c>
      <c r="D458" s="4">
        <v>99.047970000000007</v>
      </c>
      <c r="E458" s="4">
        <f t="shared" si="35"/>
        <v>100.17441000000001</v>
      </c>
      <c r="I458" s="22">
        <v>225.00699</v>
      </c>
      <c r="J458">
        <v>227</v>
      </c>
      <c r="K458" s="4">
        <v>90.572280000000006</v>
      </c>
      <c r="L458" s="4">
        <f t="shared" si="36"/>
        <v>94.159350000000003</v>
      </c>
      <c r="P458" s="24">
        <v>225.00695999999999</v>
      </c>
      <c r="Q458">
        <v>227</v>
      </c>
      <c r="R458" s="19">
        <v>98.262190000000004</v>
      </c>
      <c r="S458" s="4">
        <f t="shared" si="37"/>
        <v>98.186370000000011</v>
      </c>
      <c r="W458" s="22">
        <v>250.00497999999999</v>
      </c>
      <c r="X458">
        <v>227</v>
      </c>
      <c r="Y458" s="23">
        <v>84.957390000000004</v>
      </c>
      <c r="Z458" s="4">
        <f t="shared" si="38"/>
        <v>90.398220000000009</v>
      </c>
      <c r="AD458" s="24">
        <v>250.01385999999999</v>
      </c>
      <c r="AE458">
        <v>227</v>
      </c>
      <c r="AF458" s="25">
        <v>94.010919999999999</v>
      </c>
      <c r="AG458" s="4">
        <f t="shared" si="39"/>
        <v>94.272409999999994</v>
      </c>
    </row>
    <row r="459" spans="2:33" x14ac:dyDescent="0.15">
      <c r="B459" s="22">
        <v>200.03577000000001</v>
      </c>
      <c r="C459">
        <v>227.5</v>
      </c>
      <c r="D459" s="23">
        <v>99.098050000000001</v>
      </c>
      <c r="E459" s="4">
        <f t="shared" si="35"/>
        <v>100.22449</v>
      </c>
      <c r="I459" s="22">
        <v>225.00581</v>
      </c>
      <c r="J459">
        <v>227.5</v>
      </c>
      <c r="K459" s="23">
        <v>90.524339999999995</v>
      </c>
      <c r="L459" s="4">
        <f t="shared" si="36"/>
        <v>94.111409999999992</v>
      </c>
      <c r="P459" s="24">
        <v>225.00998000000001</v>
      </c>
      <c r="Q459">
        <v>227.5</v>
      </c>
      <c r="R459" s="25">
        <v>98.170540000000003</v>
      </c>
      <c r="S459" s="4">
        <f t="shared" si="37"/>
        <v>98.094720000000009</v>
      </c>
      <c r="W459" s="22">
        <v>249.99895000000001</v>
      </c>
      <c r="X459">
        <v>227.5</v>
      </c>
      <c r="Y459" s="4">
        <v>84.934389999999993</v>
      </c>
      <c r="Z459" s="4">
        <f t="shared" si="38"/>
        <v>90.375219999999999</v>
      </c>
      <c r="AD459" s="24">
        <v>250.00852</v>
      </c>
      <c r="AE459">
        <v>227.5</v>
      </c>
      <c r="AF459" s="19">
        <v>94.021299999999997</v>
      </c>
      <c r="AG459" s="4">
        <f t="shared" si="39"/>
        <v>94.282789999999991</v>
      </c>
    </row>
    <row r="460" spans="2:33" x14ac:dyDescent="0.15">
      <c r="B460" s="22">
        <v>200.04392999999999</v>
      </c>
      <c r="C460">
        <v>228</v>
      </c>
      <c r="D460" s="4">
        <v>99.100970000000004</v>
      </c>
      <c r="E460" s="4">
        <f t="shared" si="35"/>
        <v>100.22741000000001</v>
      </c>
      <c r="I460" s="22">
        <v>225.00385</v>
      </c>
      <c r="J460">
        <v>228</v>
      </c>
      <c r="K460" s="4">
        <v>90.522180000000006</v>
      </c>
      <c r="L460" s="4">
        <f t="shared" si="36"/>
        <v>94.109250000000003</v>
      </c>
      <c r="P460" s="24">
        <v>225.01169999999999</v>
      </c>
      <c r="Q460">
        <v>228</v>
      </c>
      <c r="R460" s="19">
        <v>98.222499999999997</v>
      </c>
      <c r="S460" s="4">
        <f t="shared" si="37"/>
        <v>98.146680000000003</v>
      </c>
      <c r="W460" s="22">
        <v>250.00092000000001</v>
      </c>
      <c r="X460">
        <v>228</v>
      </c>
      <c r="Y460" s="23">
        <v>84.907619999999994</v>
      </c>
      <c r="Z460" s="4">
        <f t="shared" si="38"/>
        <v>90.34845</v>
      </c>
      <c r="AD460" s="24">
        <v>250.00773000000001</v>
      </c>
      <c r="AE460">
        <v>228</v>
      </c>
      <c r="AF460" s="25">
        <v>93.946089999999998</v>
      </c>
      <c r="AG460" s="4">
        <f t="shared" si="39"/>
        <v>94.207579999999993</v>
      </c>
    </row>
    <row r="461" spans="2:33" x14ac:dyDescent="0.15">
      <c r="B461" s="22">
        <v>200.04051999999999</v>
      </c>
      <c r="C461">
        <v>228.5</v>
      </c>
      <c r="D461" s="23">
        <v>99.10445</v>
      </c>
      <c r="E461" s="4">
        <f t="shared" si="35"/>
        <v>100.23089</v>
      </c>
      <c r="I461" s="22">
        <v>225.00701000000001</v>
      </c>
      <c r="J461">
        <v>228.5</v>
      </c>
      <c r="K461" s="23">
        <v>90.54853</v>
      </c>
      <c r="L461" s="4">
        <f t="shared" si="36"/>
        <v>94.135599999999997</v>
      </c>
      <c r="P461" s="24">
        <v>225.01647</v>
      </c>
      <c r="Q461">
        <v>228.5</v>
      </c>
      <c r="R461" s="25">
        <v>98.113879999999995</v>
      </c>
      <c r="S461" s="4">
        <f t="shared" si="37"/>
        <v>98.038060000000002</v>
      </c>
      <c r="W461" s="22">
        <v>250.00601</v>
      </c>
      <c r="X461">
        <v>228.5</v>
      </c>
      <c r="Y461" s="4">
        <v>84.901859999999999</v>
      </c>
      <c r="Z461" s="4">
        <f t="shared" si="38"/>
        <v>90.342690000000005</v>
      </c>
      <c r="AD461" s="24">
        <v>250.00727000000001</v>
      </c>
      <c r="AE461">
        <v>228.5</v>
      </c>
      <c r="AF461" s="19">
        <v>93.940610000000007</v>
      </c>
      <c r="AG461" s="4">
        <f t="shared" si="39"/>
        <v>94.202100000000002</v>
      </c>
    </row>
    <row r="462" spans="2:33" x14ac:dyDescent="0.15">
      <c r="B462" s="22">
        <v>200.03381999999999</v>
      </c>
      <c r="C462">
        <v>229</v>
      </c>
      <c r="D462" s="4">
        <v>99.145240000000001</v>
      </c>
      <c r="E462" s="4">
        <f t="shared" si="35"/>
        <v>100.27168</v>
      </c>
      <c r="I462" s="22">
        <v>225.00599</v>
      </c>
      <c r="J462">
        <v>229</v>
      </c>
      <c r="K462" s="4">
        <v>90.515519999999995</v>
      </c>
      <c r="L462" s="4">
        <f t="shared" si="36"/>
        <v>94.102589999999992</v>
      </c>
      <c r="P462" s="24">
        <v>225.01864</v>
      </c>
      <c r="Q462">
        <v>229</v>
      </c>
      <c r="R462" s="19">
        <v>98.098399999999998</v>
      </c>
      <c r="S462" s="4">
        <f t="shared" si="37"/>
        <v>98.022580000000005</v>
      </c>
      <c r="W462" s="22">
        <v>250.00800000000001</v>
      </c>
      <c r="X462">
        <v>229</v>
      </c>
      <c r="Y462" s="23">
        <v>84.894360000000006</v>
      </c>
      <c r="Z462" s="4">
        <f t="shared" si="38"/>
        <v>90.335190000000011</v>
      </c>
      <c r="AD462" s="24">
        <v>250.00613999999999</v>
      </c>
      <c r="AE462">
        <v>229</v>
      </c>
      <c r="AF462" s="25">
        <v>93.950149999999994</v>
      </c>
      <c r="AG462" s="4">
        <f t="shared" si="39"/>
        <v>94.211639999999989</v>
      </c>
    </row>
    <row r="463" spans="2:33" x14ac:dyDescent="0.15">
      <c r="B463" s="22">
        <v>200.03018</v>
      </c>
      <c r="C463">
        <v>229.5</v>
      </c>
      <c r="D463" s="23">
        <v>99.015600000000006</v>
      </c>
      <c r="E463" s="4">
        <f t="shared" si="35"/>
        <v>100.14204000000001</v>
      </c>
      <c r="I463" s="22">
        <v>225.00695999999999</v>
      </c>
      <c r="J463">
        <v>229.5</v>
      </c>
      <c r="K463" s="23">
        <v>90.537869999999998</v>
      </c>
      <c r="L463" s="4">
        <f t="shared" si="36"/>
        <v>94.124939999999995</v>
      </c>
      <c r="P463" s="24">
        <v>225.01186999999999</v>
      </c>
      <c r="Q463">
        <v>229.5</v>
      </c>
      <c r="R463" s="25">
        <v>98.252549999999999</v>
      </c>
      <c r="S463" s="4">
        <f t="shared" si="37"/>
        <v>98.176730000000006</v>
      </c>
      <c r="W463" s="22">
        <v>250.01000999999999</v>
      </c>
      <c r="X463">
        <v>229.5</v>
      </c>
      <c r="Y463" s="4">
        <v>84.884450000000001</v>
      </c>
      <c r="Z463" s="4">
        <f t="shared" si="38"/>
        <v>90.325280000000006</v>
      </c>
      <c r="AD463" s="24">
        <v>250.00717</v>
      </c>
      <c r="AE463">
        <v>229.5</v>
      </c>
      <c r="AF463" s="19">
        <v>93.883489999999995</v>
      </c>
      <c r="AG463" s="4">
        <f t="shared" si="39"/>
        <v>94.14497999999999</v>
      </c>
    </row>
    <row r="464" spans="2:33" x14ac:dyDescent="0.15">
      <c r="B464" s="22">
        <v>200.02795</v>
      </c>
      <c r="C464">
        <v>230</v>
      </c>
      <c r="D464" s="4">
        <v>98.960599999999999</v>
      </c>
      <c r="E464" s="4">
        <f t="shared" si="35"/>
        <v>100.08704</v>
      </c>
      <c r="I464" s="22">
        <v>225.00394</v>
      </c>
      <c r="J464">
        <v>230</v>
      </c>
      <c r="K464" s="4">
        <v>90.476640000000003</v>
      </c>
      <c r="L464" s="4">
        <f t="shared" si="36"/>
        <v>94.06371</v>
      </c>
      <c r="P464" s="24">
        <v>225.01229000000001</v>
      </c>
      <c r="Q464">
        <v>230</v>
      </c>
      <c r="R464" s="19">
        <v>98.160489999999996</v>
      </c>
      <c r="S464" s="4">
        <f t="shared" si="37"/>
        <v>98.084670000000003</v>
      </c>
      <c r="W464" s="22">
        <v>250.00206</v>
      </c>
      <c r="X464">
        <v>230</v>
      </c>
      <c r="Y464" s="23">
        <v>84.857810000000001</v>
      </c>
      <c r="Z464" s="4">
        <f t="shared" si="38"/>
        <v>90.298640000000006</v>
      </c>
      <c r="AD464" s="24">
        <v>250.00942000000001</v>
      </c>
      <c r="AE464">
        <v>230</v>
      </c>
      <c r="AF464" s="25">
        <v>93.918629999999993</v>
      </c>
      <c r="AG464" s="4">
        <f t="shared" si="39"/>
        <v>94.180119999999988</v>
      </c>
    </row>
    <row r="465" spans="2:33" x14ac:dyDescent="0.15">
      <c r="B465" s="22">
        <v>200.0258</v>
      </c>
      <c r="C465">
        <v>230.5</v>
      </c>
      <c r="D465" s="23">
        <v>99.187950000000001</v>
      </c>
      <c r="E465" s="4">
        <f t="shared" si="35"/>
        <v>100.31439</v>
      </c>
      <c r="I465" s="22">
        <v>225.00300999999999</v>
      </c>
      <c r="J465">
        <v>230.5</v>
      </c>
      <c r="K465" s="23">
        <v>90.480980000000002</v>
      </c>
      <c r="L465" s="4">
        <f t="shared" si="36"/>
        <v>94.068049999999999</v>
      </c>
      <c r="P465" s="24">
        <v>225.01372000000001</v>
      </c>
      <c r="Q465">
        <v>230.5</v>
      </c>
      <c r="R465" s="25">
        <v>98.124189999999999</v>
      </c>
      <c r="S465" s="4">
        <f t="shared" si="37"/>
        <v>98.048370000000006</v>
      </c>
      <c r="W465" s="22">
        <v>250.00699</v>
      </c>
      <c r="X465">
        <v>230.5</v>
      </c>
      <c r="Y465" s="4">
        <v>84.842449999999999</v>
      </c>
      <c r="Z465" s="4">
        <f t="shared" si="38"/>
        <v>90.283280000000005</v>
      </c>
      <c r="AD465" s="24">
        <v>250.01275000000001</v>
      </c>
      <c r="AE465">
        <v>230.5</v>
      </c>
      <c r="AF465" s="19">
        <v>93.951520000000002</v>
      </c>
      <c r="AG465" s="4">
        <f t="shared" si="39"/>
        <v>94.213009999999997</v>
      </c>
    </row>
    <row r="466" spans="2:33" x14ac:dyDescent="0.15">
      <c r="B466" s="22">
        <v>200.02638999999999</v>
      </c>
      <c r="C466">
        <v>231</v>
      </c>
      <c r="D466" s="4">
        <v>99.158299999999997</v>
      </c>
      <c r="E466" s="4">
        <f t="shared" si="35"/>
        <v>100.28474</v>
      </c>
      <c r="I466" s="22">
        <v>225.00398999999999</v>
      </c>
      <c r="J466">
        <v>231</v>
      </c>
      <c r="K466" s="4">
        <v>90.498930000000001</v>
      </c>
      <c r="L466" s="4">
        <f t="shared" si="36"/>
        <v>94.085999999999999</v>
      </c>
      <c r="P466" s="24">
        <v>225.01231999999999</v>
      </c>
      <c r="Q466">
        <v>231</v>
      </c>
      <c r="R466" s="19">
        <v>98.170299999999997</v>
      </c>
      <c r="S466" s="4">
        <f t="shared" si="37"/>
        <v>98.094480000000004</v>
      </c>
      <c r="W466" s="22">
        <v>250.00505000000001</v>
      </c>
      <c r="X466">
        <v>231</v>
      </c>
      <c r="Y466" s="23">
        <v>84.823210000000003</v>
      </c>
      <c r="Z466" s="4">
        <f t="shared" si="38"/>
        <v>90.264040000000008</v>
      </c>
      <c r="AD466" s="24">
        <v>250.01736</v>
      </c>
      <c r="AE466">
        <v>231</v>
      </c>
      <c r="AF466" s="25">
        <v>93.824879999999993</v>
      </c>
      <c r="AG466" s="4">
        <f t="shared" si="39"/>
        <v>94.086369999999988</v>
      </c>
    </row>
    <row r="467" spans="2:33" x14ac:dyDescent="0.15">
      <c r="B467" s="22">
        <v>200.02923999999999</v>
      </c>
      <c r="C467">
        <v>231.5</v>
      </c>
      <c r="D467" s="23">
        <v>99.020439999999994</v>
      </c>
      <c r="E467" s="4">
        <f t="shared" si="35"/>
        <v>100.14688</v>
      </c>
      <c r="I467" s="22">
        <v>225.00224</v>
      </c>
      <c r="J467">
        <v>231.5</v>
      </c>
      <c r="K467" s="23">
        <v>90.479100000000003</v>
      </c>
      <c r="L467" s="4">
        <f t="shared" si="36"/>
        <v>94.06617</v>
      </c>
      <c r="P467" s="24">
        <v>225.01221000000001</v>
      </c>
      <c r="Q467">
        <v>231.5</v>
      </c>
      <c r="R467" s="25">
        <v>98.032650000000004</v>
      </c>
      <c r="S467" s="4">
        <f t="shared" si="37"/>
        <v>97.956830000000011</v>
      </c>
      <c r="W467" s="22">
        <v>250.00097</v>
      </c>
      <c r="X467">
        <v>231.5</v>
      </c>
      <c r="Y467" s="4">
        <v>84.823149999999998</v>
      </c>
      <c r="Z467" s="4">
        <f t="shared" si="38"/>
        <v>90.263980000000004</v>
      </c>
      <c r="AD467" s="24">
        <v>250.01567</v>
      </c>
      <c r="AE467">
        <v>231.5</v>
      </c>
      <c r="AF467" s="19">
        <v>93.864819999999995</v>
      </c>
      <c r="AG467" s="4">
        <f t="shared" si="39"/>
        <v>94.126309999999989</v>
      </c>
    </row>
    <row r="468" spans="2:33" x14ac:dyDescent="0.15">
      <c r="B468" s="22">
        <v>200.03226000000001</v>
      </c>
      <c r="C468">
        <v>232</v>
      </c>
      <c r="D468" s="4">
        <v>99.132940000000005</v>
      </c>
      <c r="E468" s="4">
        <f t="shared" si="35"/>
        <v>100.25938000000001</v>
      </c>
      <c r="I468" s="22">
        <v>225.006</v>
      </c>
      <c r="J468">
        <v>232</v>
      </c>
      <c r="K468" s="4">
        <v>90.464299999999994</v>
      </c>
      <c r="L468" s="4">
        <f t="shared" si="36"/>
        <v>94.051369999999991</v>
      </c>
      <c r="P468" s="24">
        <v>225.01585</v>
      </c>
      <c r="Q468">
        <v>232</v>
      </c>
      <c r="R468" s="19">
        <v>98.102119999999999</v>
      </c>
      <c r="S468" s="4">
        <f t="shared" si="37"/>
        <v>98.026300000000006</v>
      </c>
      <c r="W468" s="22">
        <v>250.00196</v>
      </c>
      <c r="X468">
        <v>232</v>
      </c>
      <c r="Y468" s="23">
        <v>84.805840000000003</v>
      </c>
      <c r="Z468" s="4">
        <f t="shared" si="38"/>
        <v>90.246670000000009</v>
      </c>
      <c r="AD468" s="24">
        <v>250.01509999999999</v>
      </c>
      <c r="AE468">
        <v>232</v>
      </c>
      <c r="AF468" s="25">
        <v>93.929550000000006</v>
      </c>
      <c r="AG468" s="4">
        <f t="shared" si="39"/>
        <v>94.191040000000001</v>
      </c>
    </row>
    <row r="469" spans="2:33" x14ac:dyDescent="0.15">
      <c r="B469" s="22">
        <v>200.03016</v>
      </c>
      <c r="C469">
        <v>232.5</v>
      </c>
      <c r="D469" s="23">
        <v>99.042789999999997</v>
      </c>
      <c r="E469" s="4">
        <f t="shared" si="35"/>
        <v>100.16923</v>
      </c>
      <c r="I469" s="22">
        <v>225.00709000000001</v>
      </c>
      <c r="J469">
        <v>232.5</v>
      </c>
      <c r="K469" s="23">
        <v>90.446299999999994</v>
      </c>
      <c r="L469" s="4">
        <f t="shared" si="36"/>
        <v>94.033369999999991</v>
      </c>
      <c r="P469" s="24">
        <v>225.01755</v>
      </c>
      <c r="Q469">
        <v>232.5</v>
      </c>
      <c r="R469" s="25">
        <v>98.223429999999993</v>
      </c>
      <c r="S469" s="4">
        <f t="shared" si="37"/>
        <v>98.14761</v>
      </c>
      <c r="W469" s="22">
        <v>250.00300999999999</v>
      </c>
      <c r="X469">
        <v>232.5</v>
      </c>
      <c r="Y469" s="4">
        <v>84.792469999999994</v>
      </c>
      <c r="Z469" s="4">
        <f t="shared" si="38"/>
        <v>90.2333</v>
      </c>
      <c r="AD469" s="24">
        <v>250.01496</v>
      </c>
      <c r="AE469">
        <v>232.5</v>
      </c>
      <c r="AF469" s="19">
        <v>93.852869999999996</v>
      </c>
      <c r="AG469" s="4">
        <f t="shared" si="39"/>
        <v>94.114359999999991</v>
      </c>
    </row>
    <row r="470" spans="2:33" x14ac:dyDescent="0.15">
      <c r="B470" s="22">
        <v>200.03103999999999</v>
      </c>
      <c r="C470">
        <v>233</v>
      </c>
      <c r="D470" s="4">
        <v>99.20017</v>
      </c>
      <c r="E470" s="4">
        <f t="shared" si="35"/>
        <v>100.32661</v>
      </c>
      <c r="I470" s="22">
        <v>225.01087999999999</v>
      </c>
      <c r="J470">
        <v>233</v>
      </c>
      <c r="K470" s="4">
        <v>90.451809999999995</v>
      </c>
      <c r="L470" s="4">
        <f t="shared" si="36"/>
        <v>94.038879999999992</v>
      </c>
      <c r="P470" s="24">
        <v>225.01929000000001</v>
      </c>
      <c r="Q470">
        <v>233</v>
      </c>
      <c r="R470" s="19">
        <v>98.046469999999999</v>
      </c>
      <c r="S470" s="4">
        <f t="shared" si="37"/>
        <v>97.970650000000006</v>
      </c>
      <c r="W470" s="22">
        <v>250.00703999999999</v>
      </c>
      <c r="X470">
        <v>233</v>
      </c>
      <c r="Y470" s="23">
        <v>84.778980000000004</v>
      </c>
      <c r="Z470" s="4">
        <f t="shared" si="38"/>
        <v>90.21981000000001</v>
      </c>
      <c r="AD470" s="24">
        <v>250.01134999999999</v>
      </c>
      <c r="AE470">
        <v>233</v>
      </c>
      <c r="AF470" s="25">
        <v>93.859660000000005</v>
      </c>
      <c r="AG470" s="4">
        <f t="shared" si="39"/>
        <v>94.12115</v>
      </c>
    </row>
    <row r="471" spans="2:33" x14ac:dyDescent="0.15">
      <c r="B471" s="22">
        <v>200.02932000000001</v>
      </c>
      <c r="C471">
        <v>233.5</v>
      </c>
      <c r="D471" s="23">
        <v>99.138339999999999</v>
      </c>
      <c r="E471" s="4">
        <f t="shared" si="35"/>
        <v>100.26478</v>
      </c>
      <c r="I471" s="22">
        <v>225.00594000000001</v>
      </c>
      <c r="J471">
        <v>233.5</v>
      </c>
      <c r="K471" s="23">
        <v>90.441370000000006</v>
      </c>
      <c r="L471" s="4">
        <f t="shared" si="36"/>
        <v>94.028440000000003</v>
      </c>
      <c r="P471" s="24">
        <v>225.01682</v>
      </c>
      <c r="Q471">
        <v>233.5</v>
      </c>
      <c r="R471" s="25">
        <v>98.117609999999999</v>
      </c>
      <c r="S471" s="4">
        <f t="shared" si="37"/>
        <v>98.041790000000006</v>
      </c>
      <c r="W471" s="22">
        <v>250.00700000000001</v>
      </c>
      <c r="X471">
        <v>233.5</v>
      </c>
      <c r="Y471" s="4">
        <v>84.765699999999995</v>
      </c>
      <c r="Z471" s="4">
        <f t="shared" si="38"/>
        <v>90.206530000000001</v>
      </c>
      <c r="AD471" s="24">
        <v>250.01003</v>
      </c>
      <c r="AE471">
        <v>233.5</v>
      </c>
      <c r="AF471" s="19">
        <v>93.757859999999994</v>
      </c>
      <c r="AG471" s="4">
        <f t="shared" si="39"/>
        <v>94.019349999999989</v>
      </c>
    </row>
    <row r="472" spans="2:33" x14ac:dyDescent="0.15">
      <c r="B472" s="22">
        <v>200.0256</v>
      </c>
      <c r="C472">
        <v>234</v>
      </c>
      <c r="D472" s="4">
        <v>99.112489999999994</v>
      </c>
      <c r="E472" s="4">
        <f t="shared" si="35"/>
        <v>100.23893</v>
      </c>
      <c r="I472" s="22">
        <v>225.00304</v>
      </c>
      <c r="J472">
        <v>234</v>
      </c>
      <c r="K472" s="4">
        <v>90.428970000000007</v>
      </c>
      <c r="L472" s="4">
        <f t="shared" si="36"/>
        <v>94.016040000000004</v>
      </c>
      <c r="P472" s="24">
        <v>225.01371</v>
      </c>
      <c r="Q472">
        <v>234</v>
      </c>
      <c r="R472" s="19">
        <v>98.225610000000003</v>
      </c>
      <c r="S472" s="4">
        <f t="shared" si="37"/>
        <v>98.14979000000001</v>
      </c>
      <c r="W472" s="22">
        <v>250.00803999999999</v>
      </c>
      <c r="X472">
        <v>234</v>
      </c>
      <c r="Y472" s="23">
        <v>84.744439999999997</v>
      </c>
      <c r="Z472" s="4">
        <f t="shared" si="38"/>
        <v>90.185270000000003</v>
      </c>
      <c r="AD472" s="24">
        <v>250.01320999999999</v>
      </c>
      <c r="AE472">
        <v>234</v>
      </c>
      <c r="AF472" s="25">
        <v>93.87115</v>
      </c>
      <c r="AG472" s="4">
        <f t="shared" si="39"/>
        <v>94.132639999999995</v>
      </c>
    </row>
    <row r="473" spans="2:33" x14ac:dyDescent="0.15">
      <c r="B473" s="22">
        <v>200.02243000000001</v>
      </c>
      <c r="C473">
        <v>234.5</v>
      </c>
      <c r="D473" s="23">
        <v>99.075779999999995</v>
      </c>
      <c r="E473" s="4">
        <f t="shared" si="35"/>
        <v>100.20222</v>
      </c>
      <c r="I473" s="22">
        <v>225.00297</v>
      </c>
      <c r="J473">
        <v>234.5</v>
      </c>
      <c r="K473" s="23">
        <v>90.420169999999999</v>
      </c>
      <c r="L473" s="4">
        <f t="shared" si="36"/>
        <v>94.007239999999996</v>
      </c>
      <c r="P473" s="24">
        <v>225.01519999999999</v>
      </c>
      <c r="Q473">
        <v>234.5</v>
      </c>
      <c r="R473" s="25">
        <v>98.149630000000002</v>
      </c>
      <c r="S473" s="4">
        <f t="shared" si="37"/>
        <v>98.073810000000009</v>
      </c>
      <c r="W473" s="22">
        <v>250.00901999999999</v>
      </c>
      <c r="X473">
        <v>234.5</v>
      </c>
      <c r="Y473" s="4">
        <v>84.729259999999996</v>
      </c>
      <c r="Z473" s="4">
        <f t="shared" si="38"/>
        <v>90.170090000000002</v>
      </c>
      <c r="AD473" s="24">
        <v>250.01097999999999</v>
      </c>
      <c r="AE473">
        <v>234.5</v>
      </c>
      <c r="AF473" s="19">
        <v>93.876410000000007</v>
      </c>
      <c r="AG473" s="4">
        <f t="shared" si="39"/>
        <v>94.137900000000002</v>
      </c>
    </row>
    <row r="474" spans="2:33" x14ac:dyDescent="0.15">
      <c r="B474" s="22">
        <v>200.01911999999999</v>
      </c>
      <c r="C474">
        <v>235</v>
      </c>
      <c r="D474" s="4">
        <v>99.039990000000003</v>
      </c>
      <c r="E474" s="4">
        <f t="shared" si="35"/>
        <v>100.16643000000001</v>
      </c>
      <c r="I474" s="22">
        <v>225.00403</v>
      </c>
      <c r="J474">
        <v>235</v>
      </c>
      <c r="K474" s="4">
        <v>90.409710000000004</v>
      </c>
      <c r="L474" s="4">
        <f t="shared" si="36"/>
        <v>93.996780000000001</v>
      </c>
      <c r="P474" s="24">
        <v>225.01657</v>
      </c>
      <c r="Q474">
        <v>235</v>
      </c>
      <c r="R474" s="19">
        <v>98.07226</v>
      </c>
      <c r="S474" s="4">
        <f t="shared" si="37"/>
        <v>97.996440000000007</v>
      </c>
      <c r="W474" s="22">
        <v>250.011</v>
      </c>
      <c r="X474">
        <v>235</v>
      </c>
      <c r="Y474" s="23">
        <v>84.702389999999994</v>
      </c>
      <c r="Z474" s="4">
        <f t="shared" si="38"/>
        <v>90.143219999999999</v>
      </c>
      <c r="AD474" s="24">
        <v>250.00908999999999</v>
      </c>
      <c r="AE474">
        <v>235</v>
      </c>
      <c r="AF474" s="25">
        <v>93.911630000000002</v>
      </c>
      <c r="AG474" s="4">
        <f t="shared" si="39"/>
        <v>94.173119999999997</v>
      </c>
    </row>
    <row r="475" spans="2:33" x14ac:dyDescent="0.15">
      <c r="B475" s="22">
        <v>200.01625999999999</v>
      </c>
      <c r="C475">
        <v>235.5</v>
      </c>
      <c r="D475" s="23">
        <v>99.121679999999998</v>
      </c>
      <c r="E475" s="4">
        <f t="shared" si="35"/>
        <v>100.24812</v>
      </c>
      <c r="I475" s="22">
        <v>225.00390999999999</v>
      </c>
      <c r="J475">
        <v>235.5</v>
      </c>
      <c r="K475" s="23">
        <v>90.416690000000003</v>
      </c>
      <c r="L475" s="4">
        <f t="shared" si="36"/>
        <v>94.00376</v>
      </c>
      <c r="P475" s="24">
        <v>225.01465999999999</v>
      </c>
      <c r="Q475">
        <v>235.5</v>
      </c>
      <c r="R475" s="25">
        <v>98.287890000000004</v>
      </c>
      <c r="S475" s="4">
        <f t="shared" si="37"/>
        <v>98.212070000000011</v>
      </c>
      <c r="W475" s="22">
        <v>250.00698</v>
      </c>
      <c r="X475">
        <v>235.5</v>
      </c>
      <c r="Y475" s="4">
        <v>84.668030000000002</v>
      </c>
      <c r="Z475" s="4">
        <f t="shared" si="38"/>
        <v>90.108860000000007</v>
      </c>
      <c r="AD475" s="24">
        <v>250.01209</v>
      </c>
      <c r="AE475">
        <v>235.5</v>
      </c>
      <c r="AF475" s="19">
        <v>93.751940000000005</v>
      </c>
      <c r="AG475" s="4">
        <f t="shared" si="39"/>
        <v>94.01343</v>
      </c>
    </row>
    <row r="476" spans="2:33" x14ac:dyDescent="0.15">
      <c r="B476" s="22">
        <v>200.01727</v>
      </c>
      <c r="C476">
        <v>236</v>
      </c>
      <c r="D476" s="4">
        <v>98.981920000000002</v>
      </c>
      <c r="E476" s="4">
        <f t="shared" si="35"/>
        <v>100.10836</v>
      </c>
      <c r="I476" s="22">
        <v>225.00709000000001</v>
      </c>
      <c r="J476">
        <v>236</v>
      </c>
      <c r="K476" s="4">
        <v>90.351159999999993</v>
      </c>
      <c r="L476" s="4">
        <f t="shared" si="36"/>
        <v>93.93822999999999</v>
      </c>
      <c r="P476" s="24">
        <v>225.01712000000001</v>
      </c>
      <c r="Q476">
        <v>236</v>
      </c>
      <c r="R476" s="19">
        <v>98.176190000000005</v>
      </c>
      <c r="S476" s="4">
        <f t="shared" si="37"/>
        <v>98.100370000000012</v>
      </c>
      <c r="W476" s="22">
        <v>250.00404</v>
      </c>
      <c r="X476">
        <v>236</v>
      </c>
      <c r="Y476" s="23">
        <v>84.654579999999996</v>
      </c>
      <c r="Z476" s="4">
        <f t="shared" si="38"/>
        <v>90.095410000000001</v>
      </c>
      <c r="AD476" s="24">
        <v>250.01719</v>
      </c>
      <c r="AE476">
        <v>236</v>
      </c>
      <c r="AF476" s="25">
        <v>93.77449</v>
      </c>
      <c r="AG476" s="4">
        <f t="shared" si="39"/>
        <v>94.035979999999995</v>
      </c>
    </row>
    <row r="477" spans="2:33" x14ac:dyDescent="0.15">
      <c r="B477" s="22">
        <v>200.02252999999999</v>
      </c>
      <c r="C477">
        <v>236.5</v>
      </c>
      <c r="D477" s="23">
        <v>99.106250000000003</v>
      </c>
      <c r="E477" s="4">
        <f t="shared" si="35"/>
        <v>100.23269000000001</v>
      </c>
      <c r="I477" s="22">
        <v>225.01</v>
      </c>
      <c r="J477">
        <v>236.5</v>
      </c>
      <c r="K477" s="23">
        <v>90.385540000000006</v>
      </c>
      <c r="L477" s="4">
        <f t="shared" si="36"/>
        <v>93.972610000000003</v>
      </c>
      <c r="P477" s="24">
        <v>225.01893000000001</v>
      </c>
      <c r="Q477">
        <v>236.5</v>
      </c>
      <c r="R477" s="25">
        <v>98.221149999999994</v>
      </c>
      <c r="S477" s="4">
        <f t="shared" si="37"/>
        <v>98.145330000000001</v>
      </c>
      <c r="W477" s="22">
        <v>250.00502</v>
      </c>
      <c r="X477">
        <v>236.5</v>
      </c>
      <c r="Y477" s="4">
        <v>84.662189999999995</v>
      </c>
      <c r="Z477" s="4">
        <f t="shared" si="38"/>
        <v>90.103020000000001</v>
      </c>
      <c r="AD477" s="24">
        <v>250.01687000000001</v>
      </c>
      <c r="AE477">
        <v>236.5</v>
      </c>
      <c r="AF477" s="19">
        <v>93.840149999999994</v>
      </c>
      <c r="AG477" s="4">
        <f t="shared" si="39"/>
        <v>94.101639999999989</v>
      </c>
    </row>
    <row r="478" spans="2:33" x14ac:dyDescent="0.15">
      <c r="B478" s="22">
        <v>200.02144999999999</v>
      </c>
      <c r="C478">
        <v>237</v>
      </c>
      <c r="D478" s="4">
        <v>99.140129999999999</v>
      </c>
      <c r="E478" s="4">
        <f t="shared" si="35"/>
        <v>100.26657</v>
      </c>
      <c r="I478" s="22">
        <v>225.00297</v>
      </c>
      <c r="J478">
        <v>237</v>
      </c>
      <c r="K478" s="4">
        <v>90.35163</v>
      </c>
      <c r="L478" s="4">
        <f t="shared" si="36"/>
        <v>93.938699999999997</v>
      </c>
      <c r="P478" s="24">
        <v>225.01669999999999</v>
      </c>
      <c r="Q478">
        <v>237</v>
      </c>
      <c r="R478" s="19">
        <v>98.195449999999994</v>
      </c>
      <c r="S478" s="4">
        <f t="shared" si="37"/>
        <v>98.119630000000001</v>
      </c>
      <c r="W478" s="22">
        <v>250.00397000000001</v>
      </c>
      <c r="X478">
        <v>237</v>
      </c>
      <c r="Y478" s="23">
        <v>84.635239999999996</v>
      </c>
      <c r="Z478" s="4">
        <f t="shared" si="38"/>
        <v>90.076070000000001</v>
      </c>
      <c r="AD478" s="24">
        <v>250.01581999999999</v>
      </c>
      <c r="AE478">
        <v>237</v>
      </c>
      <c r="AF478" s="25">
        <v>93.651889999999995</v>
      </c>
      <c r="AG478" s="4">
        <f t="shared" si="39"/>
        <v>93.913379999999989</v>
      </c>
    </row>
    <row r="479" spans="2:33" x14ac:dyDescent="0.15">
      <c r="B479" s="22">
        <v>200.02198000000001</v>
      </c>
      <c r="C479">
        <v>237.5</v>
      </c>
      <c r="D479" s="23">
        <v>98.997680000000003</v>
      </c>
      <c r="E479" s="4">
        <f t="shared" si="35"/>
        <v>100.12412</v>
      </c>
      <c r="I479" s="22">
        <v>225.00390999999999</v>
      </c>
      <c r="J479">
        <v>237.5</v>
      </c>
      <c r="K479" s="23">
        <v>90.378230000000002</v>
      </c>
      <c r="L479" s="4">
        <f t="shared" si="36"/>
        <v>93.965299999999999</v>
      </c>
      <c r="P479" s="24">
        <v>225.01779999999999</v>
      </c>
      <c r="Q479">
        <v>237.5</v>
      </c>
      <c r="R479" s="25">
        <v>98.124639999999999</v>
      </c>
      <c r="S479" s="4">
        <f t="shared" si="37"/>
        <v>98.048820000000006</v>
      </c>
      <c r="W479" s="22">
        <v>250.00498999999999</v>
      </c>
      <c r="X479">
        <v>237.5</v>
      </c>
      <c r="Y479" s="4">
        <v>84.614289999999997</v>
      </c>
      <c r="Z479" s="4">
        <f t="shared" si="38"/>
        <v>90.055120000000002</v>
      </c>
      <c r="AD479" s="24">
        <v>250.01813999999999</v>
      </c>
      <c r="AE479">
        <v>237.5</v>
      </c>
      <c r="AF479" s="19">
        <v>93.730369999999994</v>
      </c>
      <c r="AG479" s="4">
        <f t="shared" si="39"/>
        <v>93.991859999999988</v>
      </c>
    </row>
    <row r="480" spans="2:33" x14ac:dyDescent="0.15">
      <c r="B480" s="22">
        <v>200.02402000000001</v>
      </c>
      <c r="C480">
        <v>238</v>
      </c>
      <c r="D480" s="4">
        <v>99.036000000000001</v>
      </c>
      <c r="E480" s="4">
        <f t="shared" si="35"/>
        <v>100.16244</v>
      </c>
      <c r="I480" s="22">
        <v>225.00205</v>
      </c>
      <c r="J480">
        <v>238</v>
      </c>
      <c r="K480" s="4">
        <v>90.374830000000003</v>
      </c>
      <c r="L480" s="4">
        <f t="shared" si="36"/>
        <v>93.9619</v>
      </c>
      <c r="P480" s="24">
        <v>225.01813000000001</v>
      </c>
      <c r="Q480">
        <v>238</v>
      </c>
      <c r="R480" s="19">
        <v>98.127589999999998</v>
      </c>
      <c r="S480" s="4">
        <f t="shared" si="37"/>
        <v>98.051770000000005</v>
      </c>
      <c r="W480" s="22">
        <v>250.00900999999999</v>
      </c>
      <c r="X480">
        <v>238</v>
      </c>
      <c r="Y480" s="23">
        <v>84.600740000000002</v>
      </c>
      <c r="Z480" s="4">
        <f t="shared" si="38"/>
        <v>90.041570000000007</v>
      </c>
      <c r="AD480" s="24">
        <v>250.02275</v>
      </c>
      <c r="AE480">
        <v>238</v>
      </c>
      <c r="AF480" s="25">
        <v>93.704790000000003</v>
      </c>
      <c r="AG480" s="4">
        <f t="shared" si="39"/>
        <v>93.966279999999998</v>
      </c>
    </row>
    <row r="481" spans="2:33" x14ac:dyDescent="0.15">
      <c r="B481" s="22">
        <v>200.02132</v>
      </c>
      <c r="C481">
        <v>238.5</v>
      </c>
      <c r="D481" s="23">
        <v>99.104550000000003</v>
      </c>
      <c r="E481" s="4">
        <f t="shared" si="35"/>
        <v>100.23099000000001</v>
      </c>
      <c r="I481" s="22">
        <v>225.00594000000001</v>
      </c>
      <c r="J481">
        <v>238.5</v>
      </c>
      <c r="K481" s="23">
        <v>90.356179999999995</v>
      </c>
      <c r="L481" s="4">
        <f t="shared" si="36"/>
        <v>93.943249999999992</v>
      </c>
      <c r="P481" s="24">
        <v>225.01777999999999</v>
      </c>
      <c r="Q481">
        <v>238.5</v>
      </c>
      <c r="R481" s="25">
        <v>98.114379999999997</v>
      </c>
      <c r="S481" s="4">
        <f t="shared" si="37"/>
        <v>98.038560000000004</v>
      </c>
      <c r="W481" s="22">
        <v>250.00503</v>
      </c>
      <c r="X481">
        <v>238.5</v>
      </c>
      <c r="Y481" s="4">
        <v>84.585539999999995</v>
      </c>
      <c r="Z481" s="4">
        <f t="shared" si="38"/>
        <v>90.02637</v>
      </c>
      <c r="AD481" s="24">
        <v>250.02833999999999</v>
      </c>
      <c r="AE481">
        <v>238.5</v>
      </c>
      <c r="AF481" s="19">
        <v>93.759839999999997</v>
      </c>
      <c r="AG481" s="4">
        <f t="shared" si="39"/>
        <v>94.021329999999992</v>
      </c>
    </row>
    <row r="482" spans="2:33" x14ac:dyDescent="0.15">
      <c r="B482" s="22">
        <v>200.01899</v>
      </c>
      <c r="C482">
        <v>239</v>
      </c>
      <c r="D482" s="4">
        <v>99.096580000000003</v>
      </c>
      <c r="E482" s="4">
        <f t="shared" si="35"/>
        <v>100.22302000000001</v>
      </c>
      <c r="I482" s="22">
        <v>225.00706</v>
      </c>
      <c r="J482">
        <v>239</v>
      </c>
      <c r="K482" s="4">
        <v>90.349540000000005</v>
      </c>
      <c r="L482" s="4">
        <f t="shared" si="36"/>
        <v>93.936610000000002</v>
      </c>
      <c r="P482" s="24">
        <v>225.01877999999999</v>
      </c>
      <c r="Q482">
        <v>239</v>
      </c>
      <c r="R482" s="19">
        <v>98.068709999999996</v>
      </c>
      <c r="S482" s="4">
        <f t="shared" si="37"/>
        <v>97.992890000000003</v>
      </c>
      <c r="W482" s="22">
        <v>250.00899000000001</v>
      </c>
      <c r="X482">
        <v>239</v>
      </c>
      <c r="Y482" s="23">
        <v>84.573949999999996</v>
      </c>
      <c r="Z482" s="4">
        <f t="shared" si="38"/>
        <v>90.014780000000002</v>
      </c>
      <c r="AD482" s="24">
        <v>250.02743000000001</v>
      </c>
      <c r="AE482">
        <v>239</v>
      </c>
      <c r="AF482" s="25">
        <v>93.721400000000003</v>
      </c>
      <c r="AG482" s="4">
        <f t="shared" si="39"/>
        <v>93.982889999999998</v>
      </c>
    </row>
    <row r="483" spans="2:33" x14ac:dyDescent="0.15">
      <c r="B483" s="22">
        <v>200.0214</v>
      </c>
      <c r="C483">
        <v>239.5</v>
      </c>
      <c r="D483" s="23">
        <v>99.115899999999996</v>
      </c>
      <c r="E483" s="4">
        <f t="shared" si="35"/>
        <v>100.24234</v>
      </c>
      <c r="I483" s="22">
        <v>225.00889000000001</v>
      </c>
      <c r="J483">
        <v>239.5</v>
      </c>
      <c r="K483" s="23">
        <v>90.359690000000001</v>
      </c>
      <c r="L483" s="4">
        <f t="shared" si="36"/>
        <v>93.946759999999998</v>
      </c>
      <c r="P483" s="24">
        <v>225.01824999999999</v>
      </c>
      <c r="Q483">
        <v>239.5</v>
      </c>
      <c r="R483" s="25">
        <v>98.044129999999996</v>
      </c>
      <c r="S483" s="4">
        <f t="shared" si="37"/>
        <v>97.968310000000002</v>
      </c>
      <c r="W483" s="22">
        <v>250.00700000000001</v>
      </c>
      <c r="X483">
        <v>239.5</v>
      </c>
      <c r="Y483" s="4">
        <v>84.558539999999994</v>
      </c>
      <c r="Z483" s="4">
        <f t="shared" si="38"/>
        <v>89.999369999999999</v>
      </c>
      <c r="AD483" s="24">
        <v>250.02399</v>
      </c>
      <c r="AE483">
        <v>239.5</v>
      </c>
      <c r="AF483" s="19">
        <v>93.789280000000005</v>
      </c>
      <c r="AG483" s="4">
        <f t="shared" si="39"/>
        <v>94.05077</v>
      </c>
    </row>
    <row r="484" spans="2:33" x14ac:dyDescent="0.15">
      <c r="W484" s="22">
        <v>250.00299999999999</v>
      </c>
      <c r="X484">
        <v>240</v>
      </c>
      <c r="Y484" s="23">
        <v>84.545240000000007</v>
      </c>
      <c r="Z484" s="4">
        <f t="shared" si="38"/>
        <v>89.986070000000012</v>
      </c>
      <c r="AD484" s="24">
        <v>250.02421000000001</v>
      </c>
      <c r="AE484">
        <v>240</v>
      </c>
      <c r="AF484" s="25">
        <v>93.714330000000004</v>
      </c>
      <c r="AG484" s="4">
        <f t="shared" si="39"/>
        <v>93.975819999999999</v>
      </c>
    </row>
    <row r="485" spans="2:33" x14ac:dyDescent="0.15">
      <c r="W485" s="22">
        <v>250.00396000000001</v>
      </c>
      <c r="X485">
        <v>240.5</v>
      </c>
      <c r="Y485" s="4">
        <v>84.527739999999994</v>
      </c>
      <c r="Z485" s="4">
        <f t="shared" si="38"/>
        <v>89.96857</v>
      </c>
      <c r="AD485" s="24">
        <v>250.02305999999999</v>
      </c>
      <c r="AE485">
        <v>240.5</v>
      </c>
      <c r="AF485" s="19">
        <v>93.698629999999994</v>
      </c>
      <c r="AG485" s="4">
        <f t="shared" si="39"/>
        <v>93.960119999999989</v>
      </c>
    </row>
    <row r="486" spans="2:33" x14ac:dyDescent="0.15">
      <c r="W486" s="22">
        <v>250.00299000000001</v>
      </c>
      <c r="X486">
        <v>241</v>
      </c>
      <c r="Y486" s="23">
        <v>84.506829999999994</v>
      </c>
      <c r="Z486" s="4">
        <f t="shared" si="38"/>
        <v>89.947659999999999</v>
      </c>
      <c r="AD486" s="24">
        <v>250.01988</v>
      </c>
      <c r="AE486">
        <v>241</v>
      </c>
      <c r="AF486" s="25">
        <v>93.679850000000002</v>
      </c>
      <c r="AG486" s="4">
        <f t="shared" si="39"/>
        <v>93.941339999999997</v>
      </c>
    </row>
    <row r="487" spans="2:33" x14ac:dyDescent="0.15">
      <c r="W487" s="22">
        <v>250.00599</v>
      </c>
      <c r="X487">
        <v>241.5</v>
      </c>
      <c r="Y487" s="4">
        <v>84.493319999999997</v>
      </c>
      <c r="Z487" s="4">
        <f t="shared" si="38"/>
        <v>89.934150000000002</v>
      </c>
      <c r="AD487" s="24">
        <v>250.02035000000001</v>
      </c>
      <c r="AE487">
        <v>241.5</v>
      </c>
      <c r="AF487" s="19">
        <v>93.694940000000003</v>
      </c>
      <c r="AG487" s="4">
        <f t="shared" si="39"/>
        <v>93.956429999999997</v>
      </c>
    </row>
    <row r="488" spans="2:33" x14ac:dyDescent="0.15">
      <c r="W488" s="22">
        <v>250.00596999999999</v>
      </c>
      <c r="X488">
        <v>242</v>
      </c>
      <c r="Y488" s="23">
        <v>84.483999999999995</v>
      </c>
      <c r="Z488" s="4">
        <f t="shared" si="38"/>
        <v>89.92483</v>
      </c>
      <c r="AD488" s="24">
        <v>250.01571999999999</v>
      </c>
      <c r="AE488">
        <v>242</v>
      </c>
      <c r="AF488" s="25">
        <v>93.735960000000006</v>
      </c>
      <c r="AG488" s="4">
        <f t="shared" si="39"/>
        <v>93.997450000000001</v>
      </c>
    </row>
    <row r="489" spans="2:33" x14ac:dyDescent="0.15">
      <c r="W489" s="22">
        <v>250.01098999999999</v>
      </c>
      <c r="X489">
        <v>242.5</v>
      </c>
      <c r="Y489" s="4">
        <v>84.476140000000001</v>
      </c>
      <c r="Z489" s="4">
        <f t="shared" si="38"/>
        <v>89.916970000000006</v>
      </c>
      <c r="AD489" s="24">
        <v>250.01653999999999</v>
      </c>
      <c r="AE489">
        <v>242.5</v>
      </c>
      <c r="AF489" s="19">
        <v>93.623469999999998</v>
      </c>
      <c r="AG489" s="4">
        <f t="shared" si="39"/>
        <v>93.884959999999992</v>
      </c>
    </row>
    <row r="490" spans="2:33" x14ac:dyDescent="0.15">
      <c r="W490" s="22">
        <v>250.00602000000001</v>
      </c>
      <c r="X490">
        <v>243</v>
      </c>
      <c r="Y490" s="23">
        <v>84.456969999999998</v>
      </c>
      <c r="Z490" s="4">
        <f t="shared" si="38"/>
        <v>89.897800000000004</v>
      </c>
      <c r="AD490" s="24">
        <v>250.02006</v>
      </c>
      <c r="AE490">
        <v>243</v>
      </c>
      <c r="AF490" s="25">
        <v>93.727339999999998</v>
      </c>
      <c r="AG490" s="4">
        <f t="shared" si="39"/>
        <v>93.988829999999993</v>
      </c>
    </row>
    <row r="491" spans="2:33" x14ac:dyDescent="0.15">
      <c r="W491" s="22">
        <v>250.00503</v>
      </c>
      <c r="X491">
        <v>243.5</v>
      </c>
      <c r="Y491" s="4">
        <v>84.428269999999998</v>
      </c>
      <c r="Z491" s="4">
        <f t="shared" si="38"/>
        <v>89.869100000000003</v>
      </c>
      <c r="AD491" s="24">
        <v>250.02019999999999</v>
      </c>
      <c r="AE491">
        <v>243.5</v>
      </c>
      <c r="AF491" s="19">
        <v>93.558909999999997</v>
      </c>
      <c r="AG491" s="4">
        <f t="shared" si="39"/>
        <v>93.820399999999992</v>
      </c>
    </row>
    <row r="492" spans="2:33" x14ac:dyDescent="0.15">
      <c r="W492" s="22">
        <v>250.005</v>
      </c>
      <c r="X492">
        <v>244</v>
      </c>
      <c r="Y492" s="23">
        <v>84.414900000000003</v>
      </c>
      <c r="Z492" s="4">
        <f t="shared" si="38"/>
        <v>89.855730000000008</v>
      </c>
      <c r="AD492" s="24">
        <v>250.01966999999999</v>
      </c>
      <c r="AE492">
        <v>244</v>
      </c>
      <c r="AF492" s="25">
        <v>93.577520000000007</v>
      </c>
      <c r="AG492" s="4">
        <f t="shared" si="39"/>
        <v>93.839010000000002</v>
      </c>
    </row>
    <row r="493" spans="2:33" x14ac:dyDescent="0.15">
      <c r="W493" s="22">
        <v>250.001</v>
      </c>
      <c r="X493">
        <v>244.5</v>
      </c>
      <c r="Y493" s="4">
        <v>84.403189999999995</v>
      </c>
      <c r="Z493" s="4">
        <f t="shared" si="38"/>
        <v>89.84402</v>
      </c>
      <c r="AD493" s="24">
        <v>250.0197</v>
      </c>
      <c r="AE493">
        <v>244.5</v>
      </c>
      <c r="AF493" s="19">
        <v>93.548150000000007</v>
      </c>
      <c r="AG493" s="4">
        <f t="shared" si="39"/>
        <v>93.809640000000002</v>
      </c>
    </row>
    <row r="494" spans="2:33" x14ac:dyDescent="0.15">
      <c r="W494" s="22">
        <v>250.00003000000001</v>
      </c>
      <c r="X494">
        <v>245</v>
      </c>
      <c r="Y494" s="23">
        <v>84.386089999999996</v>
      </c>
      <c r="Z494" s="4">
        <f t="shared" si="38"/>
        <v>89.826920000000001</v>
      </c>
      <c r="AD494" s="24">
        <v>250.02117000000001</v>
      </c>
      <c r="AE494">
        <v>245</v>
      </c>
      <c r="AF494" s="25">
        <v>93.554360000000003</v>
      </c>
      <c r="AG494" s="4">
        <f t="shared" si="39"/>
        <v>93.815849999999998</v>
      </c>
    </row>
    <row r="495" spans="2:33" x14ac:dyDescent="0.15">
      <c r="W495" s="22">
        <v>250.00098</v>
      </c>
      <c r="X495">
        <v>245.5</v>
      </c>
      <c r="Y495" s="4">
        <v>84.35727</v>
      </c>
      <c r="Z495" s="4">
        <f t="shared" si="38"/>
        <v>89.798100000000005</v>
      </c>
      <c r="AD495" s="24">
        <v>250.02058</v>
      </c>
      <c r="AE495">
        <v>245.5</v>
      </c>
      <c r="AF495" s="19">
        <v>93.613309999999998</v>
      </c>
      <c r="AG495" s="4">
        <f t="shared" si="39"/>
        <v>93.874799999999993</v>
      </c>
    </row>
    <row r="496" spans="2:33" x14ac:dyDescent="0.15">
      <c r="W496" s="22">
        <v>249.98996</v>
      </c>
      <c r="X496">
        <v>246</v>
      </c>
      <c r="Y496" s="23">
        <v>84.349530000000001</v>
      </c>
      <c r="Z496" s="4">
        <f t="shared" si="38"/>
        <v>89.790360000000007</v>
      </c>
      <c r="AD496" s="24">
        <v>250.02243999999999</v>
      </c>
      <c r="AE496">
        <v>246</v>
      </c>
      <c r="AF496" s="25">
        <v>93.527789999999996</v>
      </c>
      <c r="AG496" s="4">
        <f t="shared" si="39"/>
        <v>93.789279999999991</v>
      </c>
    </row>
    <row r="497" spans="23:33" x14ac:dyDescent="0.15">
      <c r="W497" s="22">
        <v>249.99799999999999</v>
      </c>
      <c r="X497">
        <v>246.5</v>
      </c>
      <c r="Y497" s="4">
        <v>84.332229999999996</v>
      </c>
      <c r="Z497" s="4">
        <f t="shared" si="38"/>
        <v>89.773060000000001</v>
      </c>
      <c r="AD497" s="24">
        <v>250.02600000000001</v>
      </c>
      <c r="AE497">
        <v>246.5</v>
      </c>
      <c r="AF497" s="19">
        <v>93.571809999999999</v>
      </c>
      <c r="AG497" s="4">
        <f t="shared" si="39"/>
        <v>93.833299999999994</v>
      </c>
    </row>
    <row r="498" spans="23:33" x14ac:dyDescent="0.15">
      <c r="W498" s="22">
        <v>250.00402</v>
      </c>
      <c r="X498">
        <v>247</v>
      </c>
      <c r="Y498" s="23">
        <v>84.318929999999995</v>
      </c>
      <c r="Z498" s="4">
        <f t="shared" si="38"/>
        <v>89.75976</v>
      </c>
      <c r="AD498" s="24">
        <v>250.02397999999999</v>
      </c>
      <c r="AE498">
        <v>247</v>
      </c>
      <c r="AF498" s="25">
        <v>93.565439999999995</v>
      </c>
      <c r="AG498" s="4">
        <f t="shared" si="39"/>
        <v>93.82692999999999</v>
      </c>
    </row>
    <row r="499" spans="23:33" x14ac:dyDescent="0.15">
      <c r="W499" s="22">
        <v>250.00901999999999</v>
      </c>
      <c r="X499">
        <v>247.5</v>
      </c>
      <c r="Y499" s="4">
        <v>84.296099999999996</v>
      </c>
      <c r="Z499" s="4">
        <f t="shared" si="38"/>
        <v>89.736930000000001</v>
      </c>
      <c r="AD499" s="24">
        <v>250.01508000000001</v>
      </c>
      <c r="AE499">
        <v>247.5</v>
      </c>
      <c r="AF499" s="19">
        <v>93.606489999999994</v>
      </c>
      <c r="AG499" s="4">
        <f t="shared" si="39"/>
        <v>93.867979999999989</v>
      </c>
    </row>
    <row r="500" spans="23:33" x14ac:dyDescent="0.15">
      <c r="W500" s="22">
        <v>250.00597999999999</v>
      </c>
      <c r="X500">
        <v>248</v>
      </c>
      <c r="Y500" s="23">
        <v>84.286339999999996</v>
      </c>
      <c r="Z500" s="4">
        <f t="shared" si="38"/>
        <v>89.727170000000001</v>
      </c>
      <c r="AD500" s="24">
        <v>250.01222999999999</v>
      </c>
      <c r="AE500">
        <v>248</v>
      </c>
      <c r="AF500" s="25">
        <v>93.568119999999993</v>
      </c>
      <c r="AG500" s="4">
        <f t="shared" si="39"/>
        <v>93.829609999999988</v>
      </c>
    </row>
    <row r="501" spans="23:33" x14ac:dyDescent="0.15">
      <c r="W501" s="22">
        <v>250.00693000000001</v>
      </c>
      <c r="X501">
        <v>248.5</v>
      </c>
      <c r="Y501" s="4">
        <v>84.265079999999998</v>
      </c>
      <c r="Z501" s="4">
        <f t="shared" si="38"/>
        <v>89.705910000000003</v>
      </c>
      <c r="AD501" s="24">
        <v>250.01784000000001</v>
      </c>
      <c r="AE501">
        <v>248.5</v>
      </c>
      <c r="AF501" s="19">
        <v>93.623760000000004</v>
      </c>
      <c r="AG501" s="4">
        <f t="shared" si="39"/>
        <v>93.885249999999999</v>
      </c>
    </row>
    <row r="502" spans="23:33" x14ac:dyDescent="0.15">
      <c r="W502" s="22">
        <v>250.00698</v>
      </c>
      <c r="X502">
        <v>249</v>
      </c>
      <c r="Y502" s="23">
        <v>84.259249999999994</v>
      </c>
      <c r="Z502" s="4">
        <f t="shared" si="38"/>
        <v>89.70008</v>
      </c>
      <c r="AD502" s="24">
        <v>250.01757000000001</v>
      </c>
      <c r="AE502">
        <v>249</v>
      </c>
      <c r="AF502" s="25">
        <v>93.568250000000006</v>
      </c>
      <c r="AG502" s="4">
        <f t="shared" si="39"/>
        <v>93.829740000000001</v>
      </c>
    </row>
    <row r="503" spans="23:33" x14ac:dyDescent="0.15">
      <c r="W503" s="22">
        <v>250.00699</v>
      </c>
      <c r="X503">
        <v>249.5</v>
      </c>
      <c r="Y503" s="4">
        <v>84.244060000000005</v>
      </c>
      <c r="Z503" s="4">
        <f t="shared" si="38"/>
        <v>89.68489000000001</v>
      </c>
      <c r="AD503" s="24">
        <v>250.01737</v>
      </c>
      <c r="AE503">
        <v>249.5</v>
      </c>
      <c r="AF503" s="19">
        <v>93.414320000000004</v>
      </c>
      <c r="AG503" s="4">
        <f t="shared" si="39"/>
        <v>93.675809999999998</v>
      </c>
    </row>
    <row r="504" spans="23:33" x14ac:dyDescent="0.15">
      <c r="W504" s="22">
        <v>250.00702000000001</v>
      </c>
      <c r="X504">
        <v>250</v>
      </c>
      <c r="Y504" s="23">
        <v>84.226820000000004</v>
      </c>
      <c r="Z504" s="4">
        <f t="shared" si="38"/>
        <v>89.667650000000009</v>
      </c>
      <c r="AD504" s="24">
        <v>250.01582999999999</v>
      </c>
      <c r="AE504">
        <v>250</v>
      </c>
      <c r="AF504" s="25">
        <v>93.470020000000005</v>
      </c>
      <c r="AG504" s="4">
        <f t="shared" si="39"/>
        <v>93.73151</v>
      </c>
    </row>
    <row r="505" spans="23:33" x14ac:dyDescent="0.15">
      <c r="W505" s="22">
        <v>250.00897000000001</v>
      </c>
      <c r="X505">
        <v>250.5</v>
      </c>
      <c r="Y505" s="4">
        <v>84.201920000000001</v>
      </c>
      <c r="Z505" s="4">
        <f t="shared" si="38"/>
        <v>89.642750000000007</v>
      </c>
      <c r="AD505" s="24">
        <v>250.01499999999999</v>
      </c>
      <c r="AE505">
        <v>250.5</v>
      </c>
      <c r="AF505" s="19">
        <v>93.426240000000007</v>
      </c>
      <c r="AG505" s="4">
        <f t="shared" si="39"/>
        <v>93.687730000000002</v>
      </c>
    </row>
    <row r="506" spans="23:33" x14ac:dyDescent="0.15">
      <c r="W506" s="22">
        <v>250.00805</v>
      </c>
      <c r="X506">
        <v>251</v>
      </c>
      <c r="Y506" s="23">
        <v>84.201970000000003</v>
      </c>
      <c r="Z506" s="4">
        <f t="shared" si="38"/>
        <v>89.642800000000008</v>
      </c>
      <c r="AD506" s="24">
        <v>250.01472999999999</v>
      </c>
      <c r="AE506">
        <v>251</v>
      </c>
      <c r="AF506" s="25">
        <v>93.365070000000003</v>
      </c>
      <c r="AG506" s="4">
        <f t="shared" si="39"/>
        <v>93.626559999999998</v>
      </c>
    </row>
    <row r="507" spans="23:33" x14ac:dyDescent="0.15">
      <c r="W507" s="22">
        <v>250.00497999999999</v>
      </c>
      <c r="X507">
        <v>251.5</v>
      </c>
      <c r="Y507" s="4">
        <v>84.175039999999996</v>
      </c>
      <c r="Z507" s="4">
        <f t="shared" si="38"/>
        <v>89.615870000000001</v>
      </c>
      <c r="AD507" s="24">
        <v>250.01782</v>
      </c>
      <c r="AE507">
        <v>251.5</v>
      </c>
      <c r="AF507" s="19">
        <v>93.43253</v>
      </c>
      <c r="AG507" s="4">
        <f t="shared" si="39"/>
        <v>93.694019999999995</v>
      </c>
    </row>
    <row r="508" spans="23:33" x14ac:dyDescent="0.15">
      <c r="W508" s="22">
        <v>250.00405000000001</v>
      </c>
      <c r="X508">
        <v>252</v>
      </c>
      <c r="Y508" s="23">
        <v>84.17313</v>
      </c>
      <c r="Z508" s="4">
        <f t="shared" si="38"/>
        <v>89.613960000000006</v>
      </c>
      <c r="AD508" s="24">
        <v>250.01803000000001</v>
      </c>
      <c r="AE508">
        <v>252</v>
      </c>
      <c r="AF508" s="25">
        <v>93.427139999999994</v>
      </c>
      <c r="AG508" s="4">
        <f t="shared" si="39"/>
        <v>93.688629999999989</v>
      </c>
    </row>
    <row r="509" spans="23:33" x14ac:dyDescent="0.15">
      <c r="W509" s="22">
        <v>250.00200000000001</v>
      </c>
      <c r="X509">
        <v>252.5</v>
      </c>
      <c r="Y509" s="4">
        <v>84.146339999999995</v>
      </c>
      <c r="Z509" s="4">
        <f t="shared" si="38"/>
        <v>89.58717</v>
      </c>
      <c r="AD509" s="24">
        <v>250.01517000000001</v>
      </c>
      <c r="AE509">
        <v>252.5</v>
      </c>
      <c r="AF509" s="19">
        <v>93.31514</v>
      </c>
      <c r="AG509" s="4">
        <f t="shared" si="39"/>
        <v>93.576629999999994</v>
      </c>
    </row>
    <row r="510" spans="23:33" x14ac:dyDescent="0.15">
      <c r="W510" s="22">
        <v>250.00298000000001</v>
      </c>
      <c r="X510">
        <v>253</v>
      </c>
      <c r="Y510" s="23">
        <v>84.117570000000001</v>
      </c>
      <c r="Z510" s="4">
        <f t="shared" si="38"/>
        <v>89.558400000000006</v>
      </c>
      <c r="AD510" s="24">
        <v>250.01557</v>
      </c>
      <c r="AE510">
        <v>253</v>
      </c>
      <c r="AF510" s="25">
        <v>93.481340000000003</v>
      </c>
      <c r="AG510" s="4">
        <f t="shared" si="39"/>
        <v>93.742829999999998</v>
      </c>
    </row>
    <row r="511" spans="23:33" x14ac:dyDescent="0.15">
      <c r="W511" s="22">
        <v>250.00295</v>
      </c>
      <c r="X511">
        <v>253.5</v>
      </c>
      <c r="Y511" s="4">
        <v>84.102159999999998</v>
      </c>
      <c r="Z511" s="4">
        <f t="shared" si="38"/>
        <v>89.542990000000003</v>
      </c>
      <c r="AD511" s="24">
        <v>250.01730000000001</v>
      </c>
      <c r="AE511">
        <v>253.5</v>
      </c>
      <c r="AF511" s="19">
        <v>93.364689999999996</v>
      </c>
      <c r="AG511" s="4">
        <f t="shared" si="39"/>
        <v>93.626179999999991</v>
      </c>
    </row>
    <row r="512" spans="23:33" x14ac:dyDescent="0.15">
      <c r="W512" s="22">
        <v>249.99995000000001</v>
      </c>
      <c r="X512">
        <v>254</v>
      </c>
      <c r="Y512" s="23">
        <v>84.098339999999993</v>
      </c>
      <c r="Z512" s="4">
        <f t="shared" si="38"/>
        <v>89.539169999999999</v>
      </c>
      <c r="AD512" s="24">
        <v>250.01936000000001</v>
      </c>
      <c r="AE512">
        <v>254</v>
      </c>
      <c r="AF512" s="25">
        <v>93.439019999999999</v>
      </c>
      <c r="AG512" s="4">
        <f t="shared" si="39"/>
        <v>93.700509999999994</v>
      </c>
    </row>
    <row r="513" spans="23:33" x14ac:dyDescent="0.15">
      <c r="W513" s="22">
        <v>249.99999</v>
      </c>
      <c r="X513">
        <v>254.5</v>
      </c>
      <c r="Y513" s="4">
        <v>84.082939999999994</v>
      </c>
      <c r="Z513" s="4">
        <f t="shared" si="38"/>
        <v>89.523769999999999</v>
      </c>
      <c r="AD513" s="24">
        <v>250.02126999999999</v>
      </c>
      <c r="AE513">
        <v>254.5</v>
      </c>
      <c r="AF513" s="19">
        <v>93.337310000000002</v>
      </c>
      <c r="AG513" s="4">
        <f t="shared" si="39"/>
        <v>93.598799999999997</v>
      </c>
    </row>
    <row r="514" spans="23:33" x14ac:dyDescent="0.15">
      <c r="W514" s="22">
        <v>250.001</v>
      </c>
      <c r="X514">
        <v>255</v>
      </c>
      <c r="Y514" s="23">
        <v>84.050380000000004</v>
      </c>
      <c r="Z514" s="4">
        <f t="shared" si="38"/>
        <v>89.491210000000009</v>
      </c>
      <c r="AD514" s="24">
        <v>250.02100999999999</v>
      </c>
      <c r="AE514">
        <v>255</v>
      </c>
      <c r="AF514" s="25">
        <v>93.353679999999997</v>
      </c>
      <c r="AG514" s="4">
        <f t="shared" si="39"/>
        <v>93.615169999999992</v>
      </c>
    </row>
    <row r="515" spans="23:33" x14ac:dyDescent="0.15">
      <c r="W515" s="22">
        <v>250.00398000000001</v>
      </c>
      <c r="X515">
        <v>255.5</v>
      </c>
      <c r="Y515" s="4">
        <v>84.038989999999998</v>
      </c>
      <c r="Z515" s="4">
        <f t="shared" si="38"/>
        <v>89.479820000000004</v>
      </c>
      <c r="AD515" s="24">
        <v>250.01822000000001</v>
      </c>
      <c r="AE515">
        <v>255.5</v>
      </c>
      <c r="AF515" s="19">
        <v>93.297870000000003</v>
      </c>
      <c r="AG515" s="4">
        <f t="shared" si="39"/>
        <v>93.559359999999998</v>
      </c>
    </row>
    <row r="516" spans="23:33" x14ac:dyDescent="0.15">
      <c r="W516" s="22">
        <v>250.00199000000001</v>
      </c>
      <c r="X516">
        <v>256</v>
      </c>
      <c r="Y516" s="23">
        <v>84.038970000000006</v>
      </c>
      <c r="Z516" s="4">
        <f t="shared" si="38"/>
        <v>89.479800000000012</v>
      </c>
      <c r="AD516" s="24">
        <v>250.01776000000001</v>
      </c>
      <c r="AE516">
        <v>256</v>
      </c>
      <c r="AF516" s="25">
        <v>93.522369999999995</v>
      </c>
      <c r="AG516" s="4">
        <f t="shared" si="39"/>
        <v>93.78385999999999</v>
      </c>
    </row>
    <row r="517" spans="23:33" x14ac:dyDescent="0.15">
      <c r="W517" s="22">
        <v>250.005</v>
      </c>
      <c r="X517">
        <v>256.5</v>
      </c>
      <c r="Y517" s="4">
        <v>84.010140000000007</v>
      </c>
      <c r="Z517" s="4">
        <f t="shared" ref="Z517:Z580" si="40">100-($Y$4-Y517)</f>
        <v>89.450970000000012</v>
      </c>
      <c r="AD517" s="24">
        <v>250.01938999999999</v>
      </c>
      <c r="AE517">
        <v>256.5</v>
      </c>
      <c r="AF517" s="19">
        <v>93.275720000000007</v>
      </c>
      <c r="AG517" s="4">
        <f t="shared" ref="AG517:AG580" si="41">100-($AF$4-AF517)</f>
        <v>93.537210000000002</v>
      </c>
    </row>
    <row r="518" spans="23:33" x14ac:dyDescent="0.15">
      <c r="W518" s="22">
        <v>250.00799000000001</v>
      </c>
      <c r="X518">
        <v>257</v>
      </c>
      <c r="Y518" s="23">
        <v>83.99879</v>
      </c>
      <c r="Z518" s="4">
        <f t="shared" si="40"/>
        <v>89.439620000000005</v>
      </c>
      <c r="AD518" s="24">
        <v>250.02148</v>
      </c>
      <c r="AE518">
        <v>257</v>
      </c>
      <c r="AF518" s="25">
        <v>93.345969999999994</v>
      </c>
      <c r="AG518" s="4">
        <f t="shared" si="41"/>
        <v>93.607459999999989</v>
      </c>
    </row>
    <row r="519" spans="23:33" x14ac:dyDescent="0.15">
      <c r="W519" s="22">
        <v>250.01002</v>
      </c>
      <c r="X519">
        <v>257.5</v>
      </c>
      <c r="Y519" s="4">
        <v>83.979489999999998</v>
      </c>
      <c r="Z519" s="4">
        <f t="shared" si="40"/>
        <v>89.420320000000004</v>
      </c>
      <c r="AD519" s="24">
        <v>250.02298999999999</v>
      </c>
      <c r="AE519">
        <v>257.5</v>
      </c>
      <c r="AF519" s="19">
        <v>93.24812</v>
      </c>
      <c r="AG519" s="4">
        <f t="shared" si="41"/>
        <v>93.509609999999995</v>
      </c>
    </row>
    <row r="520" spans="23:33" x14ac:dyDescent="0.15">
      <c r="W520" s="22">
        <v>250.01195999999999</v>
      </c>
      <c r="X520">
        <v>258</v>
      </c>
      <c r="Y520" s="23">
        <v>83.979609999999994</v>
      </c>
      <c r="Z520" s="4">
        <f t="shared" si="40"/>
        <v>89.420439999999999</v>
      </c>
      <c r="AD520" s="24">
        <v>250.01931999999999</v>
      </c>
      <c r="AE520">
        <v>258</v>
      </c>
      <c r="AF520" s="25">
        <v>93.214849999999998</v>
      </c>
      <c r="AG520" s="4">
        <f t="shared" si="41"/>
        <v>93.476339999999993</v>
      </c>
    </row>
    <row r="521" spans="23:33" x14ac:dyDescent="0.15">
      <c r="W521" s="22">
        <v>250.00503</v>
      </c>
      <c r="X521">
        <v>258.5</v>
      </c>
      <c r="Y521" s="4">
        <v>83.962180000000004</v>
      </c>
      <c r="Z521" s="4">
        <f t="shared" si="40"/>
        <v>89.403010000000009</v>
      </c>
      <c r="AD521" s="24">
        <v>250.01438999999999</v>
      </c>
      <c r="AE521">
        <v>258.5</v>
      </c>
      <c r="AF521" s="19">
        <v>93.272059999999996</v>
      </c>
      <c r="AG521" s="4">
        <f t="shared" si="41"/>
        <v>93.533549999999991</v>
      </c>
    </row>
    <row r="522" spans="23:33" x14ac:dyDescent="0.15">
      <c r="W522" s="22">
        <v>250.00798</v>
      </c>
      <c r="X522">
        <v>259</v>
      </c>
      <c r="Y522" s="23">
        <v>83.948769999999996</v>
      </c>
      <c r="Z522" s="4">
        <f t="shared" si="40"/>
        <v>89.389600000000002</v>
      </c>
      <c r="AD522" s="24">
        <v>250.01535000000001</v>
      </c>
      <c r="AE522">
        <v>259</v>
      </c>
      <c r="AF522" s="25">
        <v>93.236400000000003</v>
      </c>
      <c r="AG522" s="4">
        <f t="shared" si="41"/>
        <v>93.497889999999998</v>
      </c>
    </row>
    <row r="523" spans="23:33" x14ac:dyDescent="0.15">
      <c r="W523" s="22">
        <v>250.006</v>
      </c>
      <c r="X523">
        <v>259.5</v>
      </c>
      <c r="Y523" s="4">
        <v>83.93929</v>
      </c>
      <c r="Z523" s="4">
        <f t="shared" si="40"/>
        <v>89.380120000000005</v>
      </c>
      <c r="AD523" s="24">
        <v>250.01803000000001</v>
      </c>
      <c r="AE523">
        <v>259.5</v>
      </c>
      <c r="AF523" s="19">
        <v>93.301519999999996</v>
      </c>
      <c r="AG523" s="4">
        <f t="shared" si="41"/>
        <v>93.563009999999991</v>
      </c>
    </row>
    <row r="524" spans="23:33" x14ac:dyDescent="0.15">
      <c r="W524" s="22">
        <v>250.00601</v>
      </c>
      <c r="X524">
        <v>260</v>
      </c>
      <c r="Y524" s="23">
        <v>83.918239999999997</v>
      </c>
      <c r="Z524" s="4">
        <f t="shared" si="40"/>
        <v>89.359070000000003</v>
      </c>
      <c r="AD524" s="24">
        <v>250.01784000000001</v>
      </c>
      <c r="AE524">
        <v>260</v>
      </c>
      <c r="AF524" s="25">
        <v>93.233369999999994</v>
      </c>
      <c r="AG524" s="4">
        <f t="shared" si="41"/>
        <v>93.494859999999989</v>
      </c>
    </row>
    <row r="525" spans="23:33" x14ac:dyDescent="0.15">
      <c r="W525" s="22">
        <v>250.00299999999999</v>
      </c>
      <c r="X525">
        <v>260.5</v>
      </c>
      <c r="Y525" s="4">
        <v>83.900930000000002</v>
      </c>
      <c r="Z525" s="4">
        <f t="shared" si="40"/>
        <v>89.341760000000008</v>
      </c>
      <c r="AD525" s="24">
        <v>250.01947999999999</v>
      </c>
      <c r="AE525">
        <v>260.5</v>
      </c>
      <c r="AF525" s="19">
        <v>93.271900000000002</v>
      </c>
      <c r="AG525" s="4">
        <f t="shared" si="41"/>
        <v>93.533389999999997</v>
      </c>
    </row>
    <row r="526" spans="23:33" x14ac:dyDescent="0.15">
      <c r="W526" s="22">
        <v>250.00102999999999</v>
      </c>
      <c r="X526">
        <v>261</v>
      </c>
      <c r="Y526" s="23">
        <v>83.875929999999997</v>
      </c>
      <c r="Z526" s="4">
        <f t="shared" si="40"/>
        <v>89.316760000000002</v>
      </c>
      <c r="AD526" s="24">
        <v>250.02033</v>
      </c>
      <c r="AE526">
        <v>261</v>
      </c>
      <c r="AF526" s="25">
        <v>93.262979999999999</v>
      </c>
      <c r="AG526" s="4">
        <f t="shared" si="41"/>
        <v>93.524469999999994</v>
      </c>
    </row>
    <row r="527" spans="23:33" x14ac:dyDescent="0.15">
      <c r="W527" s="22">
        <v>250.00097</v>
      </c>
      <c r="X527">
        <v>261.5</v>
      </c>
      <c r="Y527" s="4">
        <v>83.862470000000002</v>
      </c>
      <c r="Z527" s="4">
        <f t="shared" si="40"/>
        <v>89.303300000000007</v>
      </c>
      <c r="AD527" s="24">
        <v>250.01921999999999</v>
      </c>
      <c r="AE527">
        <v>261.5</v>
      </c>
      <c r="AF527" s="19">
        <v>93.19426</v>
      </c>
      <c r="AG527" s="4">
        <f t="shared" si="41"/>
        <v>93.455749999999995</v>
      </c>
    </row>
    <row r="528" spans="23:33" x14ac:dyDescent="0.15">
      <c r="W528" s="22">
        <v>250.00603000000001</v>
      </c>
      <c r="X528">
        <v>262</v>
      </c>
      <c r="Y528" s="23">
        <v>83.870009999999994</v>
      </c>
      <c r="Z528" s="4">
        <f t="shared" si="40"/>
        <v>89.310839999999999</v>
      </c>
      <c r="AD528" s="24">
        <v>250.01985999999999</v>
      </c>
      <c r="AE528">
        <v>262</v>
      </c>
      <c r="AF528" s="25">
        <v>93.151160000000004</v>
      </c>
      <c r="AG528" s="4">
        <f t="shared" si="41"/>
        <v>93.412649999999999</v>
      </c>
    </row>
    <row r="529" spans="23:33" x14ac:dyDescent="0.15">
      <c r="W529" s="22">
        <v>250.00797</v>
      </c>
      <c r="X529">
        <v>262.5</v>
      </c>
      <c r="Y529" s="4">
        <v>83.853059999999999</v>
      </c>
      <c r="Z529" s="4">
        <f t="shared" si="40"/>
        <v>89.293890000000005</v>
      </c>
      <c r="AD529" s="24">
        <v>250.01428999999999</v>
      </c>
      <c r="AE529">
        <v>262.5</v>
      </c>
      <c r="AF529" s="19">
        <v>93.17662</v>
      </c>
      <c r="AG529" s="4">
        <f t="shared" si="41"/>
        <v>93.438109999999995</v>
      </c>
    </row>
    <row r="530" spans="23:33" x14ac:dyDescent="0.15">
      <c r="W530" s="22">
        <v>250.00703999999999</v>
      </c>
      <c r="X530">
        <v>263</v>
      </c>
      <c r="Y530" s="23">
        <v>83.82602</v>
      </c>
      <c r="Z530" s="4">
        <f t="shared" si="40"/>
        <v>89.266850000000005</v>
      </c>
      <c r="AD530" s="24">
        <v>250.01508999999999</v>
      </c>
      <c r="AE530">
        <v>263</v>
      </c>
      <c r="AF530" s="25">
        <v>93.132109999999997</v>
      </c>
      <c r="AG530" s="4">
        <f t="shared" si="41"/>
        <v>93.393599999999992</v>
      </c>
    </row>
    <row r="531" spans="23:33" x14ac:dyDescent="0.15">
      <c r="W531" s="22">
        <v>250.00601</v>
      </c>
      <c r="X531">
        <v>263.5</v>
      </c>
      <c r="Y531" s="4">
        <v>83.799289999999999</v>
      </c>
      <c r="Z531" s="4">
        <f t="shared" si="40"/>
        <v>89.240120000000005</v>
      </c>
      <c r="AD531" s="24">
        <v>250.01684</v>
      </c>
      <c r="AE531">
        <v>263.5</v>
      </c>
      <c r="AF531" s="19">
        <v>93.191220000000001</v>
      </c>
      <c r="AG531" s="4">
        <f t="shared" si="41"/>
        <v>93.452709999999996</v>
      </c>
    </row>
    <row r="532" spans="23:33" x14ac:dyDescent="0.15">
      <c r="W532" s="22">
        <v>250.00394</v>
      </c>
      <c r="X532">
        <v>264</v>
      </c>
      <c r="Y532" s="23">
        <v>83.803079999999994</v>
      </c>
      <c r="Z532" s="4">
        <f t="shared" si="40"/>
        <v>89.24391</v>
      </c>
      <c r="AD532" s="24">
        <v>250.01731000000001</v>
      </c>
      <c r="AE532">
        <v>264</v>
      </c>
      <c r="AF532" s="25">
        <v>93.137590000000003</v>
      </c>
      <c r="AG532" s="4">
        <f t="shared" si="41"/>
        <v>93.399079999999998</v>
      </c>
    </row>
    <row r="533" spans="23:33" x14ac:dyDescent="0.15">
      <c r="W533" s="22">
        <v>250.00803999999999</v>
      </c>
      <c r="X533">
        <v>264.5</v>
      </c>
      <c r="Y533" s="4">
        <v>83.780159999999995</v>
      </c>
      <c r="Z533" s="4">
        <f t="shared" si="40"/>
        <v>89.22099</v>
      </c>
      <c r="AD533" s="24">
        <v>250.01779999999999</v>
      </c>
      <c r="AE533">
        <v>264.5</v>
      </c>
      <c r="AF533" s="19">
        <v>93.14246</v>
      </c>
      <c r="AG533" s="4">
        <f t="shared" si="41"/>
        <v>93.403949999999995</v>
      </c>
    </row>
    <row r="534" spans="23:33" x14ac:dyDescent="0.15">
      <c r="W534" s="22">
        <v>250.00602000000001</v>
      </c>
      <c r="X534">
        <v>265</v>
      </c>
      <c r="Y534" s="23">
        <v>83.76661</v>
      </c>
      <c r="Z534" s="4">
        <f t="shared" si="40"/>
        <v>89.207440000000005</v>
      </c>
      <c r="AD534" s="24">
        <v>250.01626999999999</v>
      </c>
      <c r="AE534">
        <v>265</v>
      </c>
      <c r="AF534" s="25">
        <v>93.083209999999994</v>
      </c>
      <c r="AG534" s="4">
        <f t="shared" si="41"/>
        <v>93.344699999999989</v>
      </c>
    </row>
    <row r="535" spans="23:33" x14ac:dyDescent="0.15">
      <c r="W535" s="22">
        <v>250.00504000000001</v>
      </c>
      <c r="X535">
        <v>265.5</v>
      </c>
      <c r="Y535" s="4">
        <v>83.757019999999997</v>
      </c>
      <c r="Z535" s="4">
        <f t="shared" si="40"/>
        <v>89.197850000000003</v>
      </c>
      <c r="AD535" s="24">
        <v>250.01338999999999</v>
      </c>
      <c r="AE535">
        <v>265.5</v>
      </c>
      <c r="AF535" s="19">
        <v>93.082160000000002</v>
      </c>
      <c r="AG535" s="4">
        <f t="shared" si="41"/>
        <v>93.343649999999997</v>
      </c>
    </row>
    <row r="536" spans="23:33" x14ac:dyDescent="0.15">
      <c r="W536" s="22">
        <v>250.00397000000001</v>
      </c>
      <c r="X536">
        <v>266</v>
      </c>
      <c r="Y536" s="23">
        <v>83.741849999999999</v>
      </c>
      <c r="Z536" s="4">
        <f t="shared" si="40"/>
        <v>89.182680000000005</v>
      </c>
      <c r="AD536" s="24">
        <v>250.01474999999999</v>
      </c>
      <c r="AE536">
        <v>266</v>
      </c>
      <c r="AF536" s="25">
        <v>93.198729999999998</v>
      </c>
      <c r="AG536" s="4">
        <f t="shared" si="41"/>
        <v>93.460219999999993</v>
      </c>
    </row>
    <row r="537" spans="23:33" x14ac:dyDescent="0.15">
      <c r="W537" s="22">
        <v>250.00800000000001</v>
      </c>
      <c r="X537">
        <v>266.5</v>
      </c>
      <c r="Y537" s="4">
        <v>83.737790000000004</v>
      </c>
      <c r="Z537" s="4">
        <f t="shared" si="40"/>
        <v>89.178620000000009</v>
      </c>
      <c r="AD537" s="24">
        <v>250.01586</v>
      </c>
      <c r="AE537">
        <v>266.5</v>
      </c>
      <c r="AF537" s="19">
        <v>92.986549999999994</v>
      </c>
      <c r="AG537" s="4">
        <f t="shared" si="41"/>
        <v>93.248039999999989</v>
      </c>
    </row>
    <row r="538" spans="23:33" x14ac:dyDescent="0.15">
      <c r="W538" s="22">
        <v>250.00602000000001</v>
      </c>
      <c r="X538">
        <v>267</v>
      </c>
      <c r="Y538" s="23">
        <v>83.718689999999995</v>
      </c>
      <c r="Z538" s="4">
        <f t="shared" si="40"/>
        <v>89.159520000000001</v>
      </c>
      <c r="AD538" s="24">
        <v>250.01508999999999</v>
      </c>
      <c r="AE538">
        <v>267</v>
      </c>
      <c r="AF538" s="25">
        <v>93.052000000000007</v>
      </c>
      <c r="AG538" s="4">
        <f t="shared" si="41"/>
        <v>93.313490000000002</v>
      </c>
    </row>
    <row r="539" spans="23:33" x14ac:dyDescent="0.15">
      <c r="W539" s="22">
        <v>250.00398000000001</v>
      </c>
      <c r="X539">
        <v>267.5</v>
      </c>
      <c r="Y539" s="4">
        <v>83.689980000000006</v>
      </c>
      <c r="Z539" s="4">
        <f t="shared" si="40"/>
        <v>89.130810000000011</v>
      </c>
      <c r="AD539" s="24">
        <v>250.01776000000001</v>
      </c>
      <c r="AE539">
        <v>267.5</v>
      </c>
      <c r="AF539" s="19">
        <v>93.051940000000002</v>
      </c>
      <c r="AG539" s="4">
        <f t="shared" si="41"/>
        <v>93.313429999999997</v>
      </c>
    </row>
    <row r="540" spans="23:33" x14ac:dyDescent="0.15">
      <c r="W540" s="22">
        <v>250.01007000000001</v>
      </c>
      <c r="X540">
        <v>268</v>
      </c>
      <c r="Y540" s="23">
        <v>83.699529999999996</v>
      </c>
      <c r="Z540" s="4">
        <f t="shared" si="40"/>
        <v>89.140360000000001</v>
      </c>
      <c r="AD540" s="24">
        <v>250.01743999999999</v>
      </c>
      <c r="AE540">
        <v>268</v>
      </c>
      <c r="AF540" s="25">
        <v>93.015749999999997</v>
      </c>
      <c r="AG540" s="4">
        <f t="shared" si="41"/>
        <v>93.277239999999992</v>
      </c>
    </row>
    <row r="541" spans="23:33" x14ac:dyDescent="0.15">
      <c r="W541" s="22">
        <v>250.00503</v>
      </c>
      <c r="X541">
        <v>268.5</v>
      </c>
      <c r="Y541" s="4">
        <v>83.672659999999993</v>
      </c>
      <c r="Z541" s="4">
        <f t="shared" si="40"/>
        <v>89.113489999999999</v>
      </c>
      <c r="AD541" s="24">
        <v>250.01949999999999</v>
      </c>
      <c r="AE541">
        <v>268.5</v>
      </c>
      <c r="AF541" s="19">
        <v>93.009439999999998</v>
      </c>
      <c r="AG541" s="4">
        <f t="shared" si="41"/>
        <v>93.270929999999993</v>
      </c>
    </row>
    <row r="542" spans="23:33" x14ac:dyDescent="0.15">
      <c r="W542" s="22">
        <v>250.00602000000001</v>
      </c>
      <c r="X542">
        <v>269</v>
      </c>
      <c r="Y542" s="23">
        <v>83.655389999999997</v>
      </c>
      <c r="Z542" s="4">
        <f t="shared" si="40"/>
        <v>89.096220000000002</v>
      </c>
      <c r="AD542" s="24">
        <v>250.01954000000001</v>
      </c>
      <c r="AE542">
        <v>269</v>
      </c>
      <c r="AF542" s="25">
        <v>92.894980000000004</v>
      </c>
      <c r="AG542" s="4">
        <f t="shared" si="41"/>
        <v>93.156469999999999</v>
      </c>
    </row>
    <row r="543" spans="23:33" x14ac:dyDescent="0.15">
      <c r="W543" s="22">
        <v>250.00703999999999</v>
      </c>
      <c r="X543">
        <v>269.5</v>
      </c>
      <c r="Y543" s="4">
        <v>83.632490000000004</v>
      </c>
      <c r="Z543" s="4">
        <f t="shared" si="40"/>
        <v>89.07332000000001</v>
      </c>
      <c r="AD543" s="24">
        <v>250.01731000000001</v>
      </c>
      <c r="AE543">
        <v>269.5</v>
      </c>
      <c r="AF543" s="19">
        <v>92.947630000000004</v>
      </c>
      <c r="AG543" s="4">
        <f t="shared" si="41"/>
        <v>93.209119999999999</v>
      </c>
    </row>
    <row r="544" spans="23:33" x14ac:dyDescent="0.15">
      <c r="W544" s="22">
        <v>250.00301999999999</v>
      </c>
      <c r="X544">
        <v>270</v>
      </c>
      <c r="Y544" s="23">
        <v>83.622789999999995</v>
      </c>
      <c r="Z544" s="4">
        <f t="shared" si="40"/>
        <v>89.06362</v>
      </c>
      <c r="AD544" s="24">
        <v>250.01365000000001</v>
      </c>
      <c r="AE544">
        <v>270</v>
      </c>
      <c r="AF544" s="25">
        <v>92.97448</v>
      </c>
      <c r="AG544" s="4">
        <f t="shared" si="41"/>
        <v>93.235969999999995</v>
      </c>
    </row>
    <row r="545" spans="23:33" x14ac:dyDescent="0.15">
      <c r="W545" s="22">
        <v>250.006</v>
      </c>
      <c r="X545">
        <v>270.5</v>
      </c>
      <c r="Y545" s="4">
        <v>83.603769999999997</v>
      </c>
      <c r="Z545" s="4">
        <f t="shared" si="40"/>
        <v>89.044600000000003</v>
      </c>
      <c r="AD545" s="24">
        <v>250.01288</v>
      </c>
      <c r="AE545">
        <v>270.5</v>
      </c>
      <c r="AF545" s="19">
        <v>92.905879999999996</v>
      </c>
      <c r="AG545" s="4">
        <f t="shared" si="41"/>
        <v>93.167369999999991</v>
      </c>
    </row>
    <row r="546" spans="23:33" x14ac:dyDescent="0.15">
      <c r="W546" s="22">
        <v>250.00805</v>
      </c>
      <c r="X546">
        <v>271</v>
      </c>
      <c r="Y546" s="23">
        <v>83.576819999999998</v>
      </c>
      <c r="Z546" s="4">
        <f t="shared" si="40"/>
        <v>89.017650000000003</v>
      </c>
      <c r="AD546" s="24">
        <v>250.01213999999999</v>
      </c>
      <c r="AE546">
        <v>271</v>
      </c>
      <c r="AF546" s="25">
        <v>92.949299999999994</v>
      </c>
      <c r="AG546" s="4">
        <f t="shared" si="41"/>
        <v>93.210789999999989</v>
      </c>
    </row>
    <row r="547" spans="23:33" x14ac:dyDescent="0.15">
      <c r="W547" s="22">
        <v>250.00201000000001</v>
      </c>
      <c r="X547">
        <v>271.5</v>
      </c>
      <c r="Y547" s="4">
        <v>83.572929999999999</v>
      </c>
      <c r="Z547" s="4">
        <f t="shared" si="40"/>
        <v>89.013760000000005</v>
      </c>
      <c r="AD547" s="24">
        <v>250.01202000000001</v>
      </c>
      <c r="AE547">
        <v>271.5</v>
      </c>
      <c r="AF547" s="19">
        <v>92.987089999999995</v>
      </c>
      <c r="AG547" s="4">
        <f t="shared" si="41"/>
        <v>93.24857999999999</v>
      </c>
    </row>
    <row r="548" spans="23:33" x14ac:dyDescent="0.15">
      <c r="W548" s="22">
        <v>250.00299999999999</v>
      </c>
      <c r="X548">
        <v>272</v>
      </c>
      <c r="Y548" s="23">
        <v>83.557640000000006</v>
      </c>
      <c r="Z548" s="4">
        <f t="shared" si="40"/>
        <v>88.998470000000012</v>
      </c>
      <c r="AD548" s="24">
        <v>250.01123999999999</v>
      </c>
      <c r="AE548">
        <v>272</v>
      </c>
      <c r="AF548" s="25">
        <v>93.025059999999996</v>
      </c>
      <c r="AG548" s="4">
        <f t="shared" si="41"/>
        <v>93.286549999999991</v>
      </c>
    </row>
    <row r="549" spans="23:33" x14ac:dyDescent="0.15">
      <c r="W549" s="22">
        <v>250.00299999999999</v>
      </c>
      <c r="X549">
        <v>272.5</v>
      </c>
      <c r="Y549" s="4">
        <v>83.548050000000003</v>
      </c>
      <c r="Z549" s="4">
        <f t="shared" si="40"/>
        <v>88.988880000000009</v>
      </c>
      <c r="AD549" s="24">
        <v>250.01648</v>
      </c>
      <c r="AE549">
        <v>272.5</v>
      </c>
      <c r="AF549" s="19">
        <v>93.037620000000004</v>
      </c>
      <c r="AG549" s="4">
        <f t="shared" si="41"/>
        <v>93.299109999999999</v>
      </c>
    </row>
    <row r="550" spans="23:33" x14ac:dyDescent="0.15">
      <c r="W550" s="22">
        <v>250.00700000000001</v>
      </c>
      <c r="X550">
        <v>273</v>
      </c>
      <c r="Y550" s="23">
        <v>83.528809999999993</v>
      </c>
      <c r="Z550" s="4">
        <f t="shared" si="40"/>
        <v>88.969639999999998</v>
      </c>
      <c r="AD550" s="24">
        <v>250.02059</v>
      </c>
      <c r="AE550">
        <v>273</v>
      </c>
      <c r="AF550" s="25">
        <v>92.885480000000001</v>
      </c>
      <c r="AG550" s="4">
        <f t="shared" si="41"/>
        <v>93.146969999999996</v>
      </c>
    </row>
    <row r="551" spans="23:33" x14ac:dyDescent="0.15">
      <c r="W551" s="22">
        <v>250.00298000000001</v>
      </c>
      <c r="X551">
        <v>273.5</v>
      </c>
      <c r="Y551" s="4">
        <v>83.521379999999994</v>
      </c>
      <c r="Z551" s="4">
        <f t="shared" si="40"/>
        <v>88.962209999999999</v>
      </c>
      <c r="AD551" s="24">
        <v>250.01925</v>
      </c>
      <c r="AE551">
        <v>273.5</v>
      </c>
      <c r="AF551" s="19">
        <v>92.987489999999994</v>
      </c>
      <c r="AG551" s="4">
        <f t="shared" si="41"/>
        <v>93.248979999999989</v>
      </c>
    </row>
    <row r="552" spans="23:33" x14ac:dyDescent="0.15">
      <c r="W552" s="22">
        <v>250.00102000000001</v>
      </c>
      <c r="X552">
        <v>274</v>
      </c>
      <c r="Y552" s="23">
        <v>83.50215</v>
      </c>
      <c r="Z552" s="4">
        <f t="shared" si="40"/>
        <v>88.942980000000006</v>
      </c>
      <c r="AD552" s="24">
        <v>250.01707999999999</v>
      </c>
      <c r="AE552">
        <v>274</v>
      </c>
      <c r="AF552" s="25">
        <v>92.916910000000001</v>
      </c>
      <c r="AG552" s="4">
        <f t="shared" si="41"/>
        <v>93.178399999999996</v>
      </c>
    </row>
    <row r="553" spans="23:33" x14ac:dyDescent="0.15">
      <c r="W553" s="22">
        <v>250.00094999999999</v>
      </c>
      <c r="X553">
        <v>274.5</v>
      </c>
      <c r="Y553" s="4">
        <v>83.490589999999997</v>
      </c>
      <c r="Z553" s="4">
        <f t="shared" si="40"/>
        <v>88.931420000000003</v>
      </c>
      <c r="AD553" s="24">
        <v>250.01281</v>
      </c>
      <c r="AE553">
        <v>274.5</v>
      </c>
      <c r="AF553" s="19">
        <v>92.925389999999993</v>
      </c>
      <c r="AG553" s="4">
        <f t="shared" si="41"/>
        <v>93.186879999999988</v>
      </c>
    </row>
    <row r="554" spans="23:33" x14ac:dyDescent="0.15">
      <c r="W554" s="22">
        <v>250.00301999999999</v>
      </c>
      <c r="X554">
        <v>275</v>
      </c>
      <c r="Y554" s="23">
        <v>83.44838</v>
      </c>
      <c r="Z554" s="4">
        <f t="shared" si="40"/>
        <v>88.889210000000006</v>
      </c>
      <c r="AD554" s="24">
        <v>250.01148000000001</v>
      </c>
      <c r="AE554">
        <v>275</v>
      </c>
      <c r="AF554" s="25">
        <v>92.946669999999997</v>
      </c>
      <c r="AG554" s="4">
        <f t="shared" si="41"/>
        <v>93.208159999999992</v>
      </c>
    </row>
    <row r="555" spans="23:33" x14ac:dyDescent="0.15">
      <c r="W555" s="22">
        <v>250.005</v>
      </c>
      <c r="X555">
        <v>275.5</v>
      </c>
      <c r="Y555" s="4">
        <v>83.446449999999999</v>
      </c>
      <c r="Z555" s="4">
        <f t="shared" si="40"/>
        <v>88.887280000000004</v>
      </c>
      <c r="AD555" s="24">
        <v>250.00944000000001</v>
      </c>
      <c r="AE555">
        <v>275.5</v>
      </c>
      <c r="AF555" s="19">
        <v>92.866690000000006</v>
      </c>
      <c r="AG555" s="4">
        <f t="shared" si="41"/>
        <v>93.12818</v>
      </c>
    </row>
    <row r="556" spans="23:33" x14ac:dyDescent="0.15">
      <c r="W556" s="22">
        <v>250.00996000000001</v>
      </c>
      <c r="X556">
        <v>276</v>
      </c>
      <c r="Y556" s="23">
        <v>83.435069999999996</v>
      </c>
      <c r="Z556" s="4">
        <f t="shared" si="40"/>
        <v>88.875900000000001</v>
      </c>
      <c r="AD556" s="24">
        <v>250.01387</v>
      </c>
      <c r="AE556">
        <v>276</v>
      </c>
      <c r="AF556" s="25">
        <v>93.108360000000005</v>
      </c>
      <c r="AG556" s="4">
        <f t="shared" si="41"/>
        <v>93.36985</v>
      </c>
    </row>
    <row r="557" spans="23:33" x14ac:dyDescent="0.15">
      <c r="W557" s="22">
        <v>250.00398000000001</v>
      </c>
      <c r="X557">
        <v>276.5</v>
      </c>
      <c r="Y557" s="4">
        <v>83.429320000000004</v>
      </c>
      <c r="Z557" s="4">
        <f t="shared" si="40"/>
        <v>88.87015000000001</v>
      </c>
      <c r="AD557" s="24">
        <v>250.01992999999999</v>
      </c>
      <c r="AE557">
        <v>276.5</v>
      </c>
      <c r="AF557" s="19">
        <v>92.909610000000001</v>
      </c>
      <c r="AG557" s="4">
        <f t="shared" si="41"/>
        <v>93.171099999999996</v>
      </c>
    </row>
    <row r="558" spans="23:33" x14ac:dyDescent="0.15">
      <c r="W558" s="22">
        <v>250.00797</v>
      </c>
      <c r="X558">
        <v>277</v>
      </c>
      <c r="Y558" s="23">
        <v>83.413619999999995</v>
      </c>
      <c r="Z558" s="4">
        <f t="shared" si="40"/>
        <v>88.85445</v>
      </c>
      <c r="AD558" s="24">
        <v>250.02261999999999</v>
      </c>
      <c r="AE558">
        <v>277</v>
      </c>
      <c r="AF558" s="25">
        <v>92.840490000000003</v>
      </c>
      <c r="AG558" s="4">
        <f t="shared" si="41"/>
        <v>93.101979999999998</v>
      </c>
    </row>
    <row r="559" spans="23:33" x14ac:dyDescent="0.15">
      <c r="W559" s="22">
        <v>250.00502</v>
      </c>
      <c r="X559">
        <v>277.5</v>
      </c>
      <c r="Y559" s="4">
        <v>83.386989999999997</v>
      </c>
      <c r="Z559" s="4">
        <f t="shared" si="40"/>
        <v>88.827820000000003</v>
      </c>
      <c r="AD559" s="24">
        <v>250.01859999999999</v>
      </c>
      <c r="AE559">
        <v>277.5</v>
      </c>
      <c r="AF559" s="19">
        <v>92.833590000000001</v>
      </c>
      <c r="AG559" s="4">
        <f t="shared" si="41"/>
        <v>93.095079999999996</v>
      </c>
    </row>
    <row r="560" spans="23:33" x14ac:dyDescent="0.15">
      <c r="W560" s="22">
        <v>250.00493</v>
      </c>
      <c r="X560">
        <v>278</v>
      </c>
      <c r="Y560" s="23">
        <v>83.388800000000003</v>
      </c>
      <c r="Z560" s="4">
        <f t="shared" si="40"/>
        <v>88.829630000000009</v>
      </c>
      <c r="AD560" s="24">
        <v>250.01646</v>
      </c>
      <c r="AE560">
        <v>278</v>
      </c>
      <c r="AF560" s="25">
        <v>92.77243</v>
      </c>
      <c r="AG560" s="4">
        <f t="shared" si="41"/>
        <v>93.033919999999995</v>
      </c>
    </row>
    <row r="561" spans="23:33" x14ac:dyDescent="0.15">
      <c r="W561" s="22">
        <v>250.00099</v>
      </c>
      <c r="X561">
        <v>278.5</v>
      </c>
      <c r="Y561" s="4">
        <v>83.364069999999998</v>
      </c>
      <c r="Z561" s="4">
        <f t="shared" si="40"/>
        <v>88.804900000000004</v>
      </c>
      <c r="AD561" s="24">
        <v>250.01563999999999</v>
      </c>
      <c r="AE561">
        <v>278.5</v>
      </c>
      <c r="AF561" s="19">
        <v>92.842600000000004</v>
      </c>
      <c r="AG561" s="4">
        <f t="shared" si="41"/>
        <v>93.104089999999999</v>
      </c>
    </row>
    <row r="562" spans="23:33" x14ac:dyDescent="0.15">
      <c r="W562" s="22">
        <v>250.00298000000001</v>
      </c>
      <c r="X562">
        <v>279</v>
      </c>
      <c r="Y562" s="23">
        <v>83.343040000000002</v>
      </c>
      <c r="Z562" s="4">
        <f t="shared" si="40"/>
        <v>88.783870000000007</v>
      </c>
      <c r="AD562" s="24">
        <v>250.01575</v>
      </c>
      <c r="AE562">
        <v>279</v>
      </c>
      <c r="AF562" s="25">
        <v>92.787890000000004</v>
      </c>
      <c r="AG562" s="4">
        <f t="shared" si="41"/>
        <v>93.049379999999999</v>
      </c>
    </row>
    <row r="563" spans="23:33" x14ac:dyDescent="0.15">
      <c r="W563" s="22">
        <v>250.00398999999999</v>
      </c>
      <c r="X563">
        <v>279.5</v>
      </c>
      <c r="Y563" s="4">
        <v>83.323710000000005</v>
      </c>
      <c r="Z563" s="4">
        <f t="shared" si="40"/>
        <v>88.764540000000011</v>
      </c>
      <c r="AD563" s="24">
        <v>250.01566</v>
      </c>
      <c r="AE563">
        <v>279.5</v>
      </c>
      <c r="AF563" s="19">
        <v>92.793899999999994</v>
      </c>
      <c r="AG563" s="4">
        <f t="shared" si="41"/>
        <v>93.055389999999989</v>
      </c>
    </row>
    <row r="564" spans="23:33" x14ac:dyDescent="0.15">
      <c r="W564" s="22">
        <v>250.00398999999999</v>
      </c>
      <c r="X564">
        <v>280</v>
      </c>
      <c r="Y564" s="23">
        <v>83.314120000000003</v>
      </c>
      <c r="Z564" s="4">
        <f t="shared" si="40"/>
        <v>88.754950000000008</v>
      </c>
      <c r="AD564" s="24">
        <v>250.01939999999999</v>
      </c>
      <c r="AE564">
        <v>280</v>
      </c>
      <c r="AF564" s="25">
        <v>92.711920000000006</v>
      </c>
      <c r="AG564" s="4">
        <f t="shared" si="41"/>
        <v>92.973410000000001</v>
      </c>
    </row>
    <row r="565" spans="23:33" x14ac:dyDescent="0.15">
      <c r="W565" s="22">
        <v>250.00798</v>
      </c>
      <c r="X565">
        <v>280.5</v>
      </c>
      <c r="Y565" s="4">
        <v>83.300700000000006</v>
      </c>
      <c r="Z565" s="4">
        <f t="shared" si="40"/>
        <v>88.741530000000012</v>
      </c>
      <c r="AD565" s="24">
        <v>250.01965999999999</v>
      </c>
      <c r="AE565">
        <v>280.5</v>
      </c>
      <c r="AF565" s="19">
        <v>92.652469999999994</v>
      </c>
      <c r="AG565" s="4">
        <f t="shared" si="41"/>
        <v>92.913959999999989</v>
      </c>
    </row>
    <row r="566" spans="23:33" x14ac:dyDescent="0.15">
      <c r="W566" s="22">
        <v>250.00698</v>
      </c>
      <c r="X566">
        <v>281</v>
      </c>
      <c r="Y566" s="23">
        <v>83.283370000000005</v>
      </c>
      <c r="Z566" s="4">
        <f t="shared" si="40"/>
        <v>88.72420000000001</v>
      </c>
      <c r="AD566" s="24">
        <v>250.01866999999999</v>
      </c>
      <c r="AE566">
        <v>281</v>
      </c>
      <c r="AF566" s="25">
        <v>92.75094</v>
      </c>
      <c r="AG566" s="4">
        <f t="shared" si="41"/>
        <v>93.012429999999995</v>
      </c>
    </row>
    <row r="567" spans="23:33" x14ac:dyDescent="0.15">
      <c r="W567" s="22">
        <v>250.00299999999999</v>
      </c>
      <c r="X567">
        <v>281.5</v>
      </c>
      <c r="Y567" s="4">
        <v>83.270060000000001</v>
      </c>
      <c r="Z567" s="4">
        <f t="shared" si="40"/>
        <v>88.710890000000006</v>
      </c>
      <c r="AD567" s="24">
        <v>250.02053000000001</v>
      </c>
      <c r="AE567">
        <v>281.5</v>
      </c>
      <c r="AF567" s="19">
        <v>92.797210000000007</v>
      </c>
      <c r="AG567" s="4">
        <f t="shared" si="41"/>
        <v>93.058700000000002</v>
      </c>
    </row>
    <row r="568" spans="23:33" x14ac:dyDescent="0.15">
      <c r="W568" s="22">
        <v>250.00398999999999</v>
      </c>
      <c r="X568">
        <v>282</v>
      </c>
      <c r="Y568" s="23">
        <v>83.247020000000006</v>
      </c>
      <c r="Z568" s="4">
        <f t="shared" si="40"/>
        <v>88.687850000000012</v>
      </c>
      <c r="AD568" s="24">
        <v>250.02024</v>
      </c>
      <c r="AE568">
        <v>282</v>
      </c>
      <c r="AF568" s="25">
        <v>92.649900000000002</v>
      </c>
      <c r="AG568" s="4">
        <f t="shared" si="41"/>
        <v>92.911389999999997</v>
      </c>
    </row>
    <row r="569" spans="23:33" x14ac:dyDescent="0.15">
      <c r="W569" s="22">
        <v>250.00998999999999</v>
      </c>
      <c r="X569">
        <v>282.5</v>
      </c>
      <c r="Y569" s="4">
        <v>83.231660000000005</v>
      </c>
      <c r="Z569" s="4">
        <f t="shared" si="40"/>
        <v>88.67249000000001</v>
      </c>
      <c r="AD569" s="24">
        <v>250.01865000000001</v>
      </c>
      <c r="AE569">
        <v>282.5</v>
      </c>
      <c r="AF569" s="19">
        <v>92.647689999999997</v>
      </c>
      <c r="AG569" s="4">
        <f t="shared" si="41"/>
        <v>92.909179999999992</v>
      </c>
    </row>
    <row r="570" spans="23:33" x14ac:dyDescent="0.15">
      <c r="W570" s="22">
        <v>250.01003</v>
      </c>
      <c r="X570">
        <v>283</v>
      </c>
      <c r="Y570" s="23">
        <v>83.220169999999996</v>
      </c>
      <c r="Z570" s="4">
        <f t="shared" si="40"/>
        <v>88.661000000000001</v>
      </c>
      <c r="AD570" s="24">
        <v>250.01713000000001</v>
      </c>
      <c r="AE570">
        <v>283</v>
      </c>
      <c r="AF570" s="25">
        <v>92.625559999999993</v>
      </c>
      <c r="AG570" s="4">
        <f t="shared" si="41"/>
        <v>92.887049999999988</v>
      </c>
    </row>
    <row r="571" spans="23:33" x14ac:dyDescent="0.15">
      <c r="W571" s="22">
        <v>250.005</v>
      </c>
      <c r="X571">
        <v>283.5</v>
      </c>
      <c r="Y571" s="4">
        <v>83.189419999999998</v>
      </c>
      <c r="Z571" s="4">
        <f t="shared" si="40"/>
        <v>88.630250000000004</v>
      </c>
      <c r="AD571" s="24">
        <v>250.01737</v>
      </c>
      <c r="AE571">
        <v>283.5</v>
      </c>
      <c r="AF571" s="19">
        <v>92.735470000000007</v>
      </c>
      <c r="AG571" s="4">
        <f t="shared" si="41"/>
        <v>92.996960000000001</v>
      </c>
    </row>
    <row r="572" spans="23:33" x14ac:dyDescent="0.15">
      <c r="W572" s="22">
        <v>250.00801999999999</v>
      </c>
      <c r="X572">
        <v>284</v>
      </c>
      <c r="Y572" s="23">
        <v>83.15307</v>
      </c>
      <c r="Z572" s="4">
        <f t="shared" si="40"/>
        <v>88.593900000000005</v>
      </c>
      <c r="AD572" s="24">
        <v>250.01812000000001</v>
      </c>
      <c r="AE572">
        <v>284</v>
      </c>
      <c r="AF572" s="25">
        <v>92.629459999999995</v>
      </c>
      <c r="AG572" s="4">
        <f t="shared" si="41"/>
        <v>92.890949999999989</v>
      </c>
    </row>
    <row r="573" spans="23:33" x14ac:dyDescent="0.15">
      <c r="W573" s="22">
        <v>250.00897000000001</v>
      </c>
      <c r="X573">
        <v>284.5</v>
      </c>
      <c r="Y573" s="4">
        <v>83.155050000000003</v>
      </c>
      <c r="Z573" s="4">
        <f t="shared" si="40"/>
        <v>88.595880000000008</v>
      </c>
      <c r="AD573" s="24">
        <v>250.01713000000001</v>
      </c>
      <c r="AE573">
        <v>284.5</v>
      </c>
      <c r="AF573" s="19">
        <v>92.560649999999995</v>
      </c>
      <c r="AG573" s="4">
        <f t="shared" si="41"/>
        <v>92.82213999999999</v>
      </c>
    </row>
    <row r="574" spans="23:33" x14ac:dyDescent="0.15">
      <c r="W574" s="22">
        <v>250.00408999999999</v>
      </c>
      <c r="X574">
        <v>285</v>
      </c>
      <c r="Y574" s="23">
        <v>83.151250000000005</v>
      </c>
      <c r="Z574" s="4">
        <f t="shared" si="40"/>
        <v>88.59208000000001</v>
      </c>
      <c r="AD574" s="24">
        <v>250.01678999999999</v>
      </c>
      <c r="AE574">
        <v>285</v>
      </c>
      <c r="AF574" s="25">
        <v>92.682559999999995</v>
      </c>
      <c r="AG574" s="4">
        <f t="shared" si="41"/>
        <v>92.94404999999999</v>
      </c>
    </row>
    <row r="575" spans="23:33" x14ac:dyDescent="0.15">
      <c r="W575" s="22">
        <v>250.00398999999999</v>
      </c>
      <c r="X575">
        <v>285.5</v>
      </c>
      <c r="Y575" s="4">
        <v>83.139719999999997</v>
      </c>
      <c r="Z575" s="4">
        <f t="shared" si="40"/>
        <v>88.580550000000002</v>
      </c>
      <c r="AD575" s="24">
        <v>250.01185000000001</v>
      </c>
      <c r="AE575">
        <v>285.5</v>
      </c>
      <c r="AF575" s="19">
        <v>92.652240000000006</v>
      </c>
      <c r="AG575" s="4">
        <f t="shared" si="41"/>
        <v>92.913730000000001</v>
      </c>
    </row>
    <row r="576" spans="23:33" x14ac:dyDescent="0.15">
      <c r="W576" s="22">
        <v>250.00399999999999</v>
      </c>
      <c r="X576">
        <v>286</v>
      </c>
      <c r="Y576" s="23">
        <v>83.133870000000002</v>
      </c>
      <c r="Z576" s="4">
        <f t="shared" si="40"/>
        <v>88.574700000000007</v>
      </c>
      <c r="AD576" s="24">
        <v>250.01453000000001</v>
      </c>
      <c r="AE576">
        <v>286</v>
      </c>
      <c r="AF576" s="25">
        <v>92.739360000000005</v>
      </c>
      <c r="AG576" s="4">
        <f t="shared" si="41"/>
        <v>93.00085</v>
      </c>
    </row>
    <row r="577" spans="23:33" x14ac:dyDescent="0.15">
      <c r="W577" s="22">
        <v>250.00400999999999</v>
      </c>
      <c r="X577">
        <v>286.5</v>
      </c>
      <c r="Y577" s="4">
        <v>83.112620000000007</v>
      </c>
      <c r="Z577" s="4">
        <f t="shared" si="40"/>
        <v>88.553450000000012</v>
      </c>
      <c r="AD577" s="24">
        <v>250.01714999999999</v>
      </c>
      <c r="AE577">
        <v>286.5</v>
      </c>
      <c r="AF577" s="19">
        <v>92.607529999999997</v>
      </c>
      <c r="AG577" s="4">
        <f t="shared" si="41"/>
        <v>92.869019999999992</v>
      </c>
    </row>
    <row r="578" spans="23:33" x14ac:dyDescent="0.15">
      <c r="W578" s="22">
        <v>250.00298000000001</v>
      </c>
      <c r="X578">
        <v>287</v>
      </c>
      <c r="Y578" s="23">
        <v>83.087940000000003</v>
      </c>
      <c r="Z578" s="4">
        <f t="shared" si="40"/>
        <v>88.528770000000009</v>
      </c>
      <c r="AD578" s="24">
        <v>250.01849000000001</v>
      </c>
      <c r="AE578">
        <v>287</v>
      </c>
      <c r="AF578" s="25">
        <v>92.600819999999999</v>
      </c>
      <c r="AG578" s="4">
        <f t="shared" si="41"/>
        <v>92.862309999999994</v>
      </c>
    </row>
    <row r="579" spans="23:33" x14ac:dyDescent="0.15">
      <c r="W579" s="22">
        <v>250.00398000000001</v>
      </c>
      <c r="X579">
        <v>287.5</v>
      </c>
      <c r="Y579" s="4">
        <v>83.076279999999997</v>
      </c>
      <c r="Z579" s="4">
        <f t="shared" si="40"/>
        <v>88.517110000000002</v>
      </c>
      <c r="AD579" s="24">
        <v>250.02030999999999</v>
      </c>
      <c r="AE579">
        <v>287.5</v>
      </c>
      <c r="AF579" s="19">
        <v>92.699439999999996</v>
      </c>
      <c r="AG579" s="4">
        <f t="shared" si="41"/>
        <v>92.960929999999991</v>
      </c>
    </row>
    <row r="580" spans="23:33" x14ac:dyDescent="0.15">
      <c r="W580" s="22">
        <v>250.00497999999999</v>
      </c>
      <c r="X580">
        <v>288</v>
      </c>
      <c r="Y580" s="23">
        <v>83.062839999999994</v>
      </c>
      <c r="Z580" s="4">
        <f t="shared" si="40"/>
        <v>88.50367</v>
      </c>
      <c r="AD580" s="24">
        <v>250.02153999999999</v>
      </c>
      <c r="AE580">
        <v>288</v>
      </c>
      <c r="AF580" s="25">
        <v>92.618740000000003</v>
      </c>
      <c r="AG580" s="4">
        <f t="shared" si="41"/>
        <v>92.880229999999997</v>
      </c>
    </row>
    <row r="581" spans="23:33" x14ac:dyDescent="0.15">
      <c r="W581" s="22">
        <v>250.00899999999999</v>
      </c>
      <c r="X581">
        <v>288.5</v>
      </c>
      <c r="Y581" s="4">
        <v>83.053529999999995</v>
      </c>
      <c r="Z581" s="4">
        <f t="shared" ref="Z581:Z644" si="42">100-($Y$4-Y581)</f>
        <v>88.49436</v>
      </c>
      <c r="AD581" s="24">
        <v>250.02306999999999</v>
      </c>
      <c r="AE581">
        <v>288.5</v>
      </c>
      <c r="AF581" s="19">
        <v>92.559190000000001</v>
      </c>
      <c r="AG581" s="4">
        <f t="shared" ref="AG581:AG644" si="43">100-($AF$4-AF581)</f>
        <v>92.820679999999996</v>
      </c>
    </row>
    <row r="582" spans="23:33" x14ac:dyDescent="0.15">
      <c r="W582" s="22">
        <v>250.00601</v>
      </c>
      <c r="X582">
        <v>289</v>
      </c>
      <c r="Y582" s="23">
        <v>83.030370000000005</v>
      </c>
      <c r="Z582" s="4">
        <f t="shared" si="42"/>
        <v>88.47120000000001</v>
      </c>
      <c r="AD582" s="24">
        <v>250.02616</v>
      </c>
      <c r="AE582">
        <v>289</v>
      </c>
      <c r="AF582" s="25">
        <v>92.616789999999995</v>
      </c>
      <c r="AG582" s="4">
        <f t="shared" si="43"/>
        <v>92.87827999999999</v>
      </c>
    </row>
    <row r="583" spans="23:33" x14ac:dyDescent="0.15">
      <c r="W583" s="22">
        <v>250.00899000000001</v>
      </c>
      <c r="X583">
        <v>289.5</v>
      </c>
      <c r="Y583" s="4">
        <v>83.020830000000004</v>
      </c>
      <c r="Z583" s="4">
        <f t="shared" si="42"/>
        <v>88.461660000000009</v>
      </c>
      <c r="AD583" s="24">
        <v>250.02452</v>
      </c>
      <c r="AE583">
        <v>289.5</v>
      </c>
      <c r="AF583" s="19">
        <v>92.559420000000003</v>
      </c>
      <c r="AG583" s="4">
        <f t="shared" si="43"/>
        <v>92.820909999999998</v>
      </c>
    </row>
    <row r="584" spans="23:33" x14ac:dyDescent="0.15">
      <c r="W584" s="22">
        <v>250.00702000000001</v>
      </c>
      <c r="X584">
        <v>290</v>
      </c>
      <c r="Y584" s="23">
        <v>82.995810000000006</v>
      </c>
      <c r="Z584" s="4">
        <f t="shared" si="42"/>
        <v>88.436640000000011</v>
      </c>
      <c r="AD584" s="24">
        <v>250.02072000000001</v>
      </c>
      <c r="AE584">
        <v>290</v>
      </c>
      <c r="AF584" s="25">
        <v>92.608699999999999</v>
      </c>
      <c r="AG584" s="4">
        <f t="shared" si="43"/>
        <v>92.870189999999994</v>
      </c>
    </row>
    <row r="585" spans="23:33" x14ac:dyDescent="0.15">
      <c r="W585" s="22">
        <v>250.00301999999999</v>
      </c>
      <c r="X585">
        <v>290.5</v>
      </c>
      <c r="Y585" s="4">
        <v>82.982519999999994</v>
      </c>
      <c r="Z585" s="4">
        <f t="shared" si="42"/>
        <v>88.423349999999999</v>
      </c>
      <c r="AD585" s="24">
        <v>250.01933</v>
      </c>
      <c r="AE585">
        <v>290.5</v>
      </c>
      <c r="AF585" s="19">
        <v>92.504750000000001</v>
      </c>
      <c r="AG585" s="4">
        <f t="shared" si="43"/>
        <v>92.766239999999996</v>
      </c>
    </row>
    <row r="586" spans="23:33" x14ac:dyDescent="0.15">
      <c r="W586" s="22">
        <v>250.00595999999999</v>
      </c>
      <c r="X586">
        <v>291</v>
      </c>
      <c r="Y586" s="23">
        <v>82.968919999999997</v>
      </c>
      <c r="Z586" s="4">
        <f t="shared" si="42"/>
        <v>88.409750000000003</v>
      </c>
      <c r="AD586" s="24">
        <v>250.01650000000001</v>
      </c>
      <c r="AE586">
        <v>291</v>
      </c>
      <c r="AF586" s="25">
        <v>92.627799999999993</v>
      </c>
      <c r="AG586" s="4">
        <f t="shared" si="43"/>
        <v>92.889289999999988</v>
      </c>
    </row>
    <row r="587" spans="23:33" x14ac:dyDescent="0.15">
      <c r="W587" s="22">
        <v>250.00895</v>
      </c>
      <c r="X587">
        <v>291.5</v>
      </c>
      <c r="Y587" s="4">
        <v>82.968980000000002</v>
      </c>
      <c r="Z587" s="4">
        <f t="shared" si="42"/>
        <v>88.409810000000007</v>
      </c>
      <c r="AD587" s="24">
        <v>250.01665</v>
      </c>
      <c r="AE587">
        <v>291.5</v>
      </c>
      <c r="AF587" s="19">
        <v>92.509919999999994</v>
      </c>
      <c r="AG587" s="4">
        <f t="shared" si="43"/>
        <v>92.771409999999989</v>
      </c>
    </row>
    <row r="588" spans="23:33" x14ac:dyDescent="0.15">
      <c r="W588" s="22">
        <v>250.01096000000001</v>
      </c>
      <c r="X588">
        <v>292</v>
      </c>
      <c r="Y588" s="23">
        <v>82.928690000000003</v>
      </c>
      <c r="Z588" s="4">
        <f t="shared" si="42"/>
        <v>88.369520000000009</v>
      </c>
      <c r="AD588" s="24">
        <v>250.01510999999999</v>
      </c>
      <c r="AE588">
        <v>292</v>
      </c>
      <c r="AF588" s="25">
        <v>92.582480000000004</v>
      </c>
      <c r="AG588" s="4">
        <f t="shared" si="43"/>
        <v>92.843969999999999</v>
      </c>
    </row>
    <row r="589" spans="23:33" x14ac:dyDescent="0.15">
      <c r="W589" s="22">
        <v>250.00995</v>
      </c>
      <c r="X589">
        <v>292.5</v>
      </c>
      <c r="Y589" s="4">
        <v>82.922939999999997</v>
      </c>
      <c r="Z589" s="4">
        <f t="shared" si="42"/>
        <v>88.363770000000002</v>
      </c>
      <c r="AD589" s="24">
        <v>250.01669000000001</v>
      </c>
      <c r="AE589">
        <v>292.5</v>
      </c>
      <c r="AF589" s="19">
        <v>92.637709999999998</v>
      </c>
      <c r="AG589" s="4">
        <f t="shared" si="43"/>
        <v>92.899199999999993</v>
      </c>
    </row>
    <row r="590" spans="23:33" x14ac:dyDescent="0.15">
      <c r="W590" s="22">
        <v>250.00899000000001</v>
      </c>
      <c r="X590">
        <v>293</v>
      </c>
      <c r="Y590" s="23">
        <v>82.896050000000002</v>
      </c>
      <c r="Z590" s="4">
        <f t="shared" si="42"/>
        <v>88.336880000000008</v>
      </c>
      <c r="AD590" s="24">
        <v>250.01569000000001</v>
      </c>
      <c r="AE590">
        <v>293</v>
      </c>
      <c r="AF590" s="25">
        <v>92.384060000000005</v>
      </c>
      <c r="AG590" s="4">
        <f t="shared" si="43"/>
        <v>92.64555</v>
      </c>
    </row>
    <row r="591" spans="23:33" x14ac:dyDescent="0.15">
      <c r="W591" s="22">
        <v>249.999</v>
      </c>
      <c r="X591">
        <v>293.5</v>
      </c>
      <c r="Y591" s="4">
        <v>82.884559999999993</v>
      </c>
      <c r="Z591" s="4">
        <f t="shared" si="42"/>
        <v>88.325389999999999</v>
      </c>
      <c r="AD591" s="24">
        <v>250.01679999999999</v>
      </c>
      <c r="AE591">
        <v>293.5</v>
      </c>
      <c r="AF591" s="19">
        <v>92.491919999999993</v>
      </c>
      <c r="AG591" s="4">
        <f t="shared" si="43"/>
        <v>92.753409999999988</v>
      </c>
    </row>
    <row r="592" spans="23:33" x14ac:dyDescent="0.15">
      <c r="W592" s="22">
        <v>250.00303</v>
      </c>
      <c r="X592">
        <v>294</v>
      </c>
      <c r="Y592" s="23">
        <v>82.857799999999997</v>
      </c>
      <c r="Z592" s="4">
        <f t="shared" si="42"/>
        <v>88.298630000000003</v>
      </c>
      <c r="AD592" s="24">
        <v>250.01698999999999</v>
      </c>
      <c r="AE592">
        <v>294</v>
      </c>
      <c r="AF592" s="25">
        <v>92.462440000000001</v>
      </c>
      <c r="AG592" s="4">
        <f t="shared" si="43"/>
        <v>92.723929999999996</v>
      </c>
    </row>
    <row r="593" spans="23:33" x14ac:dyDescent="0.15">
      <c r="W593" s="22">
        <v>250.00402</v>
      </c>
      <c r="X593">
        <v>294.5</v>
      </c>
      <c r="Y593" s="4">
        <v>82.857770000000002</v>
      </c>
      <c r="Z593" s="4">
        <f t="shared" si="42"/>
        <v>88.298600000000008</v>
      </c>
      <c r="AD593" s="24">
        <v>250.01608999999999</v>
      </c>
      <c r="AE593">
        <v>294.5</v>
      </c>
      <c r="AF593" s="19">
        <v>92.432860000000005</v>
      </c>
      <c r="AG593" s="4">
        <f t="shared" si="43"/>
        <v>92.69435</v>
      </c>
    </row>
    <row r="594" spans="23:33" x14ac:dyDescent="0.15">
      <c r="W594" s="22">
        <v>250.00398000000001</v>
      </c>
      <c r="X594">
        <v>295</v>
      </c>
      <c r="Y594" s="23">
        <v>82.828959999999995</v>
      </c>
      <c r="Z594" s="4">
        <f t="shared" si="42"/>
        <v>88.26979</v>
      </c>
      <c r="AD594" s="24">
        <v>250.01468</v>
      </c>
      <c r="AE594">
        <v>295</v>
      </c>
      <c r="AF594" s="25">
        <v>92.460539999999995</v>
      </c>
      <c r="AG594" s="4">
        <f t="shared" si="43"/>
        <v>92.72202999999999</v>
      </c>
    </row>
    <row r="595" spans="23:33" x14ac:dyDescent="0.15">
      <c r="W595" s="22">
        <v>250.01</v>
      </c>
      <c r="X595">
        <v>295.5</v>
      </c>
      <c r="Y595" s="4">
        <v>82.807879999999997</v>
      </c>
      <c r="Z595" s="4">
        <f t="shared" si="42"/>
        <v>88.248710000000003</v>
      </c>
      <c r="AD595" s="24">
        <v>250.01418000000001</v>
      </c>
      <c r="AE595">
        <v>295.5</v>
      </c>
      <c r="AF595" s="19">
        <v>92.421019999999999</v>
      </c>
      <c r="AG595" s="4">
        <f t="shared" si="43"/>
        <v>92.682509999999994</v>
      </c>
    </row>
    <row r="596" spans="23:33" x14ac:dyDescent="0.15">
      <c r="W596" s="22">
        <v>250.001</v>
      </c>
      <c r="X596">
        <v>296</v>
      </c>
      <c r="Y596" s="23">
        <v>82.804190000000006</v>
      </c>
      <c r="Z596" s="4">
        <f t="shared" si="42"/>
        <v>88.245020000000011</v>
      </c>
      <c r="AD596" s="24">
        <v>250.01459</v>
      </c>
      <c r="AE596">
        <v>296</v>
      </c>
      <c r="AF596" s="25">
        <v>92.450590000000005</v>
      </c>
      <c r="AG596" s="4">
        <f t="shared" si="43"/>
        <v>92.71208</v>
      </c>
    </row>
    <row r="597" spans="23:33" x14ac:dyDescent="0.15">
      <c r="W597" s="22">
        <v>250.00201000000001</v>
      </c>
      <c r="X597">
        <v>296.5</v>
      </c>
      <c r="Y597" s="4">
        <v>82.786829999999995</v>
      </c>
      <c r="Z597" s="4">
        <f t="shared" si="42"/>
        <v>88.22766</v>
      </c>
      <c r="AD597" s="24">
        <v>250.01875000000001</v>
      </c>
      <c r="AE597">
        <v>296.5</v>
      </c>
      <c r="AF597" s="19">
        <v>92.451939999999993</v>
      </c>
      <c r="AG597" s="4">
        <f t="shared" si="43"/>
        <v>92.713429999999988</v>
      </c>
    </row>
    <row r="598" spans="23:33" x14ac:dyDescent="0.15">
      <c r="W598" s="22">
        <v>250.00398999999999</v>
      </c>
      <c r="X598">
        <v>297</v>
      </c>
      <c r="Y598" s="23">
        <v>82.769620000000003</v>
      </c>
      <c r="Z598" s="4">
        <f t="shared" si="42"/>
        <v>88.210450000000009</v>
      </c>
      <c r="AD598" s="24">
        <v>250.01715999999999</v>
      </c>
      <c r="AE598">
        <v>297</v>
      </c>
      <c r="AF598" s="25">
        <v>92.411299999999997</v>
      </c>
      <c r="AG598" s="4">
        <f t="shared" si="43"/>
        <v>92.672789999999992</v>
      </c>
    </row>
    <row r="599" spans="23:33" x14ac:dyDescent="0.15">
      <c r="W599" s="22">
        <v>250.00801999999999</v>
      </c>
      <c r="X599">
        <v>297.5</v>
      </c>
      <c r="Y599" s="4">
        <v>82.746769999999998</v>
      </c>
      <c r="Z599" s="4">
        <f t="shared" si="42"/>
        <v>88.187600000000003</v>
      </c>
      <c r="AD599" s="24">
        <v>250.01382000000001</v>
      </c>
      <c r="AE599">
        <v>297.5</v>
      </c>
      <c r="AF599" s="19">
        <v>92.435940000000002</v>
      </c>
      <c r="AG599" s="4">
        <f t="shared" si="43"/>
        <v>92.697429999999997</v>
      </c>
    </row>
    <row r="600" spans="23:33" x14ac:dyDescent="0.15">
      <c r="W600" s="22">
        <v>250.00595999999999</v>
      </c>
      <c r="X600">
        <v>298</v>
      </c>
      <c r="Y600" s="23">
        <v>82.729309999999998</v>
      </c>
      <c r="Z600" s="4">
        <f t="shared" si="42"/>
        <v>88.170140000000004</v>
      </c>
      <c r="AD600" s="24">
        <v>250.01514</v>
      </c>
      <c r="AE600">
        <v>298</v>
      </c>
      <c r="AF600" s="25">
        <v>92.34066</v>
      </c>
      <c r="AG600" s="4">
        <f t="shared" si="43"/>
        <v>92.602149999999995</v>
      </c>
    </row>
    <row r="601" spans="23:33" x14ac:dyDescent="0.15">
      <c r="W601" s="22">
        <v>250.00400999999999</v>
      </c>
      <c r="X601">
        <v>298.5</v>
      </c>
      <c r="Y601" s="4">
        <v>82.716030000000003</v>
      </c>
      <c r="Z601" s="4">
        <f t="shared" si="42"/>
        <v>88.156860000000009</v>
      </c>
      <c r="AD601" s="24">
        <v>250.01241999999999</v>
      </c>
      <c r="AE601">
        <v>298.5</v>
      </c>
      <c r="AF601" s="19">
        <v>92.389600000000002</v>
      </c>
      <c r="AG601" s="4">
        <f t="shared" si="43"/>
        <v>92.651089999999996</v>
      </c>
    </row>
    <row r="602" spans="23:33" x14ac:dyDescent="0.15">
      <c r="W602" s="22">
        <v>250.00599</v>
      </c>
      <c r="X602">
        <v>299</v>
      </c>
      <c r="Y602" s="23">
        <v>82.683210000000003</v>
      </c>
      <c r="Z602" s="4">
        <f t="shared" si="42"/>
        <v>88.124040000000008</v>
      </c>
      <c r="AD602" s="24">
        <v>250.01239000000001</v>
      </c>
      <c r="AE602">
        <v>299</v>
      </c>
      <c r="AF602" s="25">
        <v>92.441999999999993</v>
      </c>
      <c r="AG602" s="4">
        <f t="shared" si="43"/>
        <v>92.703489999999988</v>
      </c>
    </row>
    <row r="603" spans="23:33" x14ac:dyDescent="0.15">
      <c r="W603" s="22">
        <v>250.00399999999999</v>
      </c>
      <c r="X603">
        <v>299.5</v>
      </c>
      <c r="Y603" s="4">
        <v>82.67944</v>
      </c>
      <c r="Z603" s="4">
        <f t="shared" si="42"/>
        <v>88.120270000000005</v>
      </c>
      <c r="AD603" s="24">
        <v>250.01373000000001</v>
      </c>
      <c r="AE603">
        <v>299.5</v>
      </c>
      <c r="AF603" s="19">
        <v>92.308959999999999</v>
      </c>
      <c r="AG603" s="4">
        <f t="shared" si="43"/>
        <v>92.570449999999994</v>
      </c>
    </row>
    <row r="604" spans="23:33" x14ac:dyDescent="0.15">
      <c r="W604" s="22">
        <v>250.00695999999999</v>
      </c>
      <c r="X604">
        <v>300</v>
      </c>
      <c r="Y604" s="23">
        <v>82.675389999999993</v>
      </c>
      <c r="Z604" s="4">
        <f t="shared" si="42"/>
        <v>88.116219999999998</v>
      </c>
      <c r="AD604" s="24">
        <v>250.01045999999999</v>
      </c>
      <c r="AE604">
        <v>300</v>
      </c>
      <c r="AF604" s="25">
        <v>92.412019999999998</v>
      </c>
      <c r="AG604" s="4">
        <f t="shared" si="43"/>
        <v>92.673509999999993</v>
      </c>
    </row>
    <row r="605" spans="23:33" x14ac:dyDescent="0.15">
      <c r="W605" s="22">
        <v>250.006</v>
      </c>
      <c r="X605">
        <v>300.5</v>
      </c>
      <c r="Y605" s="4">
        <v>82.644760000000005</v>
      </c>
      <c r="Z605" s="4">
        <f t="shared" si="42"/>
        <v>88.08559000000001</v>
      </c>
      <c r="AD605" s="24">
        <v>250.00842</v>
      </c>
      <c r="AE605">
        <v>300.5</v>
      </c>
      <c r="AF605" s="19">
        <v>92.295509999999993</v>
      </c>
      <c r="AG605" s="4">
        <f t="shared" si="43"/>
        <v>92.556999999999988</v>
      </c>
    </row>
    <row r="606" spans="23:33" x14ac:dyDescent="0.15">
      <c r="W606" s="22">
        <v>250.00301999999999</v>
      </c>
      <c r="X606">
        <v>301</v>
      </c>
      <c r="Y606" s="23">
        <v>82.625730000000004</v>
      </c>
      <c r="Z606" s="4">
        <f t="shared" si="42"/>
        <v>88.06656000000001</v>
      </c>
      <c r="AD606" s="24">
        <v>250.00960000000001</v>
      </c>
      <c r="AE606">
        <v>301</v>
      </c>
      <c r="AF606" s="25">
        <v>92.289820000000006</v>
      </c>
      <c r="AG606" s="4">
        <f t="shared" si="43"/>
        <v>92.551310000000001</v>
      </c>
    </row>
    <row r="607" spans="23:33" x14ac:dyDescent="0.15">
      <c r="W607" s="22">
        <v>250.00299000000001</v>
      </c>
      <c r="X607">
        <v>301.5</v>
      </c>
      <c r="Y607" s="4">
        <v>82.622129999999999</v>
      </c>
      <c r="Z607" s="4">
        <f t="shared" si="42"/>
        <v>88.062960000000004</v>
      </c>
      <c r="AD607" s="24">
        <v>250.01226</v>
      </c>
      <c r="AE607">
        <v>301.5</v>
      </c>
      <c r="AF607" s="19">
        <v>92.30574</v>
      </c>
      <c r="AG607" s="4">
        <f t="shared" si="43"/>
        <v>92.567229999999995</v>
      </c>
    </row>
    <row r="608" spans="23:33" x14ac:dyDescent="0.15">
      <c r="W608" s="22">
        <v>250.00603000000001</v>
      </c>
      <c r="X608">
        <v>302</v>
      </c>
      <c r="Y608" s="23">
        <v>82.606610000000003</v>
      </c>
      <c r="Z608" s="4">
        <f t="shared" si="42"/>
        <v>88.047440000000009</v>
      </c>
      <c r="AD608" s="24">
        <v>250.01016999999999</v>
      </c>
      <c r="AE608">
        <v>302</v>
      </c>
      <c r="AF608" s="25">
        <v>92.25018</v>
      </c>
      <c r="AG608" s="4">
        <f t="shared" si="43"/>
        <v>92.511669999999995</v>
      </c>
    </row>
    <row r="609" spans="23:33" x14ac:dyDescent="0.15">
      <c r="W609" s="22">
        <v>250.00698</v>
      </c>
      <c r="X609">
        <v>302.5</v>
      </c>
      <c r="Y609" s="4">
        <v>82.596879999999999</v>
      </c>
      <c r="Z609" s="4">
        <f t="shared" si="42"/>
        <v>88.037710000000004</v>
      </c>
      <c r="AD609" s="24">
        <v>250.00873000000001</v>
      </c>
      <c r="AE609">
        <v>302.5</v>
      </c>
      <c r="AF609" s="19">
        <v>92.34178</v>
      </c>
      <c r="AG609" s="4">
        <f t="shared" si="43"/>
        <v>92.603269999999995</v>
      </c>
    </row>
    <row r="610" spans="23:33" x14ac:dyDescent="0.15">
      <c r="W610" s="22">
        <v>250.00303</v>
      </c>
      <c r="X610">
        <v>303</v>
      </c>
      <c r="Y610" s="23">
        <v>82.587249999999997</v>
      </c>
      <c r="Z610" s="4">
        <f t="shared" si="42"/>
        <v>88.028080000000003</v>
      </c>
      <c r="AD610" s="24">
        <v>250.01271</v>
      </c>
      <c r="AE610">
        <v>303</v>
      </c>
      <c r="AF610" s="25">
        <v>92.228859999999997</v>
      </c>
      <c r="AG610" s="4">
        <f t="shared" si="43"/>
        <v>92.490349999999992</v>
      </c>
    </row>
    <row r="611" spans="23:33" x14ac:dyDescent="0.15">
      <c r="W611" s="22">
        <v>250.00601</v>
      </c>
      <c r="X611">
        <v>303.5</v>
      </c>
      <c r="Y611" s="4">
        <v>82.570059999999998</v>
      </c>
      <c r="Z611" s="4">
        <f t="shared" si="42"/>
        <v>88.010890000000003</v>
      </c>
      <c r="AD611" s="24">
        <v>250.01328000000001</v>
      </c>
      <c r="AE611">
        <v>303.5</v>
      </c>
      <c r="AF611" s="19">
        <v>92.268349999999998</v>
      </c>
      <c r="AG611" s="4">
        <f t="shared" si="43"/>
        <v>92.529839999999993</v>
      </c>
    </row>
    <row r="612" spans="23:33" x14ac:dyDescent="0.15">
      <c r="W612" s="22">
        <v>250.00699</v>
      </c>
      <c r="X612">
        <v>304</v>
      </c>
      <c r="Y612" s="23">
        <v>82.54513</v>
      </c>
      <c r="Z612" s="4">
        <f t="shared" si="42"/>
        <v>87.985960000000006</v>
      </c>
      <c r="AD612" s="24">
        <v>250.01729</v>
      </c>
      <c r="AE612">
        <v>304</v>
      </c>
      <c r="AF612" s="25">
        <v>92.197019999999995</v>
      </c>
      <c r="AG612" s="4">
        <f t="shared" si="43"/>
        <v>92.45850999999999</v>
      </c>
    </row>
    <row r="613" spans="23:33" x14ac:dyDescent="0.15">
      <c r="W613" s="22">
        <v>250.00596999999999</v>
      </c>
      <c r="X613">
        <v>304.5</v>
      </c>
      <c r="Y613" s="4">
        <v>82.535700000000006</v>
      </c>
      <c r="Z613" s="4">
        <f t="shared" si="42"/>
        <v>87.976530000000011</v>
      </c>
      <c r="AD613" s="24">
        <v>250.01994999999999</v>
      </c>
      <c r="AE613">
        <v>304.5</v>
      </c>
      <c r="AF613" s="19">
        <v>92.247889999999998</v>
      </c>
      <c r="AG613" s="4">
        <f t="shared" si="43"/>
        <v>92.509379999999993</v>
      </c>
    </row>
    <row r="614" spans="23:33" x14ac:dyDescent="0.15">
      <c r="W614" s="22">
        <v>250.00596999999999</v>
      </c>
      <c r="X614">
        <v>305</v>
      </c>
      <c r="Y614" s="23">
        <v>82.508740000000003</v>
      </c>
      <c r="Z614" s="4">
        <f t="shared" si="42"/>
        <v>87.949570000000008</v>
      </c>
      <c r="AD614" s="24">
        <v>250.01768000000001</v>
      </c>
      <c r="AE614">
        <v>305</v>
      </c>
      <c r="AF614" s="25">
        <v>92.264489999999995</v>
      </c>
      <c r="AG614" s="4">
        <f t="shared" si="43"/>
        <v>92.52597999999999</v>
      </c>
    </row>
    <row r="615" spans="23:33" x14ac:dyDescent="0.15">
      <c r="W615" s="22">
        <v>250.00904</v>
      </c>
      <c r="X615">
        <v>305.5</v>
      </c>
      <c r="Y615" s="4">
        <v>82.491510000000005</v>
      </c>
      <c r="Z615" s="4">
        <f t="shared" si="42"/>
        <v>87.932340000000011</v>
      </c>
      <c r="AD615" s="24">
        <v>250.01760999999999</v>
      </c>
      <c r="AE615">
        <v>305.5</v>
      </c>
      <c r="AF615" s="19">
        <v>92.322090000000003</v>
      </c>
      <c r="AG615" s="4">
        <f t="shared" si="43"/>
        <v>92.583579999999998</v>
      </c>
    </row>
    <row r="616" spans="23:33" x14ac:dyDescent="0.15">
      <c r="W616" s="22">
        <v>250.00801000000001</v>
      </c>
      <c r="X616">
        <v>306</v>
      </c>
      <c r="Y616" s="23">
        <v>82.493530000000007</v>
      </c>
      <c r="Z616" s="4">
        <f t="shared" si="42"/>
        <v>87.934360000000012</v>
      </c>
      <c r="AD616" s="24">
        <v>250.01687999999999</v>
      </c>
      <c r="AE616">
        <v>306</v>
      </c>
      <c r="AF616" s="25">
        <v>92.241579999999999</v>
      </c>
      <c r="AG616" s="4">
        <f t="shared" si="43"/>
        <v>92.503069999999994</v>
      </c>
    </row>
    <row r="617" spans="23:33" x14ac:dyDescent="0.15">
      <c r="W617" s="22">
        <v>250.00702000000001</v>
      </c>
      <c r="X617">
        <v>306.5</v>
      </c>
      <c r="Y617" s="4">
        <v>82.47627</v>
      </c>
      <c r="Z617" s="4">
        <f t="shared" si="42"/>
        <v>87.917100000000005</v>
      </c>
      <c r="AD617" s="24">
        <v>250.01586</v>
      </c>
      <c r="AE617">
        <v>306.5</v>
      </c>
      <c r="AF617" s="19">
        <v>92.282880000000006</v>
      </c>
      <c r="AG617" s="4">
        <f t="shared" si="43"/>
        <v>92.544370000000001</v>
      </c>
    </row>
    <row r="618" spans="23:33" x14ac:dyDescent="0.15">
      <c r="W618" s="22">
        <v>250.00199000000001</v>
      </c>
      <c r="X618">
        <v>307</v>
      </c>
      <c r="Y618" s="23">
        <v>82.462909999999994</v>
      </c>
      <c r="Z618" s="4">
        <f t="shared" si="42"/>
        <v>87.903739999999999</v>
      </c>
      <c r="AD618" s="24">
        <v>250.01727</v>
      </c>
      <c r="AE618">
        <v>307</v>
      </c>
      <c r="AF618" s="25">
        <v>92.227189999999993</v>
      </c>
      <c r="AG618" s="4">
        <f t="shared" si="43"/>
        <v>92.488679999999988</v>
      </c>
    </row>
    <row r="619" spans="23:33" x14ac:dyDescent="0.15">
      <c r="W619" s="22">
        <v>250.00198</v>
      </c>
      <c r="X619">
        <v>307.5</v>
      </c>
      <c r="Y619" s="4">
        <v>82.447429999999997</v>
      </c>
      <c r="Z619" s="4">
        <f t="shared" si="42"/>
        <v>87.888260000000002</v>
      </c>
      <c r="AD619" s="24">
        <v>250.01866000000001</v>
      </c>
      <c r="AE619">
        <v>307.5</v>
      </c>
      <c r="AF619" s="19">
        <v>92.258690000000001</v>
      </c>
      <c r="AG619" s="4">
        <f t="shared" si="43"/>
        <v>92.520179999999996</v>
      </c>
    </row>
    <row r="620" spans="23:33" x14ac:dyDescent="0.15">
      <c r="W620" s="22">
        <v>250.00098</v>
      </c>
      <c r="X620">
        <v>308</v>
      </c>
      <c r="Y620" s="23">
        <v>82.422569999999993</v>
      </c>
      <c r="Z620" s="4">
        <f t="shared" si="42"/>
        <v>87.863399999999999</v>
      </c>
      <c r="AD620" s="24">
        <v>250.01723000000001</v>
      </c>
      <c r="AE620">
        <v>308</v>
      </c>
      <c r="AF620" s="25">
        <v>92.172229999999999</v>
      </c>
      <c r="AG620" s="4">
        <f t="shared" si="43"/>
        <v>92.433719999999994</v>
      </c>
    </row>
    <row r="621" spans="23:33" x14ac:dyDescent="0.15">
      <c r="W621" s="22">
        <v>250.00402</v>
      </c>
      <c r="X621">
        <v>308.5</v>
      </c>
      <c r="Y621" s="4">
        <v>82.414900000000003</v>
      </c>
      <c r="Z621" s="4">
        <f t="shared" si="42"/>
        <v>87.855730000000008</v>
      </c>
      <c r="AD621" s="24">
        <v>250.01625000000001</v>
      </c>
      <c r="AE621">
        <v>308.5</v>
      </c>
      <c r="AF621" s="19">
        <v>92.190790000000007</v>
      </c>
      <c r="AG621" s="4">
        <f t="shared" si="43"/>
        <v>92.452280000000002</v>
      </c>
    </row>
    <row r="622" spans="23:33" x14ac:dyDescent="0.15">
      <c r="W622" s="22">
        <v>250.00201999999999</v>
      </c>
      <c r="X622">
        <v>309</v>
      </c>
      <c r="Y622" s="23">
        <v>82.405270000000002</v>
      </c>
      <c r="Z622" s="4">
        <f t="shared" si="42"/>
        <v>87.846100000000007</v>
      </c>
      <c r="AD622" s="24">
        <v>250.01563999999999</v>
      </c>
      <c r="AE622">
        <v>309</v>
      </c>
      <c r="AF622" s="25">
        <v>92.069950000000006</v>
      </c>
      <c r="AG622" s="4">
        <f t="shared" si="43"/>
        <v>92.331440000000001</v>
      </c>
    </row>
    <row r="623" spans="23:33" x14ac:dyDescent="0.15">
      <c r="W623" s="22">
        <v>250.00201999999999</v>
      </c>
      <c r="X623">
        <v>309.5</v>
      </c>
      <c r="Y623" s="4">
        <v>82.376519999999999</v>
      </c>
      <c r="Z623" s="4">
        <f t="shared" si="42"/>
        <v>87.817350000000005</v>
      </c>
      <c r="AD623" s="24">
        <v>250.01268999999999</v>
      </c>
      <c r="AE623">
        <v>309.5</v>
      </c>
      <c r="AF623" s="19">
        <v>92.04853</v>
      </c>
      <c r="AG623" s="4">
        <f t="shared" si="43"/>
        <v>92.310019999999994</v>
      </c>
    </row>
    <row r="624" spans="23:33" x14ac:dyDescent="0.15">
      <c r="W624" s="22">
        <v>250.00295</v>
      </c>
      <c r="X624">
        <v>310</v>
      </c>
      <c r="Y624" s="23">
        <v>82.380160000000004</v>
      </c>
      <c r="Z624" s="4">
        <f t="shared" si="42"/>
        <v>87.820990000000009</v>
      </c>
      <c r="AD624" s="24">
        <v>250.01322999999999</v>
      </c>
      <c r="AE624">
        <v>310</v>
      </c>
      <c r="AF624" s="25">
        <v>92.135890000000003</v>
      </c>
      <c r="AG624" s="4">
        <f t="shared" si="43"/>
        <v>92.397379999999998</v>
      </c>
    </row>
    <row r="625" spans="23:33" x14ac:dyDescent="0.15">
      <c r="W625" s="22">
        <v>250.00503</v>
      </c>
      <c r="X625">
        <v>310.5</v>
      </c>
      <c r="Y625" s="4">
        <v>82.341920000000002</v>
      </c>
      <c r="Z625" s="4">
        <f t="shared" si="42"/>
        <v>87.782750000000007</v>
      </c>
      <c r="AD625" s="24">
        <v>250.01412999999999</v>
      </c>
      <c r="AE625">
        <v>310.5</v>
      </c>
      <c r="AF625" s="19">
        <v>92.143129999999999</v>
      </c>
      <c r="AG625" s="4">
        <f t="shared" si="43"/>
        <v>92.404619999999994</v>
      </c>
    </row>
    <row r="626" spans="23:33" x14ac:dyDescent="0.15">
      <c r="W626" s="22">
        <v>250.00899999999999</v>
      </c>
      <c r="X626">
        <v>311</v>
      </c>
      <c r="Y626" s="23">
        <v>82.326639999999998</v>
      </c>
      <c r="Z626" s="4">
        <f t="shared" si="42"/>
        <v>87.767470000000003</v>
      </c>
      <c r="AD626" s="24">
        <v>250.01496</v>
      </c>
      <c r="AE626">
        <v>311</v>
      </c>
      <c r="AF626" s="25">
        <v>92.029409999999999</v>
      </c>
      <c r="AG626" s="4">
        <f t="shared" si="43"/>
        <v>92.290899999999993</v>
      </c>
    </row>
    <row r="627" spans="23:33" x14ac:dyDescent="0.15">
      <c r="W627" s="22">
        <v>250.00801999999999</v>
      </c>
      <c r="X627">
        <v>311.5</v>
      </c>
      <c r="Y627" s="4">
        <v>82.307509999999994</v>
      </c>
      <c r="Z627" s="4">
        <f t="shared" si="42"/>
        <v>87.748339999999999</v>
      </c>
      <c r="AD627" s="24">
        <v>250.01253</v>
      </c>
      <c r="AE627">
        <v>311.5</v>
      </c>
      <c r="AF627" s="19">
        <v>92.063590000000005</v>
      </c>
      <c r="AG627" s="4">
        <f t="shared" si="43"/>
        <v>92.32508</v>
      </c>
    </row>
    <row r="628" spans="23:33" x14ac:dyDescent="0.15">
      <c r="W628" s="22">
        <v>250.00702000000001</v>
      </c>
      <c r="X628">
        <v>312</v>
      </c>
      <c r="Y628" s="23">
        <v>82.3018</v>
      </c>
      <c r="Z628" s="4">
        <f t="shared" si="42"/>
        <v>87.742630000000005</v>
      </c>
      <c r="AD628" s="24">
        <v>250.01197999999999</v>
      </c>
      <c r="AE628">
        <v>312</v>
      </c>
      <c r="AF628" s="25">
        <v>92.082099999999997</v>
      </c>
      <c r="AG628" s="4">
        <f t="shared" si="43"/>
        <v>92.343589999999992</v>
      </c>
    </row>
    <row r="629" spans="23:33" x14ac:dyDescent="0.15">
      <c r="W629" s="22">
        <v>250.00801000000001</v>
      </c>
      <c r="X629">
        <v>312.5</v>
      </c>
      <c r="Y629" s="4">
        <v>82.290239999999997</v>
      </c>
      <c r="Z629" s="4">
        <f t="shared" si="42"/>
        <v>87.731070000000003</v>
      </c>
      <c r="AD629" s="24">
        <v>250.00946999999999</v>
      </c>
      <c r="AE629">
        <v>312.5</v>
      </c>
      <c r="AF629" s="19">
        <v>92.032539999999997</v>
      </c>
      <c r="AG629" s="4">
        <f t="shared" si="43"/>
        <v>92.294029999999992</v>
      </c>
    </row>
    <row r="630" spans="23:33" x14ac:dyDescent="0.15">
      <c r="W630" s="22">
        <v>250.00797</v>
      </c>
      <c r="X630">
        <v>313</v>
      </c>
      <c r="Y630" s="23">
        <v>82.263440000000003</v>
      </c>
      <c r="Z630" s="4">
        <f t="shared" si="42"/>
        <v>87.704270000000008</v>
      </c>
      <c r="AD630" s="24">
        <v>250.01007000000001</v>
      </c>
      <c r="AE630">
        <v>313</v>
      </c>
      <c r="AF630" s="25">
        <v>92.06071</v>
      </c>
      <c r="AG630" s="4">
        <f t="shared" si="43"/>
        <v>92.322199999999995</v>
      </c>
    </row>
    <row r="631" spans="23:33" x14ac:dyDescent="0.15">
      <c r="W631" s="22">
        <v>250.00505999999999</v>
      </c>
      <c r="X631">
        <v>313.5</v>
      </c>
      <c r="Y631" s="4">
        <v>82.255880000000005</v>
      </c>
      <c r="Z631" s="4">
        <f t="shared" si="42"/>
        <v>87.69671000000001</v>
      </c>
      <c r="AD631" s="24">
        <v>250.01102</v>
      </c>
      <c r="AE631">
        <v>313.5</v>
      </c>
      <c r="AF631" s="19">
        <v>91.936580000000006</v>
      </c>
      <c r="AG631" s="4">
        <f t="shared" si="43"/>
        <v>92.198070000000001</v>
      </c>
    </row>
    <row r="632" spans="23:33" x14ac:dyDescent="0.15">
      <c r="W632" s="22">
        <v>250.00303</v>
      </c>
      <c r="X632">
        <v>314</v>
      </c>
      <c r="Y632" s="23">
        <v>82.240309999999994</v>
      </c>
      <c r="Z632" s="4">
        <f t="shared" si="42"/>
        <v>87.681139999999999</v>
      </c>
      <c r="AD632" s="24">
        <v>250.01609999999999</v>
      </c>
      <c r="AE632">
        <v>314</v>
      </c>
      <c r="AF632" s="25">
        <v>92.089129999999997</v>
      </c>
      <c r="AG632" s="4">
        <f t="shared" si="43"/>
        <v>92.350619999999992</v>
      </c>
    </row>
    <row r="633" spans="23:33" x14ac:dyDescent="0.15">
      <c r="W633" s="22">
        <v>250.00400999999999</v>
      </c>
      <c r="X633">
        <v>314.5</v>
      </c>
      <c r="Y633" s="4">
        <v>82.225049999999996</v>
      </c>
      <c r="Z633" s="4">
        <f t="shared" si="42"/>
        <v>87.665880000000001</v>
      </c>
      <c r="AD633" s="24">
        <v>250.02376000000001</v>
      </c>
      <c r="AE633">
        <v>314.5</v>
      </c>
      <c r="AF633" s="19">
        <v>92.114580000000004</v>
      </c>
      <c r="AG633" s="4">
        <f t="shared" si="43"/>
        <v>92.376069999999999</v>
      </c>
    </row>
    <row r="634" spans="23:33" x14ac:dyDescent="0.15">
      <c r="W634" s="22">
        <v>250.00399999999999</v>
      </c>
      <c r="X634">
        <v>315</v>
      </c>
      <c r="Y634" s="23">
        <v>82.207970000000003</v>
      </c>
      <c r="Z634" s="4">
        <f t="shared" si="42"/>
        <v>87.648800000000008</v>
      </c>
      <c r="AD634" s="24">
        <v>250.02598</v>
      </c>
      <c r="AE634">
        <v>315</v>
      </c>
      <c r="AF634" s="25">
        <v>92.053210000000007</v>
      </c>
      <c r="AG634" s="4">
        <f t="shared" si="43"/>
        <v>92.314700000000002</v>
      </c>
    </row>
    <row r="635" spans="23:33" x14ac:dyDescent="0.15">
      <c r="W635" s="22">
        <v>250.00398000000001</v>
      </c>
      <c r="X635">
        <v>315.5</v>
      </c>
      <c r="Y635" s="4">
        <v>82.209689999999995</v>
      </c>
      <c r="Z635" s="4">
        <f t="shared" si="42"/>
        <v>87.65052</v>
      </c>
      <c r="AD635" s="24">
        <v>250.02753999999999</v>
      </c>
      <c r="AE635">
        <v>315.5</v>
      </c>
      <c r="AF635" s="19">
        <v>91.975960000000001</v>
      </c>
      <c r="AG635" s="4">
        <f t="shared" si="43"/>
        <v>92.237449999999995</v>
      </c>
    </row>
    <row r="636" spans="23:33" x14ac:dyDescent="0.15">
      <c r="W636" s="22">
        <v>250.00700000000001</v>
      </c>
      <c r="X636">
        <v>316</v>
      </c>
      <c r="Y636" s="23">
        <v>82.175129999999996</v>
      </c>
      <c r="Z636" s="4">
        <f t="shared" si="42"/>
        <v>87.615960000000001</v>
      </c>
      <c r="AD636" s="24">
        <v>250.02280999999999</v>
      </c>
      <c r="AE636">
        <v>316</v>
      </c>
      <c r="AF636" s="25">
        <v>91.970299999999995</v>
      </c>
      <c r="AG636" s="4">
        <f t="shared" si="43"/>
        <v>92.23178999999999</v>
      </c>
    </row>
    <row r="637" spans="23:33" x14ac:dyDescent="0.15">
      <c r="W637" s="22">
        <v>250.00400999999999</v>
      </c>
      <c r="X637">
        <v>316.5</v>
      </c>
      <c r="Y637" s="4">
        <v>82.171409999999995</v>
      </c>
      <c r="Z637" s="4">
        <f t="shared" si="42"/>
        <v>87.61224</v>
      </c>
      <c r="AD637" s="24">
        <v>250.01808</v>
      </c>
      <c r="AE637">
        <v>316.5</v>
      </c>
      <c r="AF637" s="19">
        <v>91.954120000000003</v>
      </c>
      <c r="AG637" s="4">
        <f t="shared" si="43"/>
        <v>92.215609999999998</v>
      </c>
    </row>
    <row r="638" spans="23:33" x14ac:dyDescent="0.15">
      <c r="W638" s="22">
        <v>250.00794999999999</v>
      </c>
      <c r="X638">
        <v>317</v>
      </c>
      <c r="Y638" s="23">
        <v>82.155889999999999</v>
      </c>
      <c r="Z638" s="4">
        <f t="shared" si="42"/>
        <v>87.596720000000005</v>
      </c>
      <c r="AD638" s="24">
        <v>250.02018000000001</v>
      </c>
      <c r="AE638">
        <v>317</v>
      </c>
      <c r="AF638" s="25">
        <v>92.007649999999998</v>
      </c>
      <c r="AG638" s="4">
        <f t="shared" si="43"/>
        <v>92.269139999999993</v>
      </c>
    </row>
    <row r="639" spans="23:33" x14ac:dyDescent="0.15">
      <c r="W639" s="22">
        <v>250.00503</v>
      </c>
      <c r="X639">
        <v>317.5</v>
      </c>
      <c r="Y639" s="4">
        <v>82.138739999999999</v>
      </c>
      <c r="Z639" s="4">
        <f t="shared" si="42"/>
        <v>87.579570000000004</v>
      </c>
      <c r="AD639" s="24">
        <v>250.02012999999999</v>
      </c>
      <c r="AE639">
        <v>317.5</v>
      </c>
      <c r="AF639" s="19">
        <v>91.967060000000004</v>
      </c>
      <c r="AG639" s="4">
        <f t="shared" si="43"/>
        <v>92.228549999999998</v>
      </c>
    </row>
    <row r="640" spans="23:33" x14ac:dyDescent="0.15">
      <c r="W640" s="22">
        <v>250.01000999999999</v>
      </c>
      <c r="X640">
        <v>318</v>
      </c>
      <c r="Y640" s="23">
        <v>82.132900000000006</v>
      </c>
      <c r="Z640" s="4">
        <f t="shared" si="42"/>
        <v>87.573730000000012</v>
      </c>
      <c r="AD640" s="24">
        <v>250.01536999999999</v>
      </c>
      <c r="AE640">
        <v>318</v>
      </c>
      <c r="AF640" s="25">
        <v>92.040059999999997</v>
      </c>
      <c r="AG640" s="4">
        <f t="shared" si="43"/>
        <v>92.301549999999992</v>
      </c>
    </row>
    <row r="641" spans="23:33" x14ac:dyDescent="0.15">
      <c r="W641" s="22">
        <v>250.00496000000001</v>
      </c>
      <c r="X641">
        <v>318.5</v>
      </c>
      <c r="Y641" s="4">
        <v>82.113950000000003</v>
      </c>
      <c r="Z641" s="4">
        <f t="shared" si="42"/>
        <v>87.554780000000008</v>
      </c>
      <c r="AD641" s="24">
        <v>250.01517999999999</v>
      </c>
      <c r="AE641">
        <v>318.5</v>
      </c>
      <c r="AF641" s="19">
        <v>91.888509999999997</v>
      </c>
      <c r="AG641" s="4">
        <f t="shared" si="43"/>
        <v>92.149999999999991</v>
      </c>
    </row>
    <row r="642" spans="23:33" x14ac:dyDescent="0.15">
      <c r="W642" s="22">
        <v>250.00596999999999</v>
      </c>
      <c r="X642">
        <v>319</v>
      </c>
      <c r="Y642" s="23">
        <v>82.098519999999994</v>
      </c>
      <c r="Z642" s="4">
        <f t="shared" si="42"/>
        <v>87.539349999999999</v>
      </c>
      <c r="AD642" s="24">
        <v>250.01930999999999</v>
      </c>
      <c r="AE642">
        <v>319</v>
      </c>
      <c r="AF642" s="25">
        <v>91.988600000000005</v>
      </c>
      <c r="AG642" s="4">
        <f t="shared" si="43"/>
        <v>92.25009</v>
      </c>
    </row>
    <row r="643" spans="23:33" x14ac:dyDescent="0.15">
      <c r="W643" s="22">
        <v>250.00198</v>
      </c>
      <c r="X643">
        <v>319.5</v>
      </c>
      <c r="Y643" s="4">
        <v>82.075379999999996</v>
      </c>
      <c r="Z643" s="4">
        <f t="shared" si="42"/>
        <v>87.516210000000001</v>
      </c>
      <c r="AD643" s="24">
        <v>250.01979</v>
      </c>
      <c r="AE643">
        <v>319.5</v>
      </c>
      <c r="AF643" s="19">
        <v>91.933989999999994</v>
      </c>
      <c r="AG643" s="4">
        <f t="shared" si="43"/>
        <v>92.195479999999989</v>
      </c>
    </row>
    <row r="644" spans="23:33" x14ac:dyDescent="0.15">
      <c r="W644" s="22">
        <v>250.00703999999999</v>
      </c>
      <c r="X644">
        <v>320</v>
      </c>
      <c r="Y644" s="23">
        <v>82.065929999999994</v>
      </c>
      <c r="Z644" s="4">
        <f t="shared" si="42"/>
        <v>87.50676</v>
      </c>
      <c r="AD644" s="24">
        <v>250.01823999999999</v>
      </c>
      <c r="AE644">
        <v>320</v>
      </c>
      <c r="AF644" s="25">
        <v>91.904660000000007</v>
      </c>
      <c r="AG644" s="4">
        <f t="shared" si="43"/>
        <v>92.166150000000002</v>
      </c>
    </row>
    <row r="645" spans="23:33" x14ac:dyDescent="0.15">
      <c r="W645" s="22">
        <v>250.00502</v>
      </c>
      <c r="X645">
        <v>320.5</v>
      </c>
      <c r="Y645" s="4">
        <v>82.035210000000006</v>
      </c>
      <c r="Z645" s="4">
        <f t="shared" ref="Z645:Z708" si="44">100-($Y$4-Y645)</f>
        <v>87.476040000000012</v>
      </c>
      <c r="AD645" s="24">
        <v>250.0196</v>
      </c>
      <c r="AE645">
        <v>320.5</v>
      </c>
      <c r="AF645" s="19">
        <v>91.986639999999994</v>
      </c>
      <c r="AG645" s="4">
        <f t="shared" ref="AG645:AG708" si="45">100-($AF$4-AF645)</f>
        <v>92.248129999999989</v>
      </c>
    </row>
    <row r="646" spans="23:33" x14ac:dyDescent="0.15">
      <c r="W646" s="22">
        <v>250.00702000000001</v>
      </c>
      <c r="X646">
        <v>321</v>
      </c>
      <c r="Y646" s="23">
        <v>82.031289999999998</v>
      </c>
      <c r="Z646" s="4">
        <f t="shared" si="44"/>
        <v>87.472120000000004</v>
      </c>
      <c r="AD646" s="24">
        <v>250.02035000000001</v>
      </c>
      <c r="AE646">
        <v>321</v>
      </c>
      <c r="AF646" s="25">
        <v>91.933340000000001</v>
      </c>
      <c r="AG646" s="4">
        <f t="shared" si="45"/>
        <v>92.194829999999996</v>
      </c>
    </row>
    <row r="647" spans="23:33" x14ac:dyDescent="0.15">
      <c r="W647" s="22">
        <v>250.006</v>
      </c>
      <c r="X647">
        <v>321.5</v>
      </c>
      <c r="Y647" s="4">
        <v>82.016019999999997</v>
      </c>
      <c r="Z647" s="4">
        <f t="shared" si="44"/>
        <v>87.456850000000003</v>
      </c>
      <c r="AD647" s="24">
        <v>250.02072000000001</v>
      </c>
      <c r="AE647">
        <v>321.5</v>
      </c>
      <c r="AF647" s="19">
        <v>91.774180000000001</v>
      </c>
      <c r="AG647" s="4">
        <f t="shared" si="45"/>
        <v>92.035669999999996</v>
      </c>
    </row>
    <row r="648" spans="23:33" x14ac:dyDescent="0.15">
      <c r="W648" s="22">
        <v>250.00494</v>
      </c>
      <c r="X648">
        <v>322</v>
      </c>
      <c r="Y648" s="23">
        <v>82.013959999999997</v>
      </c>
      <c r="Z648" s="4">
        <f t="shared" si="44"/>
        <v>87.454790000000003</v>
      </c>
      <c r="AD648" s="24">
        <v>250.01849999999999</v>
      </c>
      <c r="AE648">
        <v>322</v>
      </c>
      <c r="AF648" s="25">
        <v>91.702920000000006</v>
      </c>
      <c r="AG648" s="4">
        <f t="shared" si="45"/>
        <v>91.964410000000001</v>
      </c>
    </row>
    <row r="649" spans="23:33" x14ac:dyDescent="0.15">
      <c r="W649" s="22">
        <v>250.00299000000001</v>
      </c>
      <c r="X649">
        <v>322.5</v>
      </c>
      <c r="Y649" s="4">
        <v>81.979500000000002</v>
      </c>
      <c r="Z649" s="4">
        <f t="shared" si="44"/>
        <v>87.420330000000007</v>
      </c>
      <c r="AD649" s="24">
        <v>250.01799</v>
      </c>
      <c r="AE649">
        <v>322.5</v>
      </c>
      <c r="AF649" s="19">
        <v>91.798929999999999</v>
      </c>
      <c r="AG649" s="4">
        <f t="shared" si="45"/>
        <v>92.060419999999993</v>
      </c>
    </row>
    <row r="650" spans="23:33" x14ac:dyDescent="0.15">
      <c r="W650" s="22">
        <v>250.00301999999999</v>
      </c>
      <c r="X650">
        <v>323</v>
      </c>
      <c r="Y650" s="23">
        <v>81.968029999999999</v>
      </c>
      <c r="Z650" s="4">
        <f t="shared" si="44"/>
        <v>87.408860000000004</v>
      </c>
      <c r="AD650" s="24">
        <v>250.01982000000001</v>
      </c>
      <c r="AE650">
        <v>323</v>
      </c>
      <c r="AF650" s="25">
        <v>91.870400000000004</v>
      </c>
      <c r="AG650" s="4">
        <f t="shared" si="45"/>
        <v>92.131889999999999</v>
      </c>
    </row>
    <row r="651" spans="23:33" x14ac:dyDescent="0.15">
      <c r="W651" s="22">
        <v>250.00803999999999</v>
      </c>
      <c r="X651">
        <v>323.5</v>
      </c>
      <c r="Y651" s="4">
        <v>81.962320000000005</v>
      </c>
      <c r="Z651" s="4">
        <f t="shared" si="44"/>
        <v>87.403150000000011</v>
      </c>
      <c r="AD651" s="24">
        <v>250.02157</v>
      </c>
      <c r="AE651">
        <v>323.5</v>
      </c>
      <c r="AF651" s="19">
        <v>91.806330000000003</v>
      </c>
      <c r="AG651" s="4">
        <f t="shared" si="45"/>
        <v>92.067819999999998</v>
      </c>
    </row>
    <row r="652" spans="23:33" x14ac:dyDescent="0.15">
      <c r="W652" s="22">
        <v>250.00503</v>
      </c>
      <c r="X652">
        <v>324</v>
      </c>
      <c r="Y652" s="23">
        <v>81.935500000000005</v>
      </c>
      <c r="Z652" s="4">
        <f t="shared" si="44"/>
        <v>87.37633000000001</v>
      </c>
      <c r="AD652" s="24">
        <v>250.02030999999999</v>
      </c>
      <c r="AE652">
        <v>324</v>
      </c>
      <c r="AF652" s="25">
        <v>91.791120000000006</v>
      </c>
      <c r="AG652" s="4">
        <f t="shared" si="45"/>
        <v>92.052610000000001</v>
      </c>
    </row>
    <row r="653" spans="23:33" x14ac:dyDescent="0.15">
      <c r="W653" s="22">
        <v>250.005</v>
      </c>
      <c r="X653">
        <v>324.5</v>
      </c>
      <c r="Y653" s="4">
        <v>81.92953</v>
      </c>
      <c r="Z653" s="4">
        <f t="shared" si="44"/>
        <v>87.370360000000005</v>
      </c>
      <c r="AD653" s="24">
        <v>250.01859999999999</v>
      </c>
      <c r="AE653">
        <v>324.5</v>
      </c>
      <c r="AF653" s="19">
        <v>91.699950000000001</v>
      </c>
      <c r="AG653" s="4">
        <f t="shared" si="45"/>
        <v>91.961439999999996</v>
      </c>
    </row>
    <row r="654" spans="23:33" x14ac:dyDescent="0.15">
      <c r="W654" s="22">
        <v>250.00599</v>
      </c>
      <c r="X654">
        <v>325</v>
      </c>
      <c r="Y654" s="23">
        <v>81.918329999999997</v>
      </c>
      <c r="Z654" s="4">
        <f t="shared" si="44"/>
        <v>87.359160000000003</v>
      </c>
      <c r="AD654" s="24">
        <v>250.01477</v>
      </c>
      <c r="AE654">
        <v>325</v>
      </c>
      <c r="AF654" s="25">
        <v>91.815770000000001</v>
      </c>
      <c r="AG654" s="4">
        <f t="shared" si="45"/>
        <v>92.077259999999995</v>
      </c>
    </row>
    <row r="655" spans="23:33" x14ac:dyDescent="0.15">
      <c r="W655" s="22">
        <v>250.00398999999999</v>
      </c>
      <c r="X655">
        <v>325.5</v>
      </c>
      <c r="Y655" s="4">
        <v>81.918120000000002</v>
      </c>
      <c r="Z655" s="4">
        <f t="shared" si="44"/>
        <v>87.358950000000007</v>
      </c>
      <c r="AD655" s="24">
        <v>250.01364000000001</v>
      </c>
      <c r="AE655">
        <v>325.5</v>
      </c>
      <c r="AF655" s="19">
        <v>91.855559999999997</v>
      </c>
      <c r="AG655" s="4">
        <f t="shared" si="45"/>
        <v>92.117049999999992</v>
      </c>
    </row>
    <row r="656" spans="23:33" x14ac:dyDescent="0.15">
      <c r="W656" s="22">
        <v>250.00299000000001</v>
      </c>
      <c r="X656">
        <v>326</v>
      </c>
      <c r="Y656" s="23">
        <v>81.893190000000004</v>
      </c>
      <c r="Z656" s="4">
        <f t="shared" si="44"/>
        <v>87.33402000000001</v>
      </c>
      <c r="AD656" s="24">
        <v>250.01053999999999</v>
      </c>
      <c r="AE656">
        <v>326</v>
      </c>
      <c r="AF656" s="25">
        <v>91.715739999999997</v>
      </c>
      <c r="AG656" s="4">
        <f t="shared" si="45"/>
        <v>91.977229999999992</v>
      </c>
    </row>
    <row r="657" spans="23:33" x14ac:dyDescent="0.15">
      <c r="W657" s="22">
        <v>250.00299000000001</v>
      </c>
      <c r="X657">
        <v>326.5</v>
      </c>
      <c r="Y657" s="4">
        <v>81.879760000000005</v>
      </c>
      <c r="Z657" s="4">
        <f t="shared" si="44"/>
        <v>87.32059000000001</v>
      </c>
      <c r="AD657" s="24">
        <v>250.00971999999999</v>
      </c>
      <c r="AE657">
        <v>326.5</v>
      </c>
      <c r="AF657" s="19">
        <v>91.793710000000004</v>
      </c>
      <c r="AG657" s="4">
        <f t="shared" si="45"/>
        <v>92.055199999999999</v>
      </c>
    </row>
    <row r="658" spans="23:33" x14ac:dyDescent="0.15">
      <c r="W658" s="22">
        <v>250.00997000000001</v>
      </c>
      <c r="X658">
        <v>327</v>
      </c>
      <c r="Y658" s="23">
        <v>81.862579999999994</v>
      </c>
      <c r="Z658" s="4">
        <f t="shared" si="44"/>
        <v>87.30341</v>
      </c>
      <c r="AD658" s="24">
        <v>250.01240000000001</v>
      </c>
      <c r="AE658">
        <v>327</v>
      </c>
      <c r="AF658" s="25">
        <v>91.684349999999995</v>
      </c>
      <c r="AG658" s="4">
        <f t="shared" si="45"/>
        <v>91.94583999999999</v>
      </c>
    </row>
    <row r="659" spans="23:33" x14ac:dyDescent="0.15">
      <c r="W659" s="22">
        <v>250.00899000000001</v>
      </c>
      <c r="X659">
        <v>327.5</v>
      </c>
      <c r="Y659" s="4">
        <v>81.856880000000004</v>
      </c>
      <c r="Z659" s="4">
        <f t="shared" si="44"/>
        <v>87.297710000000009</v>
      </c>
      <c r="AD659" s="24">
        <v>250.01623000000001</v>
      </c>
      <c r="AE659">
        <v>327.5</v>
      </c>
      <c r="AF659" s="19">
        <v>91.707679999999996</v>
      </c>
      <c r="AG659" s="4">
        <f t="shared" si="45"/>
        <v>91.969169999999991</v>
      </c>
    </row>
    <row r="660" spans="23:33" x14ac:dyDescent="0.15">
      <c r="W660" s="22">
        <v>250.00602000000001</v>
      </c>
      <c r="X660">
        <v>328</v>
      </c>
      <c r="Y660" s="23">
        <v>81.837580000000003</v>
      </c>
      <c r="Z660" s="4">
        <f t="shared" si="44"/>
        <v>87.278410000000008</v>
      </c>
      <c r="AD660" s="24">
        <v>250.01465999999999</v>
      </c>
      <c r="AE660">
        <v>328</v>
      </c>
      <c r="AF660" s="25">
        <v>91.771860000000004</v>
      </c>
      <c r="AG660" s="4">
        <f t="shared" si="45"/>
        <v>92.033349999999999</v>
      </c>
    </row>
    <row r="661" spans="23:33" x14ac:dyDescent="0.15">
      <c r="W661" s="22">
        <v>250.00497999999999</v>
      </c>
      <c r="X661">
        <v>328.5</v>
      </c>
      <c r="Y661" s="4">
        <v>81.818520000000007</v>
      </c>
      <c r="Z661" s="4">
        <f t="shared" si="44"/>
        <v>87.259350000000012</v>
      </c>
      <c r="AD661" s="24">
        <v>250.01595</v>
      </c>
      <c r="AE661">
        <v>328.5</v>
      </c>
      <c r="AF661" s="19">
        <v>91.759910000000005</v>
      </c>
      <c r="AG661" s="4">
        <f t="shared" si="45"/>
        <v>92.0214</v>
      </c>
    </row>
    <row r="662" spans="23:33" x14ac:dyDescent="0.15">
      <c r="W662" s="22">
        <v>250.00801000000001</v>
      </c>
      <c r="X662">
        <v>329</v>
      </c>
      <c r="Y662" s="23">
        <v>81.810820000000007</v>
      </c>
      <c r="Z662" s="4">
        <f t="shared" si="44"/>
        <v>87.251650000000012</v>
      </c>
      <c r="AD662" s="24">
        <v>250.01756</v>
      </c>
      <c r="AE662">
        <v>329</v>
      </c>
      <c r="AF662" s="25">
        <v>91.693449999999999</v>
      </c>
      <c r="AG662" s="4">
        <f t="shared" si="45"/>
        <v>91.954939999999993</v>
      </c>
    </row>
    <row r="663" spans="23:33" x14ac:dyDescent="0.15">
      <c r="W663" s="22">
        <v>250.00403</v>
      </c>
      <c r="X663">
        <v>329.5</v>
      </c>
      <c r="Y663" s="4">
        <v>81.789749999999998</v>
      </c>
      <c r="Z663" s="4">
        <f t="shared" si="44"/>
        <v>87.230580000000003</v>
      </c>
      <c r="AD663" s="24">
        <v>250.01544000000001</v>
      </c>
      <c r="AE663">
        <v>329.5</v>
      </c>
      <c r="AF663" s="19">
        <v>91.74033</v>
      </c>
      <c r="AG663" s="4">
        <f t="shared" si="45"/>
        <v>92.001819999999995</v>
      </c>
    </row>
    <row r="664" spans="23:33" x14ac:dyDescent="0.15">
      <c r="W664" s="22">
        <v>250.00899000000001</v>
      </c>
      <c r="X664">
        <v>330</v>
      </c>
      <c r="Y664" s="23">
        <v>81.774270000000001</v>
      </c>
      <c r="Z664" s="4">
        <f t="shared" si="44"/>
        <v>87.215100000000007</v>
      </c>
      <c r="AD664" s="24">
        <v>250.01695000000001</v>
      </c>
      <c r="AE664">
        <v>330</v>
      </c>
      <c r="AF664" s="25">
        <v>91.757599999999996</v>
      </c>
      <c r="AG664" s="4">
        <f t="shared" si="45"/>
        <v>92.019089999999991</v>
      </c>
    </row>
    <row r="665" spans="23:33" x14ac:dyDescent="0.15">
      <c r="W665" s="22">
        <v>250.00395</v>
      </c>
      <c r="X665">
        <v>330.5</v>
      </c>
      <c r="Y665" s="4">
        <v>81.75506</v>
      </c>
      <c r="Z665" s="4">
        <f t="shared" si="44"/>
        <v>87.195890000000006</v>
      </c>
      <c r="AD665" s="24">
        <v>250.01759999999999</v>
      </c>
      <c r="AE665">
        <v>330.5</v>
      </c>
      <c r="AF665" s="19">
        <v>91.550989999999999</v>
      </c>
      <c r="AG665" s="4">
        <f t="shared" si="45"/>
        <v>91.812479999999994</v>
      </c>
    </row>
    <row r="666" spans="23:33" x14ac:dyDescent="0.15">
      <c r="W666" s="22">
        <v>250.00502</v>
      </c>
      <c r="X666">
        <v>331</v>
      </c>
      <c r="Y666" s="23">
        <v>81.745829999999998</v>
      </c>
      <c r="Z666" s="4">
        <f t="shared" si="44"/>
        <v>87.186660000000003</v>
      </c>
      <c r="AD666" s="24">
        <v>250.01799</v>
      </c>
      <c r="AE666">
        <v>331</v>
      </c>
      <c r="AF666" s="25">
        <v>91.566820000000007</v>
      </c>
      <c r="AG666" s="4">
        <f t="shared" si="45"/>
        <v>91.828310000000002</v>
      </c>
    </row>
    <row r="667" spans="23:33" x14ac:dyDescent="0.15">
      <c r="W667" s="22">
        <v>250.00601</v>
      </c>
      <c r="X667">
        <v>331.5</v>
      </c>
      <c r="Y667" s="4">
        <v>81.722560000000001</v>
      </c>
      <c r="Z667" s="4">
        <f t="shared" si="44"/>
        <v>87.163390000000007</v>
      </c>
      <c r="AD667" s="24">
        <v>250.01911000000001</v>
      </c>
      <c r="AE667">
        <v>331.5</v>
      </c>
      <c r="AF667" s="19">
        <v>91.708070000000006</v>
      </c>
      <c r="AG667" s="4">
        <f t="shared" si="45"/>
        <v>91.969560000000001</v>
      </c>
    </row>
    <row r="668" spans="23:33" x14ac:dyDescent="0.15">
      <c r="W668" s="22">
        <v>250.00404</v>
      </c>
      <c r="X668">
        <v>332</v>
      </c>
      <c r="Y668" s="23">
        <v>81.699529999999996</v>
      </c>
      <c r="Z668" s="4">
        <f t="shared" si="44"/>
        <v>87.140360000000001</v>
      </c>
      <c r="AD668" s="24">
        <v>250.01857000000001</v>
      </c>
      <c r="AE668">
        <v>332</v>
      </c>
      <c r="AF668" s="25">
        <v>91.543840000000003</v>
      </c>
      <c r="AG668" s="4">
        <f t="shared" si="45"/>
        <v>91.805329999999998</v>
      </c>
    </row>
    <row r="669" spans="23:33" x14ac:dyDescent="0.15">
      <c r="W669" s="22">
        <v>250.00596999999999</v>
      </c>
      <c r="X669">
        <v>332.5</v>
      </c>
      <c r="Y669" s="4">
        <v>81.697710000000001</v>
      </c>
      <c r="Z669" s="4">
        <f t="shared" si="44"/>
        <v>87.138540000000006</v>
      </c>
      <c r="AD669" s="24">
        <v>250.02034</v>
      </c>
      <c r="AE669">
        <v>332.5</v>
      </c>
      <c r="AF669" s="19">
        <v>91.657870000000003</v>
      </c>
      <c r="AG669" s="4">
        <f t="shared" si="45"/>
        <v>91.919359999999998</v>
      </c>
    </row>
    <row r="670" spans="23:33" x14ac:dyDescent="0.15">
      <c r="W670" s="22">
        <v>250.00400999999999</v>
      </c>
      <c r="X670">
        <v>333</v>
      </c>
      <c r="Y670" s="23">
        <v>81.686160000000001</v>
      </c>
      <c r="Z670" s="4">
        <f t="shared" si="44"/>
        <v>87.126990000000006</v>
      </c>
      <c r="AD670" s="24">
        <v>250.01669000000001</v>
      </c>
      <c r="AE670">
        <v>333</v>
      </c>
      <c r="AF670" s="25">
        <v>91.515929999999997</v>
      </c>
      <c r="AG670" s="4">
        <f t="shared" si="45"/>
        <v>91.777419999999992</v>
      </c>
    </row>
    <row r="671" spans="23:33" x14ac:dyDescent="0.15">
      <c r="W671" s="22">
        <v>250.00397000000001</v>
      </c>
      <c r="X671">
        <v>333.5</v>
      </c>
      <c r="Y671" s="4">
        <v>81.670829999999995</v>
      </c>
      <c r="Z671" s="4">
        <f t="shared" si="44"/>
        <v>87.111660000000001</v>
      </c>
      <c r="AD671" s="24">
        <v>250.01194000000001</v>
      </c>
      <c r="AE671">
        <v>333.5</v>
      </c>
      <c r="AF671" s="19">
        <v>91.503399999999999</v>
      </c>
      <c r="AG671" s="4">
        <f t="shared" si="45"/>
        <v>91.764889999999994</v>
      </c>
    </row>
    <row r="672" spans="23:33" x14ac:dyDescent="0.15">
      <c r="W672" s="22">
        <v>250.00201000000001</v>
      </c>
      <c r="X672">
        <v>334</v>
      </c>
      <c r="Y672" s="23">
        <v>81.661259999999999</v>
      </c>
      <c r="Z672" s="4">
        <f t="shared" si="44"/>
        <v>87.102090000000004</v>
      </c>
      <c r="AD672" s="24">
        <v>250.01555999999999</v>
      </c>
      <c r="AE672">
        <v>334</v>
      </c>
      <c r="AF672" s="25">
        <v>91.548810000000003</v>
      </c>
      <c r="AG672" s="4">
        <f t="shared" si="45"/>
        <v>91.810299999999998</v>
      </c>
    </row>
    <row r="673" spans="23:33" x14ac:dyDescent="0.15">
      <c r="W673" s="22">
        <v>250.00099</v>
      </c>
      <c r="X673">
        <v>334.5</v>
      </c>
      <c r="Y673" s="4">
        <v>81.640159999999995</v>
      </c>
      <c r="Z673" s="4">
        <f t="shared" si="44"/>
        <v>87.08099</v>
      </c>
      <c r="AD673" s="24">
        <v>250.01808</v>
      </c>
      <c r="AE673">
        <v>334.5</v>
      </c>
      <c r="AF673" s="19">
        <v>91.48066</v>
      </c>
      <c r="AG673" s="4">
        <f t="shared" si="45"/>
        <v>91.742149999999995</v>
      </c>
    </row>
    <row r="674" spans="23:33" x14ac:dyDescent="0.15">
      <c r="W674" s="22">
        <v>250.00702000000001</v>
      </c>
      <c r="X674">
        <v>335</v>
      </c>
      <c r="Y674" s="23">
        <v>81.620900000000006</v>
      </c>
      <c r="Z674" s="4">
        <f t="shared" si="44"/>
        <v>87.061730000000011</v>
      </c>
      <c r="AD674" s="24">
        <v>250.01859999999999</v>
      </c>
      <c r="AE674">
        <v>335</v>
      </c>
      <c r="AF674" s="25">
        <v>91.536280000000005</v>
      </c>
      <c r="AG674" s="4">
        <f t="shared" si="45"/>
        <v>91.79777</v>
      </c>
    </row>
    <row r="675" spans="23:33" x14ac:dyDescent="0.15">
      <c r="W675" s="22">
        <v>250.00698</v>
      </c>
      <c r="X675">
        <v>335.5</v>
      </c>
      <c r="Y675" s="4">
        <v>81.609440000000006</v>
      </c>
      <c r="Z675" s="4">
        <f t="shared" si="44"/>
        <v>87.050270000000012</v>
      </c>
      <c r="AD675" s="24">
        <v>250.02227999999999</v>
      </c>
      <c r="AE675">
        <v>335.5</v>
      </c>
      <c r="AF675" s="19">
        <v>91.608009999999993</v>
      </c>
      <c r="AG675" s="4">
        <f t="shared" si="45"/>
        <v>91.869499999999988</v>
      </c>
    </row>
    <row r="676" spans="23:33" x14ac:dyDescent="0.15">
      <c r="W676" s="22">
        <v>250.00602000000001</v>
      </c>
      <c r="X676">
        <v>336</v>
      </c>
      <c r="Y676" s="23">
        <v>81.582599999999999</v>
      </c>
      <c r="Z676" s="4">
        <f t="shared" si="44"/>
        <v>87.023430000000005</v>
      </c>
      <c r="AD676" s="24">
        <v>250.02384000000001</v>
      </c>
      <c r="AE676">
        <v>336</v>
      </c>
      <c r="AF676" s="25">
        <v>91.653459999999995</v>
      </c>
      <c r="AG676" s="4">
        <f t="shared" si="45"/>
        <v>91.91494999999999</v>
      </c>
    </row>
    <row r="677" spans="23:33" x14ac:dyDescent="0.15">
      <c r="W677" s="22">
        <v>250.00300999999999</v>
      </c>
      <c r="X677">
        <v>336.5</v>
      </c>
      <c r="Y677" s="4">
        <v>81.573139999999995</v>
      </c>
      <c r="Z677" s="4">
        <f t="shared" si="44"/>
        <v>87.01397</v>
      </c>
      <c r="AD677" s="24">
        <v>250.02137999999999</v>
      </c>
      <c r="AE677">
        <v>336.5</v>
      </c>
      <c r="AF677" s="19">
        <v>91.573160000000001</v>
      </c>
      <c r="AG677" s="4">
        <f t="shared" si="45"/>
        <v>91.834649999999996</v>
      </c>
    </row>
    <row r="678" spans="23:33" x14ac:dyDescent="0.15">
      <c r="W678" s="22">
        <v>250.00298000000001</v>
      </c>
      <c r="X678">
        <v>337</v>
      </c>
      <c r="Y678" s="23">
        <v>81.557839999999999</v>
      </c>
      <c r="Z678" s="4">
        <f t="shared" si="44"/>
        <v>86.998670000000004</v>
      </c>
      <c r="AD678" s="24">
        <v>250.01915</v>
      </c>
      <c r="AE678">
        <v>337</v>
      </c>
      <c r="AF678" s="25">
        <v>91.513599999999997</v>
      </c>
      <c r="AG678" s="4">
        <f t="shared" si="45"/>
        <v>91.775089999999992</v>
      </c>
    </row>
    <row r="679" spans="23:33" x14ac:dyDescent="0.15">
      <c r="W679" s="22">
        <v>250.00602000000001</v>
      </c>
      <c r="X679">
        <v>337.5</v>
      </c>
      <c r="Y679" s="4">
        <v>81.532769999999999</v>
      </c>
      <c r="Z679" s="4">
        <f t="shared" si="44"/>
        <v>86.973600000000005</v>
      </c>
      <c r="AD679" s="24">
        <v>250.01863</v>
      </c>
      <c r="AE679">
        <v>337.5</v>
      </c>
      <c r="AF679" s="19">
        <v>91.519319999999993</v>
      </c>
      <c r="AG679" s="4">
        <f t="shared" si="45"/>
        <v>91.780809999999988</v>
      </c>
    </row>
    <row r="680" spans="23:33" x14ac:dyDescent="0.15">
      <c r="W680" s="22">
        <v>250.00791000000001</v>
      </c>
      <c r="X680">
        <v>338</v>
      </c>
      <c r="Y680" s="23">
        <v>81.525090000000006</v>
      </c>
      <c r="Z680" s="4">
        <f t="shared" si="44"/>
        <v>86.965920000000011</v>
      </c>
      <c r="AD680" s="24">
        <v>250.01732000000001</v>
      </c>
      <c r="AE680">
        <v>338</v>
      </c>
      <c r="AF680" s="25">
        <v>91.626339999999999</v>
      </c>
      <c r="AG680" s="4">
        <f t="shared" si="45"/>
        <v>91.887829999999994</v>
      </c>
    </row>
    <row r="681" spans="23:33" x14ac:dyDescent="0.15">
      <c r="W681" s="22">
        <v>250.00904</v>
      </c>
      <c r="X681">
        <v>338.5</v>
      </c>
      <c r="Y681" s="4">
        <v>81.511719999999997</v>
      </c>
      <c r="Z681" s="4">
        <f t="shared" si="44"/>
        <v>86.952550000000002</v>
      </c>
      <c r="AD681" s="24">
        <v>250.01089999999999</v>
      </c>
      <c r="AE681">
        <v>338.5</v>
      </c>
      <c r="AF681" s="19">
        <v>91.449380000000005</v>
      </c>
      <c r="AG681" s="4">
        <f t="shared" si="45"/>
        <v>91.71087</v>
      </c>
    </row>
    <row r="682" spans="23:33" x14ac:dyDescent="0.15">
      <c r="W682" s="22">
        <v>250.00299000000001</v>
      </c>
      <c r="X682">
        <v>339</v>
      </c>
      <c r="Y682" s="23">
        <v>81.492519999999999</v>
      </c>
      <c r="Z682" s="4">
        <f t="shared" si="44"/>
        <v>86.933350000000004</v>
      </c>
      <c r="AD682" s="24">
        <v>250.01447999999999</v>
      </c>
      <c r="AE682">
        <v>339</v>
      </c>
      <c r="AF682" s="25">
        <v>91.488560000000007</v>
      </c>
      <c r="AG682" s="4">
        <f t="shared" si="45"/>
        <v>91.750050000000002</v>
      </c>
    </row>
    <row r="683" spans="23:33" x14ac:dyDescent="0.15">
      <c r="W683" s="22">
        <v>250.00497999999999</v>
      </c>
      <c r="X683">
        <v>339.5</v>
      </c>
      <c r="Y683" s="4">
        <v>81.488690000000005</v>
      </c>
      <c r="Z683" s="4">
        <f t="shared" si="44"/>
        <v>86.929520000000011</v>
      </c>
      <c r="AD683" s="24">
        <v>250.02312000000001</v>
      </c>
      <c r="AE683">
        <v>339.5</v>
      </c>
      <c r="AF683" s="19">
        <v>91.306920000000005</v>
      </c>
      <c r="AG683" s="4">
        <f t="shared" si="45"/>
        <v>91.56841</v>
      </c>
    </row>
    <row r="684" spans="23:33" x14ac:dyDescent="0.15">
      <c r="W684" s="22">
        <v>250.005</v>
      </c>
      <c r="X684">
        <v>340</v>
      </c>
      <c r="Y684" s="23">
        <v>81.46575</v>
      </c>
      <c r="Z684" s="4">
        <f t="shared" si="44"/>
        <v>86.906580000000005</v>
      </c>
      <c r="AD684" s="24">
        <v>250.02104</v>
      </c>
      <c r="AE684">
        <v>340</v>
      </c>
      <c r="AF684" s="25">
        <v>91.426169999999999</v>
      </c>
      <c r="AG684" s="4">
        <f t="shared" si="45"/>
        <v>91.687659999999994</v>
      </c>
    </row>
    <row r="685" spans="23:33" x14ac:dyDescent="0.15">
      <c r="W685" s="22">
        <v>250.00603000000001</v>
      </c>
      <c r="X685">
        <v>340.5</v>
      </c>
      <c r="Y685" s="4">
        <v>81.448580000000007</v>
      </c>
      <c r="Z685" s="4">
        <f t="shared" si="44"/>
        <v>86.889410000000012</v>
      </c>
      <c r="AD685" s="24">
        <v>250.01761999999999</v>
      </c>
      <c r="AE685">
        <v>340.5</v>
      </c>
      <c r="AF685" s="19">
        <v>91.439880000000002</v>
      </c>
      <c r="AG685" s="4">
        <f t="shared" si="45"/>
        <v>91.701369999999997</v>
      </c>
    </row>
    <row r="686" spans="23:33" x14ac:dyDescent="0.15">
      <c r="W686" s="22">
        <v>250.00400999999999</v>
      </c>
      <c r="X686">
        <v>341</v>
      </c>
      <c r="Y686" s="23">
        <v>81.435119999999998</v>
      </c>
      <c r="Z686" s="4">
        <f t="shared" si="44"/>
        <v>86.875950000000003</v>
      </c>
      <c r="AD686" s="24">
        <v>250.01682</v>
      </c>
      <c r="AE686">
        <v>341</v>
      </c>
      <c r="AF686" s="25">
        <v>91.341149999999999</v>
      </c>
      <c r="AG686" s="4">
        <f t="shared" si="45"/>
        <v>91.602639999999994</v>
      </c>
    </row>
    <row r="687" spans="23:33" x14ac:dyDescent="0.15">
      <c r="W687" s="22">
        <v>250.006</v>
      </c>
      <c r="X687">
        <v>341.5</v>
      </c>
      <c r="Y687" s="4">
        <v>81.419510000000002</v>
      </c>
      <c r="Z687" s="4">
        <f t="shared" si="44"/>
        <v>86.860340000000008</v>
      </c>
      <c r="AD687" s="24">
        <v>250.01797999999999</v>
      </c>
      <c r="AE687">
        <v>341.5</v>
      </c>
      <c r="AF687" s="19">
        <v>91.468050000000005</v>
      </c>
      <c r="AG687" s="4">
        <f t="shared" si="45"/>
        <v>91.72954</v>
      </c>
    </row>
    <row r="688" spans="23:33" x14ac:dyDescent="0.15">
      <c r="W688" s="22">
        <v>249.99800999999999</v>
      </c>
      <c r="X688">
        <v>342</v>
      </c>
      <c r="Y688" s="23">
        <v>81.400509999999997</v>
      </c>
      <c r="Z688" s="4">
        <f t="shared" si="44"/>
        <v>86.841340000000002</v>
      </c>
      <c r="AD688" s="24">
        <v>250.01587000000001</v>
      </c>
      <c r="AE688">
        <v>342</v>
      </c>
      <c r="AF688" s="25">
        <v>91.414699999999996</v>
      </c>
      <c r="AG688" s="4">
        <f t="shared" si="45"/>
        <v>91.676189999999991</v>
      </c>
    </row>
    <row r="689" spans="23:33" x14ac:dyDescent="0.15">
      <c r="W689" s="22">
        <v>249.99993000000001</v>
      </c>
      <c r="X689">
        <v>342.5</v>
      </c>
      <c r="Y689" s="4">
        <v>81.390870000000007</v>
      </c>
      <c r="Z689" s="4">
        <f t="shared" si="44"/>
        <v>86.831700000000012</v>
      </c>
      <c r="AD689" s="24">
        <v>250.01293999999999</v>
      </c>
      <c r="AE689">
        <v>342.5</v>
      </c>
      <c r="AF689" s="19">
        <v>91.424899999999994</v>
      </c>
      <c r="AG689" s="4">
        <f t="shared" si="45"/>
        <v>91.686389999999989</v>
      </c>
    </row>
    <row r="690" spans="23:33" x14ac:dyDescent="0.15">
      <c r="W690" s="22">
        <v>250.00602000000001</v>
      </c>
      <c r="X690">
        <v>343</v>
      </c>
      <c r="Y690" s="23">
        <v>81.379409999999993</v>
      </c>
      <c r="Z690" s="4">
        <f t="shared" si="44"/>
        <v>86.820239999999998</v>
      </c>
      <c r="AD690" s="24">
        <v>250.01229000000001</v>
      </c>
      <c r="AE690">
        <v>343</v>
      </c>
      <c r="AF690" s="25">
        <v>91.406959999999998</v>
      </c>
      <c r="AG690" s="4">
        <f t="shared" si="45"/>
        <v>91.668449999999993</v>
      </c>
    </row>
    <row r="691" spans="23:33" x14ac:dyDescent="0.15">
      <c r="W691" s="22">
        <v>250.00899999999999</v>
      </c>
      <c r="X691">
        <v>343.5</v>
      </c>
      <c r="Y691" s="4">
        <v>81.37182</v>
      </c>
      <c r="Z691" s="4">
        <f t="shared" si="44"/>
        <v>86.812650000000005</v>
      </c>
      <c r="AD691" s="24">
        <v>250.01344</v>
      </c>
      <c r="AE691">
        <v>343.5</v>
      </c>
      <c r="AF691" s="19">
        <v>91.350980000000007</v>
      </c>
      <c r="AG691" s="4">
        <f t="shared" si="45"/>
        <v>91.612470000000002</v>
      </c>
    </row>
    <row r="692" spans="23:33" x14ac:dyDescent="0.15">
      <c r="W692" s="22">
        <v>250.00404</v>
      </c>
      <c r="X692">
        <v>344</v>
      </c>
      <c r="Y692" s="23">
        <v>81.360240000000005</v>
      </c>
      <c r="Z692" s="4">
        <f t="shared" si="44"/>
        <v>86.80107000000001</v>
      </c>
      <c r="AD692" s="24">
        <v>250.01181</v>
      </c>
      <c r="AE692">
        <v>344</v>
      </c>
      <c r="AF692" s="25">
        <v>91.306399999999996</v>
      </c>
      <c r="AG692" s="4">
        <f t="shared" si="45"/>
        <v>91.567889999999991</v>
      </c>
    </row>
    <row r="693" spans="23:33" x14ac:dyDescent="0.15">
      <c r="W693" s="22">
        <v>250.00701000000001</v>
      </c>
      <c r="X693">
        <v>344.5</v>
      </c>
      <c r="Y693" s="4">
        <v>81.356430000000003</v>
      </c>
      <c r="Z693" s="4">
        <f t="shared" si="44"/>
        <v>86.797260000000009</v>
      </c>
      <c r="AD693" s="24">
        <v>250.01389</v>
      </c>
      <c r="AE693">
        <v>344.5</v>
      </c>
      <c r="AF693" s="19">
        <v>91.294489999999996</v>
      </c>
      <c r="AG693" s="4">
        <f t="shared" si="45"/>
        <v>91.555979999999991</v>
      </c>
    </row>
    <row r="694" spans="23:33" x14ac:dyDescent="0.15">
      <c r="W694" s="22">
        <v>250.00397000000001</v>
      </c>
      <c r="X694">
        <v>345</v>
      </c>
      <c r="Y694" s="23">
        <v>81.337180000000004</v>
      </c>
      <c r="Z694" s="4">
        <f t="shared" si="44"/>
        <v>86.778010000000009</v>
      </c>
      <c r="AD694" s="24">
        <v>250.01408000000001</v>
      </c>
      <c r="AE694">
        <v>345</v>
      </c>
      <c r="AF694" s="25">
        <v>91.30556</v>
      </c>
      <c r="AG694" s="4">
        <f t="shared" si="45"/>
        <v>91.567049999999995</v>
      </c>
    </row>
    <row r="695" spans="23:33" x14ac:dyDescent="0.15">
      <c r="W695" s="22">
        <v>250.00198</v>
      </c>
      <c r="X695">
        <v>345.5</v>
      </c>
      <c r="Y695" s="4">
        <v>81.319919999999996</v>
      </c>
      <c r="Z695" s="4">
        <f t="shared" si="44"/>
        <v>86.760750000000002</v>
      </c>
      <c r="AD695" s="24">
        <v>250.01408000000001</v>
      </c>
      <c r="AE695">
        <v>345.5</v>
      </c>
      <c r="AF695" s="19">
        <v>91.404499999999999</v>
      </c>
      <c r="AG695" s="4">
        <f t="shared" si="45"/>
        <v>91.665989999999994</v>
      </c>
    </row>
    <row r="696" spans="23:33" x14ac:dyDescent="0.15">
      <c r="W696" s="22">
        <v>250.00498999999999</v>
      </c>
      <c r="X696">
        <v>346</v>
      </c>
      <c r="Y696" s="23">
        <v>81.306610000000006</v>
      </c>
      <c r="Z696" s="4">
        <f t="shared" si="44"/>
        <v>86.747440000000012</v>
      </c>
      <c r="AD696" s="24">
        <v>250.01355000000001</v>
      </c>
      <c r="AE696">
        <v>346</v>
      </c>
      <c r="AF696" s="25">
        <v>91.442639999999997</v>
      </c>
      <c r="AG696" s="4">
        <f t="shared" si="45"/>
        <v>91.704129999999992</v>
      </c>
    </row>
    <row r="697" spans="23:33" x14ac:dyDescent="0.15">
      <c r="W697" s="22">
        <v>250.006</v>
      </c>
      <c r="X697">
        <v>346.5</v>
      </c>
      <c r="Y697" s="4">
        <v>81.302670000000006</v>
      </c>
      <c r="Z697" s="4">
        <f t="shared" si="44"/>
        <v>86.743500000000012</v>
      </c>
      <c r="AD697" s="24">
        <v>250.01354000000001</v>
      </c>
      <c r="AE697">
        <v>346.5</v>
      </c>
      <c r="AF697" s="19">
        <v>91.42689</v>
      </c>
      <c r="AG697" s="4">
        <f t="shared" si="45"/>
        <v>91.688379999999995</v>
      </c>
    </row>
    <row r="698" spans="23:33" x14ac:dyDescent="0.15">
      <c r="W698" s="22">
        <v>250.00303</v>
      </c>
      <c r="X698">
        <v>347</v>
      </c>
      <c r="Y698" s="23">
        <v>81.273799999999994</v>
      </c>
      <c r="Z698" s="4">
        <f t="shared" si="44"/>
        <v>86.71463</v>
      </c>
      <c r="AD698" s="24">
        <v>250.01768999999999</v>
      </c>
      <c r="AE698">
        <v>347</v>
      </c>
      <c r="AF698" s="25">
        <v>91.263040000000004</v>
      </c>
      <c r="AG698" s="4">
        <f t="shared" si="45"/>
        <v>91.524529999999999</v>
      </c>
    </row>
    <row r="699" spans="23:33" x14ac:dyDescent="0.15">
      <c r="W699" s="22">
        <v>250.01102</v>
      </c>
      <c r="X699">
        <v>347.5</v>
      </c>
      <c r="Y699" s="4">
        <v>81.272090000000006</v>
      </c>
      <c r="Z699" s="4">
        <f t="shared" si="44"/>
        <v>86.712920000000011</v>
      </c>
      <c r="AD699" s="24">
        <v>250.02109999999999</v>
      </c>
      <c r="AE699">
        <v>347.5</v>
      </c>
      <c r="AF699" s="19">
        <v>91.37321</v>
      </c>
      <c r="AG699" s="4">
        <f t="shared" si="45"/>
        <v>91.634699999999995</v>
      </c>
    </row>
    <row r="700" spans="23:33" x14ac:dyDescent="0.15">
      <c r="W700" s="22">
        <v>250.00801000000001</v>
      </c>
      <c r="X700">
        <v>348</v>
      </c>
      <c r="Y700" s="23">
        <v>81.245069999999998</v>
      </c>
      <c r="Z700" s="4">
        <f t="shared" si="44"/>
        <v>86.685900000000004</v>
      </c>
      <c r="AD700" s="24">
        <v>250.02103</v>
      </c>
      <c r="AE700">
        <v>348</v>
      </c>
      <c r="AF700" s="25">
        <v>91.233549999999994</v>
      </c>
      <c r="AG700" s="4">
        <f t="shared" si="45"/>
        <v>91.495039999999989</v>
      </c>
    </row>
    <row r="701" spans="23:33" x14ac:dyDescent="0.15">
      <c r="W701" s="22">
        <v>250.00599</v>
      </c>
      <c r="X701">
        <v>348.5</v>
      </c>
      <c r="Y701" s="4">
        <v>81.227890000000002</v>
      </c>
      <c r="Z701" s="4">
        <f t="shared" si="44"/>
        <v>86.668720000000008</v>
      </c>
      <c r="AD701" s="24">
        <v>250.01935</v>
      </c>
      <c r="AE701">
        <v>348.5</v>
      </c>
      <c r="AF701" s="19">
        <v>91.353179999999995</v>
      </c>
      <c r="AG701" s="4">
        <f t="shared" si="45"/>
        <v>91.61466999999999</v>
      </c>
    </row>
    <row r="702" spans="23:33" x14ac:dyDescent="0.15">
      <c r="W702" s="22">
        <v>250.005</v>
      </c>
      <c r="X702">
        <v>349</v>
      </c>
      <c r="Y702" s="23">
        <v>81.222110000000001</v>
      </c>
      <c r="Z702" s="4">
        <f t="shared" si="44"/>
        <v>86.662940000000006</v>
      </c>
      <c r="AD702" s="24">
        <v>250.02250000000001</v>
      </c>
      <c r="AE702">
        <v>349</v>
      </c>
      <c r="AF702" s="25">
        <v>91.315439999999995</v>
      </c>
      <c r="AG702" s="4">
        <f t="shared" si="45"/>
        <v>91.57692999999999</v>
      </c>
    </row>
    <row r="703" spans="23:33" x14ac:dyDescent="0.15">
      <c r="W703" s="22">
        <v>250.00706</v>
      </c>
      <c r="X703">
        <v>349.5</v>
      </c>
      <c r="Y703" s="4">
        <v>81.19726</v>
      </c>
      <c r="Z703" s="4">
        <f t="shared" si="44"/>
        <v>86.638090000000005</v>
      </c>
      <c r="AD703" s="24">
        <v>250.02445</v>
      </c>
      <c r="AE703">
        <v>349.5</v>
      </c>
      <c r="AF703" s="19">
        <v>91.349369999999993</v>
      </c>
      <c r="AG703" s="4">
        <f t="shared" si="45"/>
        <v>91.610859999999988</v>
      </c>
    </row>
    <row r="704" spans="23:33" x14ac:dyDescent="0.15">
      <c r="W704" s="22">
        <v>250.00595000000001</v>
      </c>
      <c r="X704">
        <v>350</v>
      </c>
      <c r="Y704" s="23">
        <v>81.180000000000007</v>
      </c>
      <c r="Z704" s="4">
        <f t="shared" si="44"/>
        <v>86.620830000000012</v>
      </c>
      <c r="AD704" s="24">
        <v>250.02336</v>
      </c>
      <c r="AE704">
        <v>350</v>
      </c>
      <c r="AF704" s="25">
        <v>91.311710000000005</v>
      </c>
      <c r="AG704" s="4">
        <f t="shared" si="45"/>
        <v>91.5732</v>
      </c>
    </row>
    <row r="705" spans="23:33" x14ac:dyDescent="0.15">
      <c r="W705" s="22">
        <v>250.00103999999999</v>
      </c>
      <c r="X705">
        <v>350.5</v>
      </c>
      <c r="Y705" s="4">
        <v>81.168379999999999</v>
      </c>
      <c r="Z705" s="4">
        <f t="shared" si="44"/>
        <v>86.609210000000004</v>
      </c>
      <c r="AD705" s="24">
        <v>250.01632000000001</v>
      </c>
      <c r="AE705">
        <v>350.5</v>
      </c>
      <c r="AF705" s="19">
        <v>91.217339999999993</v>
      </c>
      <c r="AG705" s="4">
        <f t="shared" si="45"/>
        <v>91.478829999999988</v>
      </c>
    </row>
    <row r="706" spans="23:33" x14ac:dyDescent="0.15">
      <c r="W706" s="22">
        <v>250.00201999999999</v>
      </c>
      <c r="X706">
        <v>351</v>
      </c>
      <c r="Y706" s="23">
        <v>81.157139999999998</v>
      </c>
      <c r="Z706" s="4">
        <f t="shared" si="44"/>
        <v>86.597970000000004</v>
      </c>
      <c r="AD706" s="24">
        <v>250.01384999999999</v>
      </c>
      <c r="AE706">
        <v>351</v>
      </c>
      <c r="AF706" s="25">
        <v>91.245249999999999</v>
      </c>
      <c r="AG706" s="4">
        <f t="shared" si="45"/>
        <v>91.506739999999994</v>
      </c>
    </row>
    <row r="707" spans="23:33" x14ac:dyDescent="0.15">
      <c r="W707" s="22">
        <v>250.00498999999999</v>
      </c>
      <c r="X707">
        <v>351.5</v>
      </c>
      <c r="Y707" s="4">
        <v>81.13785</v>
      </c>
      <c r="Z707" s="4">
        <f t="shared" si="44"/>
        <v>86.578680000000006</v>
      </c>
      <c r="AD707" s="24">
        <v>250.01067</v>
      </c>
      <c r="AE707">
        <v>351.5</v>
      </c>
      <c r="AF707" s="19">
        <v>91.124600000000001</v>
      </c>
      <c r="AG707" s="4">
        <f t="shared" si="45"/>
        <v>91.386089999999996</v>
      </c>
    </row>
    <row r="708" spans="23:33" x14ac:dyDescent="0.15">
      <c r="W708" s="22">
        <v>250.00298000000001</v>
      </c>
      <c r="X708">
        <v>352</v>
      </c>
      <c r="Y708" s="23">
        <v>81.122479999999996</v>
      </c>
      <c r="Z708" s="4">
        <f t="shared" si="44"/>
        <v>86.563310000000001</v>
      </c>
      <c r="AD708" s="24">
        <v>250.00693999999999</v>
      </c>
      <c r="AE708">
        <v>352</v>
      </c>
      <c r="AF708" s="25">
        <v>91.25179</v>
      </c>
      <c r="AG708" s="4">
        <f t="shared" si="45"/>
        <v>91.513279999999995</v>
      </c>
    </row>
    <row r="709" spans="23:33" x14ac:dyDescent="0.15">
      <c r="W709" s="22">
        <v>250.00796</v>
      </c>
      <c r="X709">
        <v>352.5</v>
      </c>
      <c r="Y709" s="4">
        <v>81.128339999999994</v>
      </c>
      <c r="Z709" s="4">
        <f t="shared" ref="Z709:Z772" si="46">100-($Y$4-Y709)</f>
        <v>86.56917</v>
      </c>
      <c r="AD709" s="24">
        <v>250.00977</v>
      </c>
      <c r="AE709">
        <v>352.5</v>
      </c>
      <c r="AF709" s="19">
        <v>91.169280000000001</v>
      </c>
      <c r="AG709" s="4">
        <f t="shared" ref="AG709:AG772" si="47">100-($AF$4-AF709)</f>
        <v>91.430769999999995</v>
      </c>
    </row>
    <row r="710" spans="23:33" x14ac:dyDescent="0.15">
      <c r="W710" s="22">
        <v>250.00497999999999</v>
      </c>
      <c r="X710">
        <v>353</v>
      </c>
      <c r="Y710" s="23">
        <v>81.120540000000005</v>
      </c>
      <c r="Z710" s="4">
        <f t="shared" si="46"/>
        <v>86.561370000000011</v>
      </c>
      <c r="AD710" s="24">
        <v>250.00829999999999</v>
      </c>
      <c r="AE710">
        <v>353</v>
      </c>
      <c r="AF710" s="25">
        <v>91.193110000000004</v>
      </c>
      <c r="AG710" s="4">
        <f t="shared" si="47"/>
        <v>91.454599999999999</v>
      </c>
    </row>
    <row r="711" spans="23:33" x14ac:dyDescent="0.15">
      <c r="W711" s="22">
        <v>250.00305</v>
      </c>
      <c r="X711">
        <v>353.5</v>
      </c>
      <c r="Y711" s="4">
        <v>81.101349999999996</v>
      </c>
      <c r="Z711" s="4">
        <f t="shared" si="46"/>
        <v>86.542180000000002</v>
      </c>
      <c r="AD711" s="24">
        <v>250.00906000000001</v>
      </c>
      <c r="AE711">
        <v>353.5</v>
      </c>
      <c r="AF711" s="19">
        <v>91.259169999999997</v>
      </c>
      <c r="AG711" s="4">
        <f t="shared" si="47"/>
        <v>91.520659999999992</v>
      </c>
    </row>
    <row r="712" spans="23:33" x14ac:dyDescent="0.15">
      <c r="W712" s="22">
        <v>250.00694999999999</v>
      </c>
      <c r="X712">
        <v>354</v>
      </c>
      <c r="Y712" s="23">
        <v>81.070970000000003</v>
      </c>
      <c r="Z712" s="4">
        <f t="shared" si="46"/>
        <v>86.511800000000008</v>
      </c>
      <c r="AD712" s="24">
        <v>250.01505</v>
      </c>
      <c r="AE712">
        <v>354</v>
      </c>
      <c r="AF712" s="25">
        <v>91.119500000000002</v>
      </c>
      <c r="AG712" s="4">
        <f t="shared" si="47"/>
        <v>91.380989999999997</v>
      </c>
    </row>
    <row r="713" spans="23:33" x14ac:dyDescent="0.15">
      <c r="W713" s="22">
        <v>250.00294</v>
      </c>
      <c r="X713">
        <v>354.5</v>
      </c>
      <c r="Y713" s="4">
        <v>81.064920000000001</v>
      </c>
      <c r="Z713" s="4">
        <f t="shared" si="46"/>
        <v>86.505750000000006</v>
      </c>
      <c r="AD713" s="24">
        <v>250.01436000000001</v>
      </c>
      <c r="AE713">
        <v>354.5</v>
      </c>
      <c r="AF713" s="19">
        <v>91.024510000000006</v>
      </c>
      <c r="AG713" s="4">
        <f t="shared" si="47"/>
        <v>91.286000000000001</v>
      </c>
    </row>
    <row r="714" spans="23:33" x14ac:dyDescent="0.15">
      <c r="W714" s="22">
        <v>250.00498999999999</v>
      </c>
      <c r="X714">
        <v>355</v>
      </c>
      <c r="Y714" s="23">
        <v>81.034199999999998</v>
      </c>
      <c r="Z714" s="4">
        <f t="shared" si="46"/>
        <v>86.475030000000004</v>
      </c>
      <c r="AD714" s="24">
        <v>250.01496</v>
      </c>
      <c r="AE714">
        <v>355</v>
      </c>
      <c r="AF714" s="25">
        <v>91.13691</v>
      </c>
      <c r="AG714" s="4">
        <f t="shared" si="47"/>
        <v>91.398399999999995</v>
      </c>
    </row>
    <row r="715" spans="23:33" x14ac:dyDescent="0.15">
      <c r="W715" s="22">
        <v>250.00701000000001</v>
      </c>
      <c r="X715">
        <v>355.5</v>
      </c>
      <c r="Y715" s="4">
        <v>81.020939999999996</v>
      </c>
      <c r="Z715" s="4">
        <f t="shared" si="46"/>
        <v>86.461770000000001</v>
      </c>
      <c r="AD715" s="24">
        <v>250.01893000000001</v>
      </c>
      <c r="AE715">
        <v>355.5</v>
      </c>
      <c r="AF715" s="19">
        <v>91.083070000000006</v>
      </c>
      <c r="AG715" s="4">
        <f t="shared" si="47"/>
        <v>91.344560000000001</v>
      </c>
    </row>
    <row r="716" spans="23:33" x14ac:dyDescent="0.15">
      <c r="W716" s="22">
        <v>250.01</v>
      </c>
      <c r="X716">
        <v>356</v>
      </c>
      <c r="Y716" s="23">
        <v>81.014840000000007</v>
      </c>
      <c r="Z716" s="4">
        <f t="shared" si="46"/>
        <v>86.455670000000012</v>
      </c>
      <c r="AD716" s="24">
        <v>250.01958999999999</v>
      </c>
      <c r="AE716">
        <v>356</v>
      </c>
      <c r="AF716" s="25">
        <v>91.090609999999998</v>
      </c>
      <c r="AG716" s="4">
        <f t="shared" si="47"/>
        <v>91.352099999999993</v>
      </c>
    </row>
    <row r="717" spans="23:33" x14ac:dyDescent="0.15">
      <c r="W717" s="22">
        <v>250.00701000000001</v>
      </c>
      <c r="X717">
        <v>356.5</v>
      </c>
      <c r="Y717" s="4">
        <v>80.990139999999997</v>
      </c>
      <c r="Z717" s="4">
        <f t="shared" si="46"/>
        <v>86.430970000000002</v>
      </c>
      <c r="AD717" s="24">
        <v>250.01931999999999</v>
      </c>
      <c r="AE717">
        <v>356.5</v>
      </c>
      <c r="AF717" s="19">
        <v>91.148179999999996</v>
      </c>
      <c r="AG717" s="4">
        <f t="shared" si="47"/>
        <v>91.409669999999991</v>
      </c>
    </row>
    <row r="718" spans="23:33" x14ac:dyDescent="0.15">
      <c r="W718" s="22">
        <v>250.00801000000001</v>
      </c>
      <c r="X718">
        <v>357</v>
      </c>
      <c r="Y718" s="23">
        <v>80.984380000000002</v>
      </c>
      <c r="Z718" s="4">
        <f t="shared" si="46"/>
        <v>86.425210000000007</v>
      </c>
      <c r="AD718" s="24">
        <v>250.01898</v>
      </c>
      <c r="AE718">
        <v>357</v>
      </c>
      <c r="AF718" s="25">
        <v>91.126130000000003</v>
      </c>
      <c r="AG718" s="4">
        <f t="shared" si="47"/>
        <v>91.387619999999998</v>
      </c>
    </row>
    <row r="719" spans="23:33" x14ac:dyDescent="0.15">
      <c r="W719" s="22">
        <v>250.01094000000001</v>
      </c>
      <c r="X719">
        <v>357.5</v>
      </c>
      <c r="Y719" s="4">
        <v>80.974930000000001</v>
      </c>
      <c r="Z719" s="4">
        <f t="shared" si="46"/>
        <v>86.415760000000006</v>
      </c>
      <c r="AD719" s="24">
        <v>250.01926</v>
      </c>
      <c r="AE719">
        <v>357.5</v>
      </c>
      <c r="AF719" s="19">
        <v>90.987179999999995</v>
      </c>
      <c r="AG719" s="4">
        <f t="shared" si="47"/>
        <v>91.24866999999999</v>
      </c>
    </row>
    <row r="720" spans="23:33" x14ac:dyDescent="0.15">
      <c r="W720" s="22">
        <v>250.00597999999999</v>
      </c>
      <c r="X720">
        <v>358</v>
      </c>
      <c r="Y720" s="23">
        <v>80.967190000000002</v>
      </c>
      <c r="Z720" s="4">
        <f t="shared" si="46"/>
        <v>86.408020000000008</v>
      </c>
      <c r="AD720" s="24">
        <v>250.02269999999999</v>
      </c>
      <c r="AE720">
        <v>358</v>
      </c>
      <c r="AF720" s="25">
        <v>91.049899999999994</v>
      </c>
      <c r="AG720" s="4">
        <f t="shared" si="47"/>
        <v>91.311389999999989</v>
      </c>
    </row>
    <row r="721" spans="23:33" x14ac:dyDescent="0.15">
      <c r="W721" s="22">
        <v>249.99895000000001</v>
      </c>
      <c r="X721">
        <v>358.5</v>
      </c>
      <c r="Y721" s="4">
        <v>80.934370000000001</v>
      </c>
      <c r="Z721" s="4">
        <f t="shared" si="46"/>
        <v>86.375200000000007</v>
      </c>
      <c r="AD721" s="24">
        <v>250.02163999999999</v>
      </c>
      <c r="AE721">
        <v>358.5</v>
      </c>
      <c r="AF721" s="19">
        <v>91.163399999999996</v>
      </c>
      <c r="AG721" s="4">
        <f t="shared" si="47"/>
        <v>91.424889999999991</v>
      </c>
    </row>
    <row r="722" spans="23:33" x14ac:dyDescent="0.15">
      <c r="W722" s="22">
        <v>250.00503</v>
      </c>
      <c r="X722">
        <v>359</v>
      </c>
      <c r="Y722" s="23">
        <v>80.932630000000003</v>
      </c>
      <c r="Z722" s="4">
        <f t="shared" si="46"/>
        <v>86.373460000000009</v>
      </c>
      <c r="AD722" s="24">
        <v>250.01954000000001</v>
      </c>
      <c r="AE722">
        <v>359</v>
      </c>
      <c r="AF722" s="25">
        <v>91.062749999999994</v>
      </c>
      <c r="AG722" s="4">
        <f t="shared" si="47"/>
        <v>91.324239999999989</v>
      </c>
    </row>
    <row r="723" spans="23:33" x14ac:dyDescent="0.15">
      <c r="W723" s="22">
        <v>250.00801000000001</v>
      </c>
      <c r="X723">
        <v>359.5</v>
      </c>
      <c r="Y723" s="4">
        <v>80.911519999999996</v>
      </c>
      <c r="Z723" s="4">
        <f t="shared" si="46"/>
        <v>86.352350000000001</v>
      </c>
      <c r="AD723" s="24">
        <v>250.01792</v>
      </c>
      <c r="AE723">
        <v>359.5</v>
      </c>
      <c r="AF723" s="19">
        <v>91.089150000000004</v>
      </c>
      <c r="AG723" s="4">
        <f t="shared" si="47"/>
        <v>91.350639999999999</v>
      </c>
    </row>
    <row r="724" spans="23:33" x14ac:dyDescent="0.15">
      <c r="W724" s="22">
        <v>250.00102999999999</v>
      </c>
      <c r="X724">
        <v>360</v>
      </c>
      <c r="Y724" s="23">
        <v>80.896090000000001</v>
      </c>
      <c r="Z724" s="4">
        <f t="shared" si="46"/>
        <v>86.336920000000006</v>
      </c>
      <c r="AD724" s="24">
        <v>250.01618999999999</v>
      </c>
      <c r="AE724">
        <v>360</v>
      </c>
      <c r="AF724" s="25">
        <v>90.991100000000003</v>
      </c>
      <c r="AG724" s="4">
        <f t="shared" si="47"/>
        <v>91.252589999999998</v>
      </c>
    </row>
    <row r="725" spans="23:33" x14ac:dyDescent="0.15">
      <c r="W725" s="22">
        <v>250.00102000000001</v>
      </c>
      <c r="X725">
        <v>360.5</v>
      </c>
      <c r="Y725" s="4">
        <v>80.861770000000007</v>
      </c>
      <c r="Z725" s="4">
        <f t="shared" si="46"/>
        <v>86.302600000000012</v>
      </c>
      <c r="AD725" s="24">
        <v>250.01430999999999</v>
      </c>
      <c r="AE725">
        <v>360.5</v>
      </c>
      <c r="AF725" s="19">
        <v>91.093239999999994</v>
      </c>
      <c r="AG725" s="4">
        <f t="shared" si="47"/>
        <v>91.354729999999989</v>
      </c>
    </row>
    <row r="726" spans="23:33" x14ac:dyDescent="0.15">
      <c r="W726" s="22">
        <v>249.99901</v>
      </c>
      <c r="X726">
        <v>361</v>
      </c>
      <c r="Y726" s="23">
        <v>80.861710000000002</v>
      </c>
      <c r="Z726" s="4">
        <f t="shared" si="46"/>
        <v>86.302540000000008</v>
      </c>
      <c r="AD726" s="24">
        <v>250.01527999999999</v>
      </c>
      <c r="AE726">
        <v>361</v>
      </c>
      <c r="AF726" s="25">
        <v>91.082719999999995</v>
      </c>
      <c r="AG726" s="4">
        <f t="shared" si="47"/>
        <v>91.34420999999999</v>
      </c>
    </row>
    <row r="727" spans="23:33" x14ac:dyDescent="0.15">
      <c r="W727" s="22">
        <v>250.00708</v>
      </c>
      <c r="X727">
        <v>361.5</v>
      </c>
      <c r="Y727" s="4">
        <v>80.842770000000002</v>
      </c>
      <c r="Z727" s="4">
        <f t="shared" si="46"/>
        <v>86.283600000000007</v>
      </c>
      <c r="AD727" s="24">
        <v>250.02269999999999</v>
      </c>
      <c r="AE727">
        <v>361.5</v>
      </c>
      <c r="AF727" s="19">
        <v>91.016869999999997</v>
      </c>
      <c r="AG727" s="4">
        <f t="shared" si="47"/>
        <v>91.278359999999992</v>
      </c>
    </row>
    <row r="728" spans="23:33" x14ac:dyDescent="0.15">
      <c r="W728" s="22">
        <v>250.00502</v>
      </c>
      <c r="X728">
        <v>362</v>
      </c>
      <c r="Y728" s="23">
        <v>80.800250000000005</v>
      </c>
      <c r="Z728" s="4">
        <f t="shared" si="46"/>
        <v>86.241080000000011</v>
      </c>
      <c r="AD728" s="24">
        <v>250.02698000000001</v>
      </c>
      <c r="AE728">
        <v>362</v>
      </c>
      <c r="AF728" s="25">
        <v>91.055679999999995</v>
      </c>
      <c r="AG728" s="4">
        <f t="shared" si="47"/>
        <v>91.31716999999999</v>
      </c>
    </row>
    <row r="729" spans="23:33" x14ac:dyDescent="0.15">
      <c r="W729" s="22">
        <v>250.00596999999999</v>
      </c>
      <c r="X729">
        <v>362.5</v>
      </c>
      <c r="Y729" s="4">
        <v>80.815529999999995</v>
      </c>
      <c r="Z729" s="4">
        <f t="shared" si="46"/>
        <v>86.256360000000001</v>
      </c>
      <c r="AD729" s="24">
        <v>250.02421000000001</v>
      </c>
      <c r="AE729">
        <v>362.5</v>
      </c>
      <c r="AF729" s="19">
        <v>91.01961</v>
      </c>
      <c r="AG729" s="4">
        <f t="shared" si="47"/>
        <v>91.281099999999995</v>
      </c>
    </row>
    <row r="730" spans="23:33" x14ac:dyDescent="0.15">
      <c r="W730" s="22">
        <v>250.00796</v>
      </c>
      <c r="X730">
        <v>363</v>
      </c>
      <c r="Y730" s="23">
        <v>80.804159999999996</v>
      </c>
      <c r="Z730" s="4">
        <f t="shared" si="46"/>
        <v>86.244990000000001</v>
      </c>
      <c r="AD730" s="24">
        <v>250.02126000000001</v>
      </c>
      <c r="AE730">
        <v>363</v>
      </c>
      <c r="AF730" s="25">
        <v>91.04298</v>
      </c>
      <c r="AG730" s="4">
        <f t="shared" si="47"/>
        <v>91.304469999999995</v>
      </c>
    </row>
    <row r="731" spans="23:33" x14ac:dyDescent="0.15">
      <c r="W731" s="22">
        <v>250.00398999999999</v>
      </c>
      <c r="X731">
        <v>363.5</v>
      </c>
      <c r="Y731" s="4">
        <v>80.779309999999995</v>
      </c>
      <c r="Z731" s="4">
        <f t="shared" si="46"/>
        <v>86.220140000000001</v>
      </c>
      <c r="AD731" s="24">
        <v>250.02177</v>
      </c>
      <c r="AE731">
        <v>363.5</v>
      </c>
      <c r="AF731" s="19">
        <v>90.944130000000001</v>
      </c>
      <c r="AG731" s="4">
        <f t="shared" si="47"/>
        <v>91.205619999999996</v>
      </c>
    </row>
    <row r="732" spans="23:33" x14ac:dyDescent="0.15">
      <c r="W732" s="22">
        <v>250.00597999999999</v>
      </c>
      <c r="X732">
        <v>364</v>
      </c>
      <c r="Y732" s="23">
        <v>80.765789999999996</v>
      </c>
      <c r="Z732" s="4">
        <f t="shared" si="46"/>
        <v>86.206620000000001</v>
      </c>
      <c r="AD732" s="24">
        <v>250.02454</v>
      </c>
      <c r="AE732">
        <v>364</v>
      </c>
      <c r="AF732" s="25">
        <v>90.99915</v>
      </c>
      <c r="AG732" s="4">
        <f t="shared" si="47"/>
        <v>91.260639999999995</v>
      </c>
    </row>
    <row r="733" spans="23:33" x14ac:dyDescent="0.15">
      <c r="W733" s="22">
        <v>250.00604999999999</v>
      </c>
      <c r="X733">
        <v>364.5</v>
      </c>
      <c r="Y733" s="4">
        <v>80.758200000000002</v>
      </c>
      <c r="Z733" s="4">
        <f t="shared" si="46"/>
        <v>86.199030000000008</v>
      </c>
      <c r="AD733" s="24">
        <v>250.02463</v>
      </c>
      <c r="AE733">
        <v>364.5</v>
      </c>
      <c r="AF733" s="19">
        <v>90.772319999999993</v>
      </c>
      <c r="AG733" s="4">
        <f t="shared" si="47"/>
        <v>91.033809999999988</v>
      </c>
    </row>
    <row r="734" spans="23:33" x14ac:dyDescent="0.15">
      <c r="W734" s="22">
        <v>250.00398000000001</v>
      </c>
      <c r="X734">
        <v>365</v>
      </c>
      <c r="Y734" s="23">
        <v>80.744770000000003</v>
      </c>
      <c r="Z734" s="4">
        <f t="shared" si="46"/>
        <v>86.185600000000008</v>
      </c>
      <c r="AD734" s="24">
        <v>250.02289999999999</v>
      </c>
      <c r="AE734">
        <v>365</v>
      </c>
      <c r="AF734" s="25">
        <v>90.882959999999997</v>
      </c>
      <c r="AG734" s="4">
        <f t="shared" si="47"/>
        <v>91.144449999999992</v>
      </c>
    </row>
    <row r="735" spans="23:33" x14ac:dyDescent="0.15">
      <c r="W735" s="22">
        <v>250.00700000000001</v>
      </c>
      <c r="X735">
        <v>365.5</v>
      </c>
      <c r="Y735" s="4">
        <v>80.72748</v>
      </c>
      <c r="Z735" s="4">
        <f t="shared" si="46"/>
        <v>86.168310000000005</v>
      </c>
      <c r="AD735" s="24">
        <v>250.01979</v>
      </c>
      <c r="AE735">
        <v>365.5</v>
      </c>
      <c r="AF735" s="19">
        <v>90.915019999999998</v>
      </c>
      <c r="AG735" s="4">
        <f t="shared" si="47"/>
        <v>91.176509999999993</v>
      </c>
    </row>
    <row r="736" spans="23:33" x14ac:dyDescent="0.15">
      <c r="W736" s="22">
        <v>250.00301999999999</v>
      </c>
      <c r="X736">
        <v>366</v>
      </c>
      <c r="Y736" s="23">
        <v>80.708349999999996</v>
      </c>
      <c r="Z736" s="4">
        <f t="shared" si="46"/>
        <v>86.149180000000001</v>
      </c>
      <c r="AD736" s="24">
        <v>250.01792</v>
      </c>
      <c r="AE736">
        <v>366</v>
      </c>
      <c r="AF736" s="25">
        <v>90.898200000000003</v>
      </c>
      <c r="AG736" s="4">
        <f t="shared" si="47"/>
        <v>91.159689999999998</v>
      </c>
    </row>
    <row r="737" spans="23:33" x14ac:dyDescent="0.15">
      <c r="W737" s="22">
        <v>250.00700000000001</v>
      </c>
      <c r="X737">
        <v>366.5</v>
      </c>
      <c r="Y737" s="4">
        <v>80.700659999999999</v>
      </c>
      <c r="Z737" s="4">
        <f t="shared" si="46"/>
        <v>86.141490000000005</v>
      </c>
      <c r="AD737" s="24">
        <v>250.01781</v>
      </c>
      <c r="AE737">
        <v>366.5</v>
      </c>
      <c r="AF737" s="19">
        <v>90.882549999999995</v>
      </c>
      <c r="AG737" s="4">
        <f t="shared" si="47"/>
        <v>91.14403999999999</v>
      </c>
    </row>
    <row r="738" spans="23:33" x14ac:dyDescent="0.15">
      <c r="W738" s="22">
        <v>250.00495000000001</v>
      </c>
      <c r="X738">
        <v>367</v>
      </c>
      <c r="Y738" s="23">
        <v>80.685299999999998</v>
      </c>
      <c r="Z738" s="4">
        <f t="shared" si="46"/>
        <v>86.126130000000003</v>
      </c>
      <c r="AD738" s="24">
        <v>250.01519999999999</v>
      </c>
      <c r="AE738">
        <v>367</v>
      </c>
      <c r="AF738" s="25">
        <v>90.827860000000001</v>
      </c>
      <c r="AG738" s="4">
        <f t="shared" si="47"/>
        <v>91.089349999999996</v>
      </c>
    </row>
    <row r="739" spans="23:33" x14ac:dyDescent="0.15">
      <c r="W739" s="22">
        <v>250.00397000000001</v>
      </c>
      <c r="X739">
        <v>367.5</v>
      </c>
      <c r="Y739" s="4">
        <v>80.66995</v>
      </c>
      <c r="Z739" s="4">
        <f t="shared" si="46"/>
        <v>86.110780000000005</v>
      </c>
      <c r="AD739" s="24">
        <v>250.01265000000001</v>
      </c>
      <c r="AE739">
        <v>367.5</v>
      </c>
      <c r="AF739" s="19">
        <v>90.925569999999993</v>
      </c>
      <c r="AG739" s="4">
        <f t="shared" si="47"/>
        <v>91.187059999999988</v>
      </c>
    </row>
    <row r="740" spans="23:33" x14ac:dyDescent="0.15">
      <c r="W740" s="22">
        <v>250.00899000000001</v>
      </c>
      <c r="X740">
        <v>368</v>
      </c>
      <c r="Y740" s="23">
        <v>80.660430000000005</v>
      </c>
      <c r="Z740" s="4">
        <f t="shared" si="46"/>
        <v>86.101260000000011</v>
      </c>
      <c r="AD740" s="24">
        <v>250.00890000000001</v>
      </c>
      <c r="AE740">
        <v>368</v>
      </c>
      <c r="AF740" s="25">
        <v>90.911280000000005</v>
      </c>
      <c r="AG740" s="4">
        <f t="shared" si="47"/>
        <v>91.17277</v>
      </c>
    </row>
    <row r="741" spans="23:33" x14ac:dyDescent="0.15">
      <c r="W741" s="22">
        <v>250.01002</v>
      </c>
      <c r="X741">
        <v>368.5</v>
      </c>
      <c r="Y741" s="4">
        <v>80.644990000000007</v>
      </c>
      <c r="Z741" s="4">
        <f t="shared" si="46"/>
        <v>86.085820000000012</v>
      </c>
      <c r="AD741" s="24">
        <v>250.0127</v>
      </c>
      <c r="AE741">
        <v>368.5</v>
      </c>
      <c r="AF741" s="19">
        <v>90.923640000000006</v>
      </c>
      <c r="AG741" s="4">
        <f t="shared" si="47"/>
        <v>91.185130000000001</v>
      </c>
    </row>
    <row r="742" spans="23:33" x14ac:dyDescent="0.15">
      <c r="W742" s="22">
        <v>250.00599</v>
      </c>
      <c r="X742">
        <v>369</v>
      </c>
      <c r="Y742" s="23">
        <v>80.646829999999994</v>
      </c>
      <c r="Z742" s="4">
        <f t="shared" si="46"/>
        <v>86.08766</v>
      </c>
      <c r="AD742" s="24">
        <v>250.01751999999999</v>
      </c>
      <c r="AE742">
        <v>369</v>
      </c>
      <c r="AF742" s="25">
        <v>90.88158</v>
      </c>
      <c r="AG742" s="4">
        <f t="shared" si="47"/>
        <v>91.143069999999994</v>
      </c>
    </row>
    <row r="743" spans="23:33" x14ac:dyDescent="0.15">
      <c r="W743" s="22">
        <v>250.00197</v>
      </c>
      <c r="X743">
        <v>369.5</v>
      </c>
      <c r="Y743" s="4">
        <v>80.620220000000003</v>
      </c>
      <c r="Z743" s="4">
        <f t="shared" si="46"/>
        <v>86.061050000000009</v>
      </c>
      <c r="AD743" s="24">
        <v>250.02126000000001</v>
      </c>
      <c r="AE743">
        <v>369.5</v>
      </c>
      <c r="AF743" s="19">
        <v>90.805629999999994</v>
      </c>
      <c r="AG743" s="4">
        <f t="shared" si="47"/>
        <v>91.067119999999989</v>
      </c>
    </row>
    <row r="744" spans="23:33" x14ac:dyDescent="0.15">
      <c r="W744" s="22">
        <v>250.00002000000001</v>
      </c>
      <c r="X744">
        <v>370</v>
      </c>
      <c r="Y744" s="23">
        <v>80.604749999999996</v>
      </c>
      <c r="Z744" s="4">
        <f t="shared" si="46"/>
        <v>86.045580000000001</v>
      </c>
      <c r="AD744" s="24">
        <v>250.02471</v>
      </c>
      <c r="AE744">
        <v>370</v>
      </c>
      <c r="AF744" s="25">
        <v>90.890870000000007</v>
      </c>
      <c r="AG744" s="4">
        <f t="shared" si="47"/>
        <v>91.152360000000002</v>
      </c>
    </row>
    <row r="745" spans="23:33" x14ac:dyDescent="0.15">
      <c r="W745" s="22">
        <v>250.001</v>
      </c>
      <c r="X745">
        <v>370.5</v>
      </c>
      <c r="Y745" s="4">
        <v>80.597049999999996</v>
      </c>
      <c r="Z745" s="4">
        <f t="shared" si="46"/>
        <v>86.037880000000001</v>
      </c>
      <c r="AD745" s="24">
        <v>250.02331000000001</v>
      </c>
      <c r="AE745">
        <v>370.5</v>
      </c>
      <c r="AF745" s="19">
        <v>90.810169999999999</v>
      </c>
      <c r="AG745" s="4">
        <f t="shared" si="47"/>
        <v>91.071659999999994</v>
      </c>
    </row>
    <row r="746" spans="23:33" x14ac:dyDescent="0.15">
      <c r="W746" s="22">
        <v>250.00402</v>
      </c>
      <c r="X746">
        <v>371</v>
      </c>
      <c r="Y746" s="23">
        <v>80.581919999999997</v>
      </c>
      <c r="Z746" s="4">
        <f t="shared" si="46"/>
        <v>86.022750000000002</v>
      </c>
      <c r="AD746" s="24">
        <v>250.02168</v>
      </c>
      <c r="AE746">
        <v>371</v>
      </c>
      <c r="AF746" s="25">
        <v>90.873310000000004</v>
      </c>
      <c r="AG746" s="4">
        <f t="shared" si="47"/>
        <v>91.134799999999998</v>
      </c>
    </row>
    <row r="747" spans="23:33" x14ac:dyDescent="0.15">
      <c r="W747" s="22">
        <v>250.00997000000001</v>
      </c>
      <c r="X747">
        <v>371.5</v>
      </c>
      <c r="Y747" s="4">
        <v>80.574060000000003</v>
      </c>
      <c r="Z747" s="4">
        <f t="shared" si="46"/>
        <v>86.014890000000008</v>
      </c>
      <c r="AD747" s="24">
        <v>250.02196000000001</v>
      </c>
      <c r="AE747">
        <v>371.5</v>
      </c>
      <c r="AF747" s="19">
        <v>90.754000000000005</v>
      </c>
      <c r="AG747" s="4">
        <f t="shared" si="47"/>
        <v>91.01549</v>
      </c>
    </row>
    <row r="748" spans="23:33" x14ac:dyDescent="0.15">
      <c r="W748" s="22">
        <v>250.00398000000001</v>
      </c>
      <c r="X748">
        <v>372</v>
      </c>
      <c r="Y748" s="23">
        <v>80.560580000000002</v>
      </c>
      <c r="Z748" s="4">
        <f t="shared" si="46"/>
        <v>86.001410000000007</v>
      </c>
      <c r="AD748" s="24">
        <v>250.02180999999999</v>
      </c>
      <c r="AE748">
        <v>372</v>
      </c>
      <c r="AF748" s="25">
        <v>90.856449999999995</v>
      </c>
      <c r="AG748" s="4">
        <f t="shared" si="47"/>
        <v>91.11793999999999</v>
      </c>
    </row>
    <row r="749" spans="23:33" x14ac:dyDescent="0.15">
      <c r="W749" s="22">
        <v>250.00704999999999</v>
      </c>
      <c r="X749">
        <v>372.5</v>
      </c>
      <c r="Y749" s="4">
        <v>80.551060000000007</v>
      </c>
      <c r="Z749" s="4">
        <f t="shared" si="46"/>
        <v>85.991890000000012</v>
      </c>
      <c r="AD749" s="24">
        <v>250.02047999999999</v>
      </c>
      <c r="AE749">
        <v>372.5</v>
      </c>
      <c r="AF749" s="19">
        <v>90.827349999999996</v>
      </c>
      <c r="AG749" s="4">
        <f t="shared" si="47"/>
        <v>91.08883999999999</v>
      </c>
    </row>
    <row r="750" spans="23:33" x14ac:dyDescent="0.15">
      <c r="W750" s="22">
        <v>250.01602</v>
      </c>
      <c r="X750">
        <v>373</v>
      </c>
      <c r="Y750" s="23">
        <v>80.529920000000004</v>
      </c>
      <c r="Z750" s="4">
        <f t="shared" si="46"/>
        <v>85.97075000000001</v>
      </c>
      <c r="AD750" s="24">
        <v>250.02064999999999</v>
      </c>
      <c r="AE750">
        <v>373</v>
      </c>
      <c r="AF750" s="25">
        <v>90.782160000000005</v>
      </c>
      <c r="AG750" s="4">
        <f t="shared" si="47"/>
        <v>91.04365</v>
      </c>
    </row>
    <row r="751" spans="23:33" x14ac:dyDescent="0.15">
      <c r="W751" s="22">
        <v>250.01301000000001</v>
      </c>
      <c r="X751">
        <v>373.5</v>
      </c>
      <c r="Y751" s="4">
        <v>80.512789999999995</v>
      </c>
      <c r="Z751" s="4">
        <f t="shared" si="46"/>
        <v>85.953620000000001</v>
      </c>
      <c r="AD751" s="24">
        <v>250.01652000000001</v>
      </c>
      <c r="AE751">
        <v>373.5</v>
      </c>
      <c r="AF751" s="19">
        <v>90.704989999999995</v>
      </c>
      <c r="AG751" s="4">
        <f t="shared" si="47"/>
        <v>90.96647999999999</v>
      </c>
    </row>
    <row r="752" spans="23:33" x14ac:dyDescent="0.15">
      <c r="W752" s="22">
        <v>250.00496999999999</v>
      </c>
      <c r="X752">
        <v>374</v>
      </c>
      <c r="Y752" s="23">
        <v>80.493489999999994</v>
      </c>
      <c r="Z752" s="4">
        <f t="shared" si="46"/>
        <v>85.93432</v>
      </c>
      <c r="AD752" s="24">
        <v>250.01474999999999</v>
      </c>
      <c r="AE752">
        <v>374</v>
      </c>
      <c r="AF752" s="25">
        <v>90.650270000000006</v>
      </c>
      <c r="AG752" s="4">
        <f t="shared" si="47"/>
        <v>90.911760000000001</v>
      </c>
    </row>
    <row r="753" spans="23:33" x14ac:dyDescent="0.15">
      <c r="W753" s="22">
        <v>249.99897000000001</v>
      </c>
      <c r="X753">
        <v>374.5</v>
      </c>
      <c r="Y753" s="4">
        <v>80.485919999999993</v>
      </c>
      <c r="Z753" s="4">
        <f t="shared" si="46"/>
        <v>85.926749999999998</v>
      </c>
      <c r="AD753" s="24">
        <v>250.01291000000001</v>
      </c>
      <c r="AE753">
        <v>374.5</v>
      </c>
      <c r="AF753" s="19">
        <v>90.766850000000005</v>
      </c>
      <c r="AG753" s="4">
        <f t="shared" si="47"/>
        <v>91.02834</v>
      </c>
    </row>
    <row r="754" spans="23:33" x14ac:dyDescent="0.15">
      <c r="W754" s="22">
        <v>250.00102000000001</v>
      </c>
      <c r="X754">
        <v>375</v>
      </c>
      <c r="Y754" s="23">
        <v>80.466809999999995</v>
      </c>
      <c r="Z754" s="4">
        <f t="shared" si="46"/>
        <v>85.907640000000001</v>
      </c>
      <c r="AD754" s="24">
        <v>250.01224999999999</v>
      </c>
      <c r="AE754">
        <v>375</v>
      </c>
      <c r="AF754" s="25">
        <v>90.759389999999996</v>
      </c>
      <c r="AG754" s="4">
        <f t="shared" si="47"/>
        <v>91.020879999999991</v>
      </c>
    </row>
    <row r="755" spans="23:33" x14ac:dyDescent="0.15">
      <c r="W755" s="22">
        <v>250.00603000000001</v>
      </c>
      <c r="X755">
        <v>375.5</v>
      </c>
      <c r="Y755" s="4">
        <v>80.434150000000002</v>
      </c>
      <c r="Z755" s="4">
        <f t="shared" si="46"/>
        <v>85.874980000000008</v>
      </c>
      <c r="AD755" s="24">
        <v>250.0136</v>
      </c>
      <c r="AE755">
        <v>375.5</v>
      </c>
      <c r="AF755" s="19">
        <v>90.61354</v>
      </c>
      <c r="AG755" s="4">
        <f t="shared" si="47"/>
        <v>90.875029999999995</v>
      </c>
    </row>
    <row r="756" spans="23:33" x14ac:dyDescent="0.15">
      <c r="W756" s="22">
        <v>250.00801999999999</v>
      </c>
      <c r="X756">
        <v>376</v>
      </c>
      <c r="Y756" s="23">
        <v>80.430260000000004</v>
      </c>
      <c r="Z756" s="4">
        <f t="shared" si="46"/>
        <v>85.871090000000009</v>
      </c>
      <c r="AD756" s="24">
        <v>250.01757000000001</v>
      </c>
      <c r="AE756">
        <v>376</v>
      </c>
      <c r="AF756" s="25">
        <v>90.678839999999994</v>
      </c>
      <c r="AG756" s="4">
        <f t="shared" si="47"/>
        <v>90.940329999999989</v>
      </c>
    </row>
    <row r="757" spans="23:33" x14ac:dyDescent="0.15">
      <c r="W757" s="22">
        <v>250.00400999999999</v>
      </c>
      <c r="X757">
        <v>376.5</v>
      </c>
      <c r="Y757" s="4">
        <v>80.430350000000004</v>
      </c>
      <c r="Z757" s="4">
        <f t="shared" si="46"/>
        <v>85.87118000000001</v>
      </c>
      <c r="AD757" s="24">
        <v>250.01521</v>
      </c>
      <c r="AE757">
        <v>376.5</v>
      </c>
      <c r="AF757" s="19">
        <v>90.659239999999997</v>
      </c>
      <c r="AG757" s="4">
        <f t="shared" si="47"/>
        <v>90.920729999999992</v>
      </c>
    </row>
    <row r="758" spans="23:33" x14ac:dyDescent="0.15">
      <c r="W758" s="22">
        <v>250.00503</v>
      </c>
      <c r="X758">
        <v>377</v>
      </c>
      <c r="Y758" s="23">
        <v>80.405410000000003</v>
      </c>
      <c r="Z758" s="4">
        <f t="shared" si="46"/>
        <v>85.846240000000009</v>
      </c>
      <c r="AD758" s="24">
        <v>250.01446999999999</v>
      </c>
      <c r="AE758">
        <v>377</v>
      </c>
      <c r="AF758" s="25">
        <v>90.882769999999994</v>
      </c>
      <c r="AG758" s="4">
        <f t="shared" si="47"/>
        <v>91.144259999999989</v>
      </c>
    </row>
    <row r="759" spans="23:33" x14ac:dyDescent="0.15">
      <c r="W759" s="22">
        <v>250.00497999999999</v>
      </c>
      <c r="X759">
        <v>377.5</v>
      </c>
      <c r="Y759" s="4">
        <v>80.395859999999999</v>
      </c>
      <c r="Z759" s="4">
        <f t="shared" si="46"/>
        <v>85.836690000000004</v>
      </c>
      <c r="AD759" s="24">
        <v>250.01687000000001</v>
      </c>
      <c r="AE759">
        <v>377.5</v>
      </c>
      <c r="AF759" s="19">
        <v>90.650559999999999</v>
      </c>
      <c r="AG759" s="4">
        <f t="shared" si="47"/>
        <v>90.912049999999994</v>
      </c>
    </row>
    <row r="760" spans="23:33" x14ac:dyDescent="0.15">
      <c r="W760" s="22">
        <v>250.00103999999999</v>
      </c>
      <c r="X760">
        <v>378</v>
      </c>
      <c r="Y760" s="23">
        <v>80.399789999999996</v>
      </c>
      <c r="Z760" s="4">
        <f t="shared" si="46"/>
        <v>85.840620000000001</v>
      </c>
      <c r="AD760" s="24">
        <v>250.01347000000001</v>
      </c>
      <c r="AE760">
        <v>378</v>
      </c>
      <c r="AF760" s="25">
        <v>90.584389999999999</v>
      </c>
      <c r="AG760" s="4">
        <f t="shared" si="47"/>
        <v>90.845879999999994</v>
      </c>
    </row>
    <row r="761" spans="23:33" x14ac:dyDescent="0.15">
      <c r="W761" s="22">
        <v>250.00595000000001</v>
      </c>
      <c r="X761">
        <v>378.5</v>
      </c>
      <c r="Y761" s="4">
        <v>80.380439999999993</v>
      </c>
      <c r="Z761" s="4">
        <f t="shared" si="46"/>
        <v>85.821269999999998</v>
      </c>
      <c r="AD761" s="24">
        <v>250.01259999999999</v>
      </c>
      <c r="AE761">
        <v>378.5</v>
      </c>
      <c r="AF761" s="19">
        <v>90.725859999999997</v>
      </c>
      <c r="AG761" s="4">
        <f t="shared" si="47"/>
        <v>90.987349999999992</v>
      </c>
    </row>
    <row r="762" spans="23:33" x14ac:dyDescent="0.15">
      <c r="W762" s="22">
        <v>250.00601</v>
      </c>
      <c r="X762">
        <v>379</v>
      </c>
      <c r="Y762" s="23">
        <v>80.346029999999999</v>
      </c>
      <c r="Z762" s="4">
        <f t="shared" si="46"/>
        <v>85.786860000000004</v>
      </c>
      <c r="AD762" s="24">
        <v>250.01541</v>
      </c>
      <c r="AE762">
        <v>379</v>
      </c>
      <c r="AF762" s="25">
        <v>90.584050000000005</v>
      </c>
      <c r="AG762" s="4">
        <f t="shared" si="47"/>
        <v>90.84554</v>
      </c>
    </row>
    <row r="763" spans="23:33" x14ac:dyDescent="0.15">
      <c r="W763" s="22">
        <v>250.00700000000001</v>
      </c>
      <c r="X763">
        <v>379.5</v>
      </c>
      <c r="Y763" s="4">
        <v>80.332620000000006</v>
      </c>
      <c r="Z763" s="4">
        <f t="shared" si="46"/>
        <v>85.773450000000011</v>
      </c>
      <c r="AD763" s="24">
        <v>250.01732999999999</v>
      </c>
      <c r="AE763">
        <v>379.5</v>
      </c>
      <c r="AF763" s="19">
        <v>90.697950000000006</v>
      </c>
      <c r="AG763" s="4">
        <f t="shared" si="47"/>
        <v>90.959440000000001</v>
      </c>
    </row>
    <row r="764" spans="23:33" x14ac:dyDescent="0.15">
      <c r="W764" s="22">
        <v>250.00697</v>
      </c>
      <c r="X764">
        <v>380</v>
      </c>
      <c r="Y764" s="23">
        <v>80.309380000000004</v>
      </c>
      <c r="Z764" s="4">
        <f t="shared" si="46"/>
        <v>85.75021000000001</v>
      </c>
      <c r="AD764" s="24">
        <v>250.01489000000001</v>
      </c>
      <c r="AE764">
        <v>380</v>
      </c>
      <c r="AF764" s="25">
        <v>90.719139999999996</v>
      </c>
      <c r="AG764" s="4">
        <f t="shared" si="47"/>
        <v>90.980629999999991</v>
      </c>
    </row>
    <row r="765" spans="23:33" x14ac:dyDescent="0.15">
      <c r="W765" s="22">
        <v>250.00494</v>
      </c>
      <c r="X765">
        <v>380.5</v>
      </c>
      <c r="Y765" s="4">
        <v>80.288380000000004</v>
      </c>
      <c r="Z765" s="4">
        <f t="shared" si="46"/>
        <v>85.729210000000009</v>
      </c>
      <c r="AD765" s="24">
        <v>250.01049</v>
      </c>
      <c r="AE765">
        <v>380.5</v>
      </c>
      <c r="AF765" s="19">
        <v>90.537289999999999</v>
      </c>
      <c r="AG765" s="4">
        <f t="shared" si="47"/>
        <v>90.798779999999994</v>
      </c>
    </row>
    <row r="766" spans="23:33" x14ac:dyDescent="0.15">
      <c r="W766" s="22">
        <v>250.00496000000001</v>
      </c>
      <c r="X766">
        <v>381</v>
      </c>
      <c r="Y766" s="23">
        <v>80.282480000000007</v>
      </c>
      <c r="Z766" s="4">
        <f t="shared" si="46"/>
        <v>85.723310000000012</v>
      </c>
      <c r="AD766" s="24">
        <v>250.00877</v>
      </c>
      <c r="AE766">
        <v>381</v>
      </c>
      <c r="AF766" s="25">
        <v>90.612430000000003</v>
      </c>
      <c r="AG766" s="4">
        <f t="shared" si="47"/>
        <v>90.873919999999998</v>
      </c>
    </row>
    <row r="767" spans="23:33" x14ac:dyDescent="0.15">
      <c r="W767" s="22">
        <v>250.00698</v>
      </c>
      <c r="X767">
        <v>381.5</v>
      </c>
      <c r="Y767" s="4">
        <v>80.271029999999996</v>
      </c>
      <c r="Z767" s="4">
        <f t="shared" si="46"/>
        <v>85.711860000000001</v>
      </c>
      <c r="AD767" s="24">
        <v>250.00990999999999</v>
      </c>
      <c r="AE767">
        <v>381.5</v>
      </c>
      <c r="AF767" s="19">
        <v>90.631370000000004</v>
      </c>
      <c r="AG767" s="4">
        <f t="shared" si="47"/>
        <v>90.892859999999999</v>
      </c>
    </row>
    <row r="768" spans="23:33" x14ac:dyDescent="0.15">
      <c r="W768" s="22">
        <v>250.00694999999999</v>
      </c>
      <c r="X768">
        <v>382</v>
      </c>
      <c r="Y768" s="23">
        <v>80.259450000000001</v>
      </c>
      <c r="Z768" s="4">
        <f t="shared" si="46"/>
        <v>85.700280000000006</v>
      </c>
      <c r="AD768" s="24">
        <v>250.00543999999999</v>
      </c>
      <c r="AE768">
        <v>382</v>
      </c>
      <c r="AF768" s="25">
        <v>90.502769999999998</v>
      </c>
      <c r="AG768" s="4">
        <f t="shared" si="47"/>
        <v>90.764259999999993</v>
      </c>
    </row>
    <row r="769" spans="23:33" x14ac:dyDescent="0.15">
      <c r="W769" s="22">
        <v>250.00294</v>
      </c>
      <c r="X769">
        <v>382.5</v>
      </c>
      <c r="Y769" s="4">
        <v>80.244029999999995</v>
      </c>
      <c r="Z769" s="4">
        <f t="shared" si="46"/>
        <v>85.68486</v>
      </c>
      <c r="AD769" s="24">
        <v>250.00715</v>
      </c>
      <c r="AE769">
        <v>382.5</v>
      </c>
      <c r="AF769" s="19">
        <v>90.575559999999996</v>
      </c>
      <c r="AG769" s="4">
        <f t="shared" si="47"/>
        <v>90.837049999999991</v>
      </c>
    </row>
    <row r="770" spans="23:33" x14ac:dyDescent="0.15">
      <c r="W770" s="22">
        <v>250.00801999999999</v>
      </c>
      <c r="X770">
        <v>383</v>
      </c>
      <c r="Y770" s="23">
        <v>80.238699999999994</v>
      </c>
      <c r="Z770" s="4">
        <f t="shared" si="46"/>
        <v>85.67953</v>
      </c>
      <c r="AD770" s="24">
        <v>250.01113000000001</v>
      </c>
      <c r="AE770">
        <v>383</v>
      </c>
      <c r="AF770" s="25">
        <v>90.562010000000001</v>
      </c>
      <c r="AG770" s="4">
        <f t="shared" si="47"/>
        <v>90.823499999999996</v>
      </c>
    </row>
    <row r="771" spans="23:33" x14ac:dyDescent="0.15">
      <c r="W771" s="22">
        <v>250.00201000000001</v>
      </c>
      <c r="X771">
        <v>383.5</v>
      </c>
      <c r="Y771" s="4">
        <v>80.217349999999996</v>
      </c>
      <c r="Z771" s="4">
        <f t="shared" si="46"/>
        <v>85.658180000000002</v>
      </c>
      <c r="AD771" s="24">
        <v>250.01087000000001</v>
      </c>
      <c r="AE771">
        <v>383.5</v>
      </c>
      <c r="AF771" s="19">
        <v>90.541979999999995</v>
      </c>
      <c r="AG771" s="4">
        <f t="shared" si="47"/>
        <v>90.80346999999999</v>
      </c>
    </row>
    <row r="772" spans="23:33" x14ac:dyDescent="0.15">
      <c r="W772" s="22">
        <v>250.00101000000001</v>
      </c>
      <c r="X772">
        <v>384</v>
      </c>
      <c r="Y772" s="23">
        <v>80.203940000000003</v>
      </c>
      <c r="Z772" s="4">
        <f t="shared" si="46"/>
        <v>85.644770000000008</v>
      </c>
      <c r="AD772" s="24">
        <v>250.01321999999999</v>
      </c>
      <c r="AE772">
        <v>384</v>
      </c>
      <c r="AF772" s="25">
        <v>90.393600000000006</v>
      </c>
      <c r="AG772" s="4">
        <f t="shared" si="47"/>
        <v>90.655090000000001</v>
      </c>
    </row>
    <row r="773" spans="23:33" x14ac:dyDescent="0.15">
      <c r="W773" s="22">
        <v>250.00300999999999</v>
      </c>
      <c r="X773">
        <v>384.5</v>
      </c>
      <c r="Y773" s="4">
        <v>80.188680000000005</v>
      </c>
      <c r="Z773" s="4">
        <f t="shared" ref="Z773:Z836" si="48">100-($Y$4-Y773)</f>
        <v>85.62951000000001</v>
      </c>
      <c r="AD773" s="24">
        <v>250.01535000000001</v>
      </c>
      <c r="AE773">
        <v>384.5</v>
      </c>
      <c r="AF773" s="19">
        <v>90.508359999999996</v>
      </c>
      <c r="AG773" s="4">
        <f t="shared" ref="AG773:AG836" si="49">100-($AF$4-AF773)</f>
        <v>90.769849999999991</v>
      </c>
    </row>
    <row r="774" spans="23:33" x14ac:dyDescent="0.15">
      <c r="W774" s="22">
        <v>250.00299999999999</v>
      </c>
      <c r="X774">
        <v>385</v>
      </c>
      <c r="Y774" s="23">
        <v>80.173320000000004</v>
      </c>
      <c r="Z774" s="4">
        <f t="shared" si="48"/>
        <v>85.614150000000009</v>
      </c>
      <c r="AD774" s="24">
        <v>250.01618999999999</v>
      </c>
      <c r="AE774">
        <v>385</v>
      </c>
      <c r="AF774" s="25">
        <v>90.428210000000007</v>
      </c>
      <c r="AG774" s="4">
        <f t="shared" si="49"/>
        <v>90.689700000000002</v>
      </c>
    </row>
    <row r="775" spans="23:33" x14ac:dyDescent="0.15">
      <c r="W775" s="22">
        <v>250.00303</v>
      </c>
      <c r="X775">
        <v>385.5</v>
      </c>
      <c r="Y775" s="4">
        <v>80.161810000000003</v>
      </c>
      <c r="Z775" s="4">
        <f t="shared" si="48"/>
        <v>85.602640000000008</v>
      </c>
      <c r="AD775" s="24">
        <v>250.01823999999999</v>
      </c>
      <c r="AE775">
        <v>385.5</v>
      </c>
      <c r="AF775" s="19">
        <v>90.523830000000004</v>
      </c>
      <c r="AG775" s="4">
        <f t="shared" si="49"/>
        <v>90.785319999999999</v>
      </c>
    </row>
    <row r="776" spans="23:33" x14ac:dyDescent="0.15">
      <c r="W776" s="22">
        <v>250.00502</v>
      </c>
      <c r="X776">
        <v>386</v>
      </c>
      <c r="Y776" s="23">
        <v>80.150310000000005</v>
      </c>
      <c r="Z776" s="4">
        <f t="shared" si="48"/>
        <v>85.59114000000001</v>
      </c>
      <c r="AD776" s="24">
        <v>250.01563999999999</v>
      </c>
      <c r="AE776">
        <v>386</v>
      </c>
      <c r="AF776" s="25">
        <v>90.524370000000005</v>
      </c>
      <c r="AG776" s="4">
        <f t="shared" si="49"/>
        <v>90.78586</v>
      </c>
    </row>
    <row r="777" spans="23:33" x14ac:dyDescent="0.15">
      <c r="W777" s="22">
        <v>250.00700000000001</v>
      </c>
      <c r="X777">
        <v>386.5</v>
      </c>
      <c r="Y777" s="4">
        <v>80.135009999999994</v>
      </c>
      <c r="Z777" s="4">
        <f t="shared" si="48"/>
        <v>85.575839999999999</v>
      </c>
      <c r="AD777" s="24">
        <v>250.01445000000001</v>
      </c>
      <c r="AE777">
        <v>386.5</v>
      </c>
      <c r="AF777" s="19">
        <v>90.512680000000003</v>
      </c>
      <c r="AG777" s="4">
        <f t="shared" si="49"/>
        <v>90.774169999999998</v>
      </c>
    </row>
    <row r="778" spans="23:33" x14ac:dyDescent="0.15">
      <c r="W778" s="22">
        <v>250.00399999999999</v>
      </c>
      <c r="X778">
        <v>387</v>
      </c>
      <c r="Y778" s="23">
        <v>80.131240000000005</v>
      </c>
      <c r="Z778" s="4">
        <f t="shared" si="48"/>
        <v>85.572070000000011</v>
      </c>
      <c r="AD778" s="24">
        <v>250.0164</v>
      </c>
      <c r="AE778">
        <v>387</v>
      </c>
      <c r="AF778" s="25">
        <v>90.462959999999995</v>
      </c>
      <c r="AG778" s="4">
        <f t="shared" si="49"/>
        <v>90.72444999999999</v>
      </c>
    </row>
    <row r="779" spans="23:33" x14ac:dyDescent="0.15">
      <c r="W779" s="22">
        <v>250.00398000000001</v>
      </c>
      <c r="X779">
        <v>387.5</v>
      </c>
      <c r="Y779" s="4">
        <v>80.117800000000003</v>
      </c>
      <c r="Z779" s="4">
        <f t="shared" si="48"/>
        <v>85.558630000000008</v>
      </c>
      <c r="AD779" s="24">
        <v>250.01495</v>
      </c>
      <c r="AE779">
        <v>387.5</v>
      </c>
      <c r="AF779" s="19">
        <v>90.411940000000001</v>
      </c>
      <c r="AG779" s="4">
        <f t="shared" si="49"/>
        <v>90.673429999999996</v>
      </c>
    </row>
    <row r="780" spans="23:33" x14ac:dyDescent="0.15">
      <c r="W780" s="22">
        <v>250.011</v>
      </c>
      <c r="X780">
        <v>388</v>
      </c>
      <c r="Y780" s="23">
        <v>80.100570000000005</v>
      </c>
      <c r="Z780" s="4">
        <f t="shared" si="48"/>
        <v>85.54140000000001</v>
      </c>
      <c r="AD780" s="24">
        <v>250.01562000000001</v>
      </c>
      <c r="AE780">
        <v>388</v>
      </c>
      <c r="AF780" s="25">
        <v>90.554519999999997</v>
      </c>
      <c r="AG780" s="4">
        <f t="shared" si="49"/>
        <v>90.816009999999991</v>
      </c>
    </row>
    <row r="781" spans="23:33" x14ac:dyDescent="0.15">
      <c r="W781" s="22">
        <v>250.00801000000001</v>
      </c>
      <c r="X781">
        <v>388.5</v>
      </c>
      <c r="Y781" s="4">
        <v>80.09487</v>
      </c>
      <c r="Z781" s="4">
        <f t="shared" si="48"/>
        <v>85.535700000000006</v>
      </c>
      <c r="AD781" s="24">
        <v>250.01614000000001</v>
      </c>
      <c r="AE781">
        <v>388.5</v>
      </c>
      <c r="AF781" s="19">
        <v>90.351560000000006</v>
      </c>
      <c r="AG781" s="4">
        <f t="shared" si="49"/>
        <v>90.613050000000001</v>
      </c>
    </row>
    <row r="782" spans="23:33" x14ac:dyDescent="0.15">
      <c r="W782" s="22">
        <v>250.00801999999999</v>
      </c>
      <c r="X782">
        <v>389</v>
      </c>
      <c r="Y782" s="23">
        <v>80.083150000000003</v>
      </c>
      <c r="Z782" s="4">
        <f t="shared" si="48"/>
        <v>85.523980000000009</v>
      </c>
      <c r="AD782" s="24">
        <v>250.01791</v>
      </c>
      <c r="AE782">
        <v>389</v>
      </c>
      <c r="AF782" s="25">
        <v>90.410110000000003</v>
      </c>
      <c r="AG782" s="4">
        <f t="shared" si="49"/>
        <v>90.671599999999998</v>
      </c>
    </row>
    <row r="783" spans="23:33" x14ac:dyDescent="0.15">
      <c r="W783" s="22">
        <v>250.00698</v>
      </c>
      <c r="X783">
        <v>389.5</v>
      </c>
      <c r="Y783" s="4">
        <v>80.058210000000003</v>
      </c>
      <c r="Z783" s="4">
        <f t="shared" si="48"/>
        <v>85.499040000000008</v>
      </c>
      <c r="AD783" s="24">
        <v>250.01964000000001</v>
      </c>
      <c r="AE783">
        <v>389.5</v>
      </c>
      <c r="AF783" s="19">
        <v>90.413970000000006</v>
      </c>
      <c r="AG783" s="4">
        <f t="shared" si="49"/>
        <v>90.675460000000001</v>
      </c>
    </row>
    <row r="784" spans="23:33" x14ac:dyDescent="0.15">
      <c r="W784" s="22">
        <v>250.00403</v>
      </c>
      <c r="X784">
        <v>390</v>
      </c>
      <c r="Y784" s="23">
        <v>80.043049999999994</v>
      </c>
      <c r="Z784" s="4">
        <f t="shared" si="48"/>
        <v>85.483879999999999</v>
      </c>
      <c r="AD784" s="24">
        <v>250.0206</v>
      </c>
      <c r="AE784">
        <v>390</v>
      </c>
      <c r="AF784" s="25">
        <v>90.501000000000005</v>
      </c>
      <c r="AG784" s="4">
        <f t="shared" si="49"/>
        <v>90.76249</v>
      </c>
    </row>
    <row r="785" spans="23:33" x14ac:dyDescent="0.15">
      <c r="W785" s="22">
        <v>250.00407000000001</v>
      </c>
      <c r="X785">
        <v>390.5</v>
      </c>
      <c r="Y785" s="4">
        <v>80.021879999999996</v>
      </c>
      <c r="Z785" s="4">
        <f t="shared" si="48"/>
        <v>85.462710000000001</v>
      </c>
      <c r="AD785" s="24">
        <v>250.01994999999999</v>
      </c>
      <c r="AE785">
        <v>390.5</v>
      </c>
      <c r="AF785" s="19">
        <v>90.304500000000004</v>
      </c>
      <c r="AG785" s="4">
        <f t="shared" si="49"/>
        <v>90.565989999999999</v>
      </c>
    </row>
    <row r="786" spans="23:33" x14ac:dyDescent="0.15">
      <c r="W786" s="22">
        <v>250.00800000000001</v>
      </c>
      <c r="X786">
        <v>391</v>
      </c>
      <c r="Y786" s="23">
        <v>80.012420000000006</v>
      </c>
      <c r="Z786" s="4">
        <f t="shared" si="48"/>
        <v>85.453250000000011</v>
      </c>
      <c r="AD786" s="24">
        <v>250.02</v>
      </c>
      <c r="AE786">
        <v>391</v>
      </c>
      <c r="AF786" s="25">
        <v>90.404340000000005</v>
      </c>
      <c r="AG786" s="4">
        <f t="shared" si="49"/>
        <v>90.66583</v>
      </c>
    </row>
    <row r="787" spans="23:33" x14ac:dyDescent="0.15">
      <c r="W787" s="22">
        <v>250.00503</v>
      </c>
      <c r="X787">
        <v>391.5</v>
      </c>
      <c r="Y787" s="4">
        <v>79.993070000000003</v>
      </c>
      <c r="Z787" s="4">
        <f t="shared" si="48"/>
        <v>85.433900000000008</v>
      </c>
      <c r="AD787" s="24">
        <v>250.02089000000001</v>
      </c>
      <c r="AE787">
        <v>391.5</v>
      </c>
      <c r="AF787" s="19">
        <v>90.261870000000002</v>
      </c>
      <c r="AG787" s="4">
        <f t="shared" si="49"/>
        <v>90.523359999999997</v>
      </c>
    </row>
    <row r="788" spans="23:33" x14ac:dyDescent="0.15">
      <c r="W788" s="22">
        <v>250.01096999999999</v>
      </c>
      <c r="X788">
        <v>392</v>
      </c>
      <c r="Y788" s="23">
        <v>80.000900000000001</v>
      </c>
      <c r="Z788" s="4">
        <f t="shared" si="48"/>
        <v>85.441730000000007</v>
      </c>
      <c r="AD788" s="24">
        <v>250.01804000000001</v>
      </c>
      <c r="AE788">
        <v>392</v>
      </c>
      <c r="AF788" s="25">
        <v>90.385419999999996</v>
      </c>
      <c r="AG788" s="4">
        <f t="shared" si="49"/>
        <v>90.646909999999991</v>
      </c>
    </row>
    <row r="789" spans="23:33" x14ac:dyDescent="0.15">
      <c r="W789" s="22">
        <v>250.00899999999999</v>
      </c>
      <c r="X789">
        <v>392.5</v>
      </c>
      <c r="Y789" s="4">
        <v>79.985429999999994</v>
      </c>
      <c r="Z789" s="4">
        <f t="shared" si="48"/>
        <v>85.426259999999999</v>
      </c>
      <c r="AD789" s="24">
        <v>250.01582999999999</v>
      </c>
      <c r="AE789">
        <v>392.5</v>
      </c>
      <c r="AF789" s="19">
        <v>90.391530000000003</v>
      </c>
      <c r="AG789" s="4">
        <f t="shared" si="49"/>
        <v>90.653019999999998</v>
      </c>
    </row>
    <row r="790" spans="23:33" x14ac:dyDescent="0.15">
      <c r="W790" s="22">
        <v>250.00496999999999</v>
      </c>
      <c r="X790">
        <v>393</v>
      </c>
      <c r="Y790" s="23">
        <v>79.979709999999997</v>
      </c>
      <c r="Z790" s="4">
        <f t="shared" si="48"/>
        <v>85.420540000000003</v>
      </c>
      <c r="AD790" s="24">
        <v>250.01684</v>
      </c>
      <c r="AE790">
        <v>393</v>
      </c>
      <c r="AF790" s="25">
        <v>90.392330000000001</v>
      </c>
      <c r="AG790" s="4">
        <f t="shared" si="49"/>
        <v>90.653819999999996</v>
      </c>
    </row>
    <row r="791" spans="23:33" x14ac:dyDescent="0.15">
      <c r="W791" s="22">
        <v>250.00300999999999</v>
      </c>
      <c r="X791">
        <v>393.5</v>
      </c>
      <c r="Y791" s="4">
        <v>79.960440000000006</v>
      </c>
      <c r="Z791" s="4">
        <f t="shared" si="48"/>
        <v>85.401270000000011</v>
      </c>
      <c r="AD791" s="24">
        <v>250.01623000000001</v>
      </c>
      <c r="AE791">
        <v>393.5</v>
      </c>
      <c r="AF791" s="19">
        <v>90.377070000000003</v>
      </c>
      <c r="AG791" s="4">
        <f t="shared" si="49"/>
        <v>90.638559999999998</v>
      </c>
    </row>
    <row r="792" spans="23:33" x14ac:dyDescent="0.15">
      <c r="W792" s="22">
        <v>250.00704999999999</v>
      </c>
      <c r="X792">
        <v>394</v>
      </c>
      <c r="Y792" s="23">
        <v>79.954930000000004</v>
      </c>
      <c r="Z792" s="4">
        <f t="shared" si="48"/>
        <v>85.39576000000001</v>
      </c>
      <c r="AD792" s="24">
        <v>250.01363000000001</v>
      </c>
      <c r="AE792">
        <v>394</v>
      </c>
      <c r="AF792" s="25">
        <v>90.312219999999996</v>
      </c>
      <c r="AG792" s="4">
        <f t="shared" si="49"/>
        <v>90.573709999999991</v>
      </c>
    </row>
    <row r="793" spans="23:33" x14ac:dyDescent="0.15">
      <c r="W793" s="22">
        <v>250.00201000000001</v>
      </c>
      <c r="X793">
        <v>394.5</v>
      </c>
      <c r="Y793" s="4">
        <v>79.931669999999997</v>
      </c>
      <c r="Z793" s="4">
        <f t="shared" si="48"/>
        <v>85.372500000000002</v>
      </c>
      <c r="AD793" s="24">
        <v>250.01585</v>
      </c>
      <c r="AE793">
        <v>394.5</v>
      </c>
      <c r="AF793" s="19">
        <v>90.500129999999999</v>
      </c>
      <c r="AG793" s="4">
        <f t="shared" si="49"/>
        <v>90.761619999999994</v>
      </c>
    </row>
    <row r="794" spans="23:33" x14ac:dyDescent="0.15">
      <c r="W794" s="22">
        <v>249.99793</v>
      </c>
      <c r="X794">
        <v>395</v>
      </c>
      <c r="Y794" s="23">
        <v>79.920029999999997</v>
      </c>
      <c r="Z794" s="4">
        <f t="shared" si="48"/>
        <v>85.360860000000002</v>
      </c>
      <c r="AD794" s="24">
        <v>250.01705000000001</v>
      </c>
      <c r="AE794">
        <v>395</v>
      </c>
      <c r="AF794" s="25">
        <v>90.367689999999996</v>
      </c>
      <c r="AG794" s="4">
        <f t="shared" si="49"/>
        <v>90.629179999999991</v>
      </c>
    </row>
    <row r="795" spans="23:33" x14ac:dyDescent="0.15">
      <c r="W795" s="22">
        <v>250.00200000000001</v>
      </c>
      <c r="X795">
        <v>395.5</v>
      </c>
      <c r="Y795" s="4">
        <v>79.893299999999996</v>
      </c>
      <c r="Z795" s="4">
        <f t="shared" si="48"/>
        <v>85.334130000000002</v>
      </c>
      <c r="AD795" s="24">
        <v>250.01704000000001</v>
      </c>
      <c r="AE795">
        <v>395.5</v>
      </c>
      <c r="AF795" s="19">
        <v>90.363529999999997</v>
      </c>
      <c r="AG795" s="4">
        <f t="shared" si="49"/>
        <v>90.625019999999992</v>
      </c>
    </row>
    <row r="796" spans="23:33" x14ac:dyDescent="0.15">
      <c r="W796" s="22">
        <v>250.00299999999999</v>
      </c>
      <c r="X796">
        <v>396</v>
      </c>
      <c r="Y796" s="23">
        <v>79.87433</v>
      </c>
      <c r="Z796" s="4">
        <f t="shared" si="48"/>
        <v>85.315160000000006</v>
      </c>
      <c r="AD796" s="24">
        <v>250.02046999999999</v>
      </c>
      <c r="AE796">
        <v>396</v>
      </c>
      <c r="AF796" s="25">
        <v>90.161779999999993</v>
      </c>
      <c r="AG796" s="4">
        <f t="shared" si="49"/>
        <v>90.423269999999988</v>
      </c>
    </row>
    <row r="797" spans="23:33" x14ac:dyDescent="0.15">
      <c r="W797" s="22">
        <v>250.00398999999999</v>
      </c>
      <c r="X797">
        <v>396.5</v>
      </c>
      <c r="Y797" s="4">
        <v>79.866590000000002</v>
      </c>
      <c r="Z797" s="4">
        <f t="shared" si="48"/>
        <v>85.307420000000008</v>
      </c>
      <c r="AD797" s="24">
        <v>250.02387999999999</v>
      </c>
      <c r="AE797">
        <v>396.5</v>
      </c>
      <c r="AF797" s="19">
        <v>90.171099999999996</v>
      </c>
      <c r="AG797" s="4">
        <f t="shared" si="49"/>
        <v>90.43258999999999</v>
      </c>
    </row>
    <row r="798" spans="23:33" x14ac:dyDescent="0.15">
      <c r="W798" s="22">
        <v>250.00497999999999</v>
      </c>
      <c r="X798">
        <v>397</v>
      </c>
      <c r="Y798" s="23">
        <v>79.864660000000001</v>
      </c>
      <c r="Z798" s="4">
        <f t="shared" si="48"/>
        <v>85.305490000000006</v>
      </c>
      <c r="AD798" s="24">
        <v>250.02332999999999</v>
      </c>
      <c r="AE798">
        <v>397</v>
      </c>
      <c r="AF798" s="25">
        <v>90.219800000000006</v>
      </c>
      <c r="AG798" s="4">
        <f t="shared" si="49"/>
        <v>90.481290000000001</v>
      </c>
    </row>
    <row r="799" spans="23:33" x14ac:dyDescent="0.15">
      <c r="W799" s="22">
        <v>250.01202000000001</v>
      </c>
      <c r="X799">
        <v>397.5</v>
      </c>
      <c r="Y799" s="4">
        <v>79.845370000000003</v>
      </c>
      <c r="Z799" s="4">
        <f t="shared" si="48"/>
        <v>85.286200000000008</v>
      </c>
      <c r="AD799" s="24">
        <v>250.02073999999999</v>
      </c>
      <c r="AE799">
        <v>397.5</v>
      </c>
      <c r="AF799" s="19">
        <v>90.259029999999996</v>
      </c>
      <c r="AG799" s="4">
        <f t="shared" si="49"/>
        <v>90.520519999999991</v>
      </c>
    </row>
    <row r="800" spans="23:33" x14ac:dyDescent="0.15">
      <c r="W800" s="22">
        <v>250.00998999999999</v>
      </c>
      <c r="X800">
        <v>398</v>
      </c>
      <c r="Y800" s="23">
        <v>79.849320000000006</v>
      </c>
      <c r="Z800" s="4">
        <f t="shared" si="48"/>
        <v>85.290150000000011</v>
      </c>
      <c r="AD800" s="24">
        <v>250.02070000000001</v>
      </c>
      <c r="AE800">
        <v>398</v>
      </c>
      <c r="AF800" s="25">
        <v>90.323409999999996</v>
      </c>
      <c r="AG800" s="4">
        <f t="shared" si="49"/>
        <v>90.58489999999999</v>
      </c>
    </row>
    <row r="801" spans="23:33" x14ac:dyDescent="0.15">
      <c r="W801" s="22">
        <v>250.00699</v>
      </c>
      <c r="X801">
        <v>398.5</v>
      </c>
      <c r="Y801" s="4">
        <v>79.822460000000007</v>
      </c>
      <c r="Z801" s="4">
        <f t="shared" si="48"/>
        <v>85.263290000000012</v>
      </c>
      <c r="AD801" s="24">
        <v>250.02137999999999</v>
      </c>
      <c r="AE801">
        <v>398.5</v>
      </c>
      <c r="AF801" s="19">
        <v>90.237170000000006</v>
      </c>
      <c r="AG801" s="4">
        <f t="shared" si="49"/>
        <v>90.498660000000001</v>
      </c>
    </row>
    <row r="802" spans="23:33" x14ac:dyDescent="0.15">
      <c r="W802" s="22">
        <v>250.00397000000001</v>
      </c>
      <c r="X802">
        <v>399</v>
      </c>
      <c r="Y802" s="23">
        <v>79.818539999999999</v>
      </c>
      <c r="Z802" s="4">
        <f t="shared" si="48"/>
        <v>85.259370000000004</v>
      </c>
      <c r="AD802" s="24">
        <v>250.01999000000001</v>
      </c>
      <c r="AE802">
        <v>399</v>
      </c>
      <c r="AF802" s="25">
        <v>90.286770000000004</v>
      </c>
      <c r="AG802" s="4">
        <f t="shared" si="49"/>
        <v>90.548259999999999</v>
      </c>
    </row>
    <row r="803" spans="23:33" x14ac:dyDescent="0.15">
      <c r="W803" s="22">
        <v>250.00799000000001</v>
      </c>
      <c r="X803">
        <v>399.5</v>
      </c>
      <c r="Y803" s="4">
        <v>79.795659999999998</v>
      </c>
      <c r="Z803" s="4">
        <f t="shared" si="48"/>
        <v>85.236490000000003</v>
      </c>
      <c r="AD803" s="24">
        <v>250.01499000000001</v>
      </c>
      <c r="AE803">
        <v>399.5</v>
      </c>
      <c r="AF803" s="19">
        <v>90.236289999999997</v>
      </c>
      <c r="AG803" s="4">
        <f t="shared" si="49"/>
        <v>90.497779999999992</v>
      </c>
    </row>
    <row r="804" spans="23:33" x14ac:dyDescent="0.15">
      <c r="W804" s="22">
        <v>250.00095999999999</v>
      </c>
      <c r="X804">
        <v>400</v>
      </c>
      <c r="Y804" s="23">
        <v>79.782219999999995</v>
      </c>
      <c r="Z804" s="4">
        <f t="shared" si="48"/>
        <v>85.223050000000001</v>
      </c>
      <c r="AD804" s="24">
        <v>250.01301000000001</v>
      </c>
      <c r="AE804">
        <v>400</v>
      </c>
      <c r="AF804" s="25">
        <v>90.134060000000005</v>
      </c>
      <c r="AG804" s="4">
        <f t="shared" si="49"/>
        <v>90.39555</v>
      </c>
    </row>
    <row r="805" spans="23:33" x14ac:dyDescent="0.15">
      <c r="W805" s="22">
        <v>250.00900999999999</v>
      </c>
      <c r="X805">
        <v>400.5</v>
      </c>
      <c r="Y805" s="4">
        <v>79.776409999999998</v>
      </c>
      <c r="Z805" s="4">
        <f t="shared" si="48"/>
        <v>85.217240000000004</v>
      </c>
      <c r="AD805" s="24">
        <v>250.01340999999999</v>
      </c>
      <c r="AE805">
        <v>400.5</v>
      </c>
      <c r="AF805" s="19">
        <v>90.277330000000006</v>
      </c>
      <c r="AG805" s="4">
        <f t="shared" si="49"/>
        <v>90.538820000000001</v>
      </c>
    </row>
    <row r="806" spans="23:33" x14ac:dyDescent="0.15">
      <c r="W806" s="22">
        <v>250.00396000000001</v>
      </c>
      <c r="X806">
        <v>401</v>
      </c>
      <c r="Y806" s="23">
        <v>79.762919999999994</v>
      </c>
      <c r="Z806" s="4">
        <f t="shared" si="48"/>
        <v>85.203749999999999</v>
      </c>
      <c r="AD806" s="24">
        <v>250.00697</v>
      </c>
      <c r="AE806">
        <v>401</v>
      </c>
      <c r="AF806" s="25">
        <v>90.165890000000005</v>
      </c>
      <c r="AG806" s="4">
        <f t="shared" si="49"/>
        <v>90.427379999999999</v>
      </c>
    </row>
    <row r="807" spans="23:33" x14ac:dyDescent="0.15">
      <c r="W807" s="22">
        <v>249.99798000000001</v>
      </c>
      <c r="X807">
        <v>401.5</v>
      </c>
      <c r="Y807" s="4">
        <v>79.747829999999993</v>
      </c>
      <c r="Z807" s="4">
        <f t="shared" si="48"/>
        <v>85.188659999999999</v>
      </c>
      <c r="AD807" s="24">
        <v>250.00220999999999</v>
      </c>
      <c r="AE807">
        <v>401.5</v>
      </c>
      <c r="AF807" s="19">
        <v>90.227130000000002</v>
      </c>
      <c r="AG807" s="4">
        <f t="shared" si="49"/>
        <v>90.488619999999997</v>
      </c>
    </row>
    <row r="808" spans="23:33" x14ac:dyDescent="0.15">
      <c r="W808" s="22">
        <v>250.00700000000001</v>
      </c>
      <c r="X808">
        <v>402</v>
      </c>
      <c r="Y808" s="23">
        <v>79.726619999999997</v>
      </c>
      <c r="Z808" s="4">
        <f t="shared" si="48"/>
        <v>85.167450000000002</v>
      </c>
      <c r="AD808" s="24">
        <v>250.00631999999999</v>
      </c>
      <c r="AE808">
        <v>402</v>
      </c>
      <c r="AF808" s="25">
        <v>90.206100000000006</v>
      </c>
      <c r="AG808" s="4">
        <f t="shared" si="49"/>
        <v>90.467590000000001</v>
      </c>
    </row>
    <row r="809" spans="23:33" x14ac:dyDescent="0.15">
      <c r="W809" s="22">
        <v>250.00403</v>
      </c>
      <c r="X809">
        <v>402.5</v>
      </c>
      <c r="Y809" s="4">
        <v>79.703440000000001</v>
      </c>
      <c r="Z809" s="4">
        <f t="shared" si="48"/>
        <v>85.144270000000006</v>
      </c>
      <c r="AD809" s="24">
        <v>250.00845000000001</v>
      </c>
      <c r="AE809">
        <v>402.5</v>
      </c>
      <c r="AF809" s="19">
        <v>90.140990000000002</v>
      </c>
      <c r="AG809" s="4">
        <f t="shared" si="49"/>
        <v>90.402479999999997</v>
      </c>
    </row>
    <row r="810" spans="23:33" x14ac:dyDescent="0.15">
      <c r="W810" s="22">
        <v>250.00603000000001</v>
      </c>
      <c r="X810">
        <v>403</v>
      </c>
      <c r="Y810" s="23">
        <v>79.703469999999996</v>
      </c>
      <c r="Z810" s="4">
        <f t="shared" si="48"/>
        <v>85.144300000000001</v>
      </c>
      <c r="AD810" s="24">
        <v>250.00926000000001</v>
      </c>
      <c r="AE810">
        <v>403</v>
      </c>
      <c r="AF810" s="25">
        <v>90.058059999999998</v>
      </c>
      <c r="AG810" s="4">
        <f t="shared" si="49"/>
        <v>90.319549999999992</v>
      </c>
    </row>
    <row r="811" spans="23:33" x14ac:dyDescent="0.15">
      <c r="W811" s="22">
        <v>250.00601</v>
      </c>
      <c r="X811">
        <v>403.5</v>
      </c>
      <c r="Y811" s="4">
        <v>79.686300000000003</v>
      </c>
      <c r="Z811" s="4">
        <f t="shared" si="48"/>
        <v>85.127130000000008</v>
      </c>
      <c r="AD811" s="24">
        <v>250.01047</v>
      </c>
      <c r="AE811">
        <v>403.5</v>
      </c>
      <c r="AF811" s="19">
        <v>90.206010000000006</v>
      </c>
      <c r="AG811" s="4">
        <f t="shared" si="49"/>
        <v>90.467500000000001</v>
      </c>
    </row>
    <row r="812" spans="23:33" x14ac:dyDescent="0.15">
      <c r="W812" s="22">
        <v>250.00399999999999</v>
      </c>
      <c r="X812">
        <v>404</v>
      </c>
      <c r="Y812" s="23">
        <v>79.680629999999994</v>
      </c>
      <c r="Z812" s="4">
        <f t="shared" si="48"/>
        <v>85.121459999999999</v>
      </c>
      <c r="AD812" s="24">
        <v>250.00747000000001</v>
      </c>
      <c r="AE812">
        <v>404</v>
      </c>
      <c r="AF812" s="25">
        <v>90.008970000000005</v>
      </c>
      <c r="AG812" s="4">
        <f t="shared" si="49"/>
        <v>90.27046</v>
      </c>
    </row>
    <row r="813" spans="23:33" x14ac:dyDescent="0.15">
      <c r="W813" s="22">
        <v>250.00398999999999</v>
      </c>
      <c r="X813">
        <v>404.5</v>
      </c>
      <c r="Y813" s="4">
        <v>79.674790000000002</v>
      </c>
      <c r="Z813" s="4">
        <f t="shared" si="48"/>
        <v>85.115620000000007</v>
      </c>
      <c r="AD813" s="24">
        <v>250.00646</v>
      </c>
      <c r="AE813">
        <v>404.5</v>
      </c>
      <c r="AF813" s="19">
        <v>90.111890000000002</v>
      </c>
      <c r="AG813" s="4">
        <f t="shared" si="49"/>
        <v>90.373379999999997</v>
      </c>
    </row>
    <row r="814" spans="23:33" x14ac:dyDescent="0.15">
      <c r="W814" s="22">
        <v>250.00299999999999</v>
      </c>
      <c r="X814">
        <v>405</v>
      </c>
      <c r="Y814" s="23">
        <v>79.665099999999995</v>
      </c>
      <c r="Z814" s="4">
        <f t="shared" si="48"/>
        <v>85.105930000000001</v>
      </c>
      <c r="AD814" s="24">
        <v>250.00913</v>
      </c>
      <c r="AE814">
        <v>405</v>
      </c>
      <c r="AF814" s="25">
        <v>90.063659999999999</v>
      </c>
      <c r="AG814" s="4">
        <f t="shared" si="49"/>
        <v>90.325149999999994</v>
      </c>
    </row>
    <row r="815" spans="23:33" x14ac:dyDescent="0.15">
      <c r="W815" s="22">
        <v>250.00702000000001</v>
      </c>
      <c r="X815">
        <v>405.5</v>
      </c>
      <c r="Y815" s="4">
        <v>79.671009999999995</v>
      </c>
      <c r="Z815" s="4">
        <f t="shared" si="48"/>
        <v>85.111840000000001</v>
      </c>
      <c r="AD815" s="24">
        <v>250.01491999999999</v>
      </c>
      <c r="AE815">
        <v>405.5</v>
      </c>
      <c r="AF815" s="19">
        <v>90.104659999999996</v>
      </c>
      <c r="AG815" s="4">
        <f t="shared" si="49"/>
        <v>90.36614999999999</v>
      </c>
    </row>
    <row r="816" spans="23:33" x14ac:dyDescent="0.15">
      <c r="W816" s="22">
        <v>250.00701000000001</v>
      </c>
      <c r="X816">
        <v>406</v>
      </c>
      <c r="Y816" s="23">
        <v>79.638369999999995</v>
      </c>
      <c r="Z816" s="4">
        <f t="shared" si="48"/>
        <v>85.0792</v>
      </c>
      <c r="AD816" s="24">
        <v>250.01795999999999</v>
      </c>
      <c r="AE816">
        <v>406</v>
      </c>
      <c r="AF816" s="25">
        <v>90.146680000000003</v>
      </c>
      <c r="AG816" s="4">
        <f t="shared" si="49"/>
        <v>90.408169999999998</v>
      </c>
    </row>
    <row r="817" spans="23:33" x14ac:dyDescent="0.15">
      <c r="W817" s="22">
        <v>250.00396000000001</v>
      </c>
      <c r="X817">
        <v>406.5</v>
      </c>
      <c r="Y817" s="4">
        <v>79.632689999999997</v>
      </c>
      <c r="Z817" s="4">
        <f t="shared" si="48"/>
        <v>85.073520000000002</v>
      </c>
      <c r="AD817" s="24">
        <v>250.01633000000001</v>
      </c>
      <c r="AE817">
        <v>406.5</v>
      </c>
      <c r="AF817" s="19">
        <v>90.003590000000003</v>
      </c>
      <c r="AG817" s="4">
        <f t="shared" si="49"/>
        <v>90.265079999999998</v>
      </c>
    </row>
    <row r="818" spans="23:33" x14ac:dyDescent="0.15">
      <c r="W818" s="22">
        <v>250.00299999999999</v>
      </c>
      <c r="X818">
        <v>407</v>
      </c>
      <c r="Y818" s="23">
        <v>79.605699999999999</v>
      </c>
      <c r="Z818" s="4">
        <f t="shared" si="48"/>
        <v>85.046530000000004</v>
      </c>
      <c r="AD818" s="24">
        <v>250.01664</v>
      </c>
      <c r="AE818">
        <v>407</v>
      </c>
      <c r="AF818" s="25">
        <v>89.965310000000002</v>
      </c>
      <c r="AG818" s="4">
        <f t="shared" si="49"/>
        <v>90.226799999999997</v>
      </c>
    </row>
    <row r="819" spans="23:33" x14ac:dyDescent="0.15">
      <c r="W819" s="22">
        <v>250.00303</v>
      </c>
      <c r="X819">
        <v>407.5</v>
      </c>
      <c r="Y819" s="4">
        <v>79.622950000000003</v>
      </c>
      <c r="Z819" s="4">
        <f t="shared" si="48"/>
        <v>85.063780000000008</v>
      </c>
      <c r="AD819" s="24">
        <v>250.01512</v>
      </c>
      <c r="AE819">
        <v>407.5</v>
      </c>
      <c r="AF819" s="19">
        <v>90.088300000000004</v>
      </c>
      <c r="AG819" s="4">
        <f t="shared" si="49"/>
        <v>90.349789999999999</v>
      </c>
    </row>
    <row r="820" spans="23:33" x14ac:dyDescent="0.15">
      <c r="W820" s="22">
        <v>250.00304</v>
      </c>
      <c r="X820">
        <v>408</v>
      </c>
      <c r="Y820" s="23">
        <v>79.596369999999993</v>
      </c>
      <c r="Z820" s="4">
        <f t="shared" si="48"/>
        <v>85.037199999999999</v>
      </c>
      <c r="AD820" s="24">
        <v>250.01541</v>
      </c>
      <c r="AE820">
        <v>408</v>
      </c>
      <c r="AF820" s="25">
        <v>90.040379999999999</v>
      </c>
      <c r="AG820" s="4">
        <f t="shared" si="49"/>
        <v>90.301869999999994</v>
      </c>
    </row>
    <row r="821" spans="23:33" x14ac:dyDescent="0.15">
      <c r="W821" s="22">
        <v>250.00599</v>
      </c>
      <c r="X821">
        <v>408.5</v>
      </c>
      <c r="Y821" s="4">
        <v>79.577010000000001</v>
      </c>
      <c r="Z821" s="4">
        <f t="shared" si="48"/>
        <v>85.017840000000007</v>
      </c>
      <c r="AD821" s="24">
        <v>250.01401000000001</v>
      </c>
      <c r="AE821">
        <v>408.5</v>
      </c>
      <c r="AF821" s="19">
        <v>89.93441</v>
      </c>
      <c r="AG821" s="4">
        <f t="shared" si="49"/>
        <v>90.195899999999995</v>
      </c>
    </row>
    <row r="822" spans="23:33" x14ac:dyDescent="0.15">
      <c r="W822" s="22">
        <v>250.01104000000001</v>
      </c>
      <c r="X822">
        <v>409</v>
      </c>
      <c r="Y822" s="23">
        <v>79.567480000000003</v>
      </c>
      <c r="Z822" s="4">
        <f t="shared" si="48"/>
        <v>85.008310000000009</v>
      </c>
      <c r="AD822" s="24">
        <v>250.01177999999999</v>
      </c>
      <c r="AE822">
        <v>409</v>
      </c>
      <c r="AF822" s="25">
        <v>89.913780000000003</v>
      </c>
      <c r="AG822" s="4">
        <f t="shared" si="49"/>
        <v>90.175269999999998</v>
      </c>
    </row>
    <row r="823" spans="23:33" x14ac:dyDescent="0.15">
      <c r="W823" s="22">
        <v>250.01298</v>
      </c>
      <c r="X823">
        <v>409.5</v>
      </c>
      <c r="Y823" s="4">
        <v>79.5732</v>
      </c>
      <c r="Z823" s="4">
        <f t="shared" si="48"/>
        <v>85.014030000000005</v>
      </c>
      <c r="AD823" s="24">
        <v>250.00855999999999</v>
      </c>
      <c r="AE823">
        <v>409.5</v>
      </c>
      <c r="AF823" s="19">
        <v>89.995490000000004</v>
      </c>
      <c r="AG823" s="4">
        <f t="shared" si="49"/>
        <v>90.256979999999999</v>
      </c>
    </row>
    <row r="824" spans="23:33" x14ac:dyDescent="0.15">
      <c r="W824" s="22">
        <v>250.00903</v>
      </c>
      <c r="X824">
        <v>410</v>
      </c>
      <c r="Y824" s="23">
        <v>79.550089999999997</v>
      </c>
      <c r="Z824" s="4">
        <f t="shared" si="48"/>
        <v>84.990920000000003</v>
      </c>
      <c r="AD824" s="24">
        <v>250.01308</v>
      </c>
      <c r="AE824">
        <v>410</v>
      </c>
      <c r="AF824" s="25">
        <v>89.997749999999996</v>
      </c>
      <c r="AG824" s="4">
        <f t="shared" si="49"/>
        <v>90.259239999999991</v>
      </c>
    </row>
    <row r="825" spans="23:33" x14ac:dyDescent="0.15">
      <c r="W825" s="22">
        <v>250.00700000000001</v>
      </c>
      <c r="X825">
        <v>410.5</v>
      </c>
      <c r="Y825" s="4">
        <v>79.538650000000004</v>
      </c>
      <c r="Z825" s="4">
        <f t="shared" si="48"/>
        <v>84.979480000000009</v>
      </c>
      <c r="AD825" s="24">
        <v>250.01765</v>
      </c>
      <c r="AE825">
        <v>410.5</v>
      </c>
      <c r="AF825" s="19">
        <v>89.911090000000002</v>
      </c>
      <c r="AG825" s="4">
        <f t="shared" si="49"/>
        <v>90.172579999999996</v>
      </c>
    </row>
    <row r="826" spans="23:33" x14ac:dyDescent="0.15">
      <c r="W826" s="22">
        <v>250.00397000000001</v>
      </c>
      <c r="X826">
        <v>411</v>
      </c>
      <c r="Y826" s="23">
        <v>79.52731</v>
      </c>
      <c r="Z826" s="4">
        <f t="shared" si="48"/>
        <v>84.968140000000005</v>
      </c>
      <c r="AD826" s="24">
        <v>250.01838000000001</v>
      </c>
      <c r="AE826">
        <v>411</v>
      </c>
      <c r="AF826" s="25">
        <v>89.911770000000004</v>
      </c>
      <c r="AG826" s="4">
        <f t="shared" si="49"/>
        <v>90.173259999999999</v>
      </c>
    </row>
    <row r="827" spans="23:33" x14ac:dyDescent="0.15">
      <c r="W827" s="22">
        <v>250.00402</v>
      </c>
      <c r="X827">
        <v>411.5</v>
      </c>
      <c r="Y827" s="4">
        <v>79.536630000000002</v>
      </c>
      <c r="Z827" s="4">
        <f t="shared" si="48"/>
        <v>84.977460000000008</v>
      </c>
      <c r="AD827" s="24">
        <v>250.02078</v>
      </c>
      <c r="AE827">
        <v>411.5</v>
      </c>
      <c r="AF827" s="19">
        <v>90.001159999999999</v>
      </c>
      <c r="AG827" s="4">
        <f t="shared" si="49"/>
        <v>90.262649999999994</v>
      </c>
    </row>
    <row r="828" spans="23:33" x14ac:dyDescent="0.15">
      <c r="W828" s="22">
        <v>250.006</v>
      </c>
      <c r="X828">
        <v>412</v>
      </c>
      <c r="Y828" s="23">
        <v>79.500389999999996</v>
      </c>
      <c r="Z828" s="4">
        <f t="shared" si="48"/>
        <v>84.941220000000001</v>
      </c>
      <c r="AD828" s="24">
        <v>250.02504999999999</v>
      </c>
      <c r="AE828">
        <v>412</v>
      </c>
      <c r="AF828" s="25">
        <v>90.001720000000006</v>
      </c>
      <c r="AG828" s="4">
        <f t="shared" si="49"/>
        <v>90.263210000000001</v>
      </c>
    </row>
    <row r="829" spans="23:33" x14ac:dyDescent="0.15">
      <c r="W829" s="22">
        <v>250.00498999999999</v>
      </c>
      <c r="X829">
        <v>412.5</v>
      </c>
      <c r="Y829" s="4">
        <v>79.483170000000001</v>
      </c>
      <c r="Z829" s="4">
        <f t="shared" si="48"/>
        <v>84.924000000000007</v>
      </c>
      <c r="AD829" s="24">
        <v>250.02906999999999</v>
      </c>
      <c r="AE829">
        <v>412.5</v>
      </c>
      <c r="AF829" s="19">
        <v>89.92859</v>
      </c>
      <c r="AG829" s="4">
        <f t="shared" si="49"/>
        <v>90.190079999999995</v>
      </c>
    </row>
    <row r="830" spans="23:33" x14ac:dyDescent="0.15">
      <c r="W830" s="22">
        <v>250.011</v>
      </c>
      <c r="X830">
        <v>413</v>
      </c>
      <c r="Y830" s="23">
        <v>79.500510000000006</v>
      </c>
      <c r="Z830" s="4">
        <f t="shared" si="48"/>
        <v>84.941340000000011</v>
      </c>
      <c r="AD830" s="24">
        <v>250.02763999999999</v>
      </c>
      <c r="AE830">
        <v>413</v>
      </c>
      <c r="AF830" s="25">
        <v>89.951660000000004</v>
      </c>
      <c r="AG830" s="4">
        <f t="shared" si="49"/>
        <v>90.213149999999999</v>
      </c>
    </row>
    <row r="831" spans="23:33" x14ac:dyDescent="0.15">
      <c r="W831" s="22">
        <v>250.00601</v>
      </c>
      <c r="X831">
        <v>413.5</v>
      </c>
      <c r="Y831" s="4">
        <v>79.463920000000002</v>
      </c>
      <c r="Z831" s="4">
        <f t="shared" si="48"/>
        <v>84.904750000000007</v>
      </c>
      <c r="AD831" s="24">
        <v>250.02462</v>
      </c>
      <c r="AE831">
        <v>413.5</v>
      </c>
      <c r="AF831" s="19">
        <v>89.904880000000006</v>
      </c>
      <c r="AG831" s="4">
        <f t="shared" si="49"/>
        <v>90.166370000000001</v>
      </c>
    </row>
    <row r="832" spans="23:33" x14ac:dyDescent="0.15">
      <c r="W832" s="22">
        <v>250.00797</v>
      </c>
      <c r="X832">
        <v>414</v>
      </c>
      <c r="Y832" s="23">
        <v>79.456280000000007</v>
      </c>
      <c r="Z832" s="4">
        <f t="shared" si="48"/>
        <v>84.897110000000012</v>
      </c>
      <c r="AD832" s="24">
        <v>250.01820000000001</v>
      </c>
      <c r="AE832">
        <v>414</v>
      </c>
      <c r="AF832" s="25">
        <v>89.83426</v>
      </c>
      <c r="AG832" s="4">
        <f t="shared" si="49"/>
        <v>90.095749999999995</v>
      </c>
    </row>
    <row r="833" spans="23:33" x14ac:dyDescent="0.15">
      <c r="W833" s="22">
        <v>250.00697</v>
      </c>
      <c r="X833">
        <v>414.5</v>
      </c>
      <c r="Y833" s="4">
        <v>79.435190000000006</v>
      </c>
      <c r="Z833" s="4">
        <f t="shared" si="48"/>
        <v>84.876020000000011</v>
      </c>
      <c r="AD833" s="24">
        <v>250.01652999999999</v>
      </c>
      <c r="AE833">
        <v>414.5</v>
      </c>
      <c r="AF833" s="19">
        <v>89.822860000000006</v>
      </c>
      <c r="AG833" s="4">
        <f t="shared" si="49"/>
        <v>90.084350000000001</v>
      </c>
    </row>
    <row r="834" spans="23:33" x14ac:dyDescent="0.15">
      <c r="W834" s="22">
        <v>250.00198</v>
      </c>
      <c r="X834">
        <v>415</v>
      </c>
      <c r="Y834" s="23">
        <v>79.433189999999996</v>
      </c>
      <c r="Z834" s="4">
        <f t="shared" si="48"/>
        <v>84.874020000000002</v>
      </c>
      <c r="AD834" s="24">
        <v>250.02003999999999</v>
      </c>
      <c r="AE834">
        <v>415</v>
      </c>
      <c r="AF834" s="25">
        <v>89.845849999999999</v>
      </c>
      <c r="AG834" s="4">
        <f t="shared" si="49"/>
        <v>90.107339999999994</v>
      </c>
    </row>
    <row r="835" spans="23:33" x14ac:dyDescent="0.15">
      <c r="W835" s="22">
        <v>249.99995999999999</v>
      </c>
      <c r="X835">
        <v>415.5</v>
      </c>
      <c r="Y835" s="4">
        <v>79.417770000000004</v>
      </c>
      <c r="Z835" s="4">
        <f t="shared" si="48"/>
        <v>84.85860000000001</v>
      </c>
      <c r="AD835" s="24">
        <v>250.02096</v>
      </c>
      <c r="AE835">
        <v>415.5</v>
      </c>
      <c r="AF835" s="19">
        <v>89.842470000000006</v>
      </c>
      <c r="AG835" s="4">
        <f t="shared" si="49"/>
        <v>90.103960000000001</v>
      </c>
    </row>
    <row r="836" spans="23:33" x14ac:dyDescent="0.15">
      <c r="W836" s="22">
        <v>250.00002000000001</v>
      </c>
      <c r="X836">
        <v>416</v>
      </c>
      <c r="Y836" s="23">
        <v>79.385220000000004</v>
      </c>
      <c r="Z836" s="4">
        <f t="shared" si="48"/>
        <v>84.826050000000009</v>
      </c>
      <c r="AD836" s="24">
        <v>250.01839000000001</v>
      </c>
      <c r="AE836">
        <v>416</v>
      </c>
      <c r="AF836" s="25">
        <v>89.854929999999996</v>
      </c>
      <c r="AG836" s="4">
        <f t="shared" si="49"/>
        <v>90.116419999999991</v>
      </c>
    </row>
    <row r="837" spans="23:33" x14ac:dyDescent="0.15">
      <c r="W837" s="22">
        <v>250.00698</v>
      </c>
      <c r="X837">
        <v>416.5</v>
      </c>
      <c r="Y837" s="4">
        <v>79.383369999999999</v>
      </c>
      <c r="Z837" s="4">
        <f t="shared" ref="Z837:Z900" si="50">100-($Y$4-Y837)</f>
        <v>84.824200000000005</v>
      </c>
      <c r="AD837" s="24">
        <v>250.01695000000001</v>
      </c>
      <c r="AE837">
        <v>416.5</v>
      </c>
      <c r="AF837" s="19">
        <v>89.807360000000003</v>
      </c>
      <c r="AG837" s="4">
        <f t="shared" ref="AG837:AG900" si="51">100-($AF$4-AF837)</f>
        <v>90.068849999999998</v>
      </c>
    </row>
    <row r="838" spans="23:33" x14ac:dyDescent="0.15">
      <c r="W838" s="22">
        <v>250.00300999999999</v>
      </c>
      <c r="X838">
        <v>417</v>
      </c>
      <c r="Y838" s="23">
        <v>79.375699999999995</v>
      </c>
      <c r="Z838" s="4">
        <f t="shared" si="50"/>
        <v>84.81653</v>
      </c>
      <c r="AD838" s="24">
        <v>250.01675</v>
      </c>
      <c r="AE838">
        <v>417</v>
      </c>
      <c r="AF838" s="25">
        <v>89.886920000000003</v>
      </c>
      <c r="AG838" s="4">
        <f t="shared" si="51"/>
        <v>90.148409999999998</v>
      </c>
    </row>
    <row r="839" spans="23:33" x14ac:dyDescent="0.15">
      <c r="W839" s="22">
        <v>250.001</v>
      </c>
      <c r="X839">
        <v>417.5</v>
      </c>
      <c r="Y839" s="4">
        <v>79.348889999999997</v>
      </c>
      <c r="Z839" s="4">
        <f t="shared" si="50"/>
        <v>84.789720000000003</v>
      </c>
      <c r="AD839" s="24">
        <v>250.01795000000001</v>
      </c>
      <c r="AE839">
        <v>417.5</v>
      </c>
      <c r="AF839" s="19">
        <v>89.858930000000001</v>
      </c>
      <c r="AG839" s="4">
        <f t="shared" si="51"/>
        <v>90.120419999999996</v>
      </c>
    </row>
    <row r="840" spans="23:33" x14ac:dyDescent="0.15">
      <c r="W840" s="22">
        <v>250.00395</v>
      </c>
      <c r="X840">
        <v>418</v>
      </c>
      <c r="Y840" s="23">
        <v>79.352500000000006</v>
      </c>
      <c r="Z840" s="4">
        <f t="shared" si="50"/>
        <v>84.793330000000012</v>
      </c>
      <c r="AD840" s="24">
        <v>250.02011999999999</v>
      </c>
      <c r="AE840">
        <v>418</v>
      </c>
      <c r="AF840" s="25">
        <v>89.89461</v>
      </c>
      <c r="AG840" s="4">
        <f t="shared" si="51"/>
        <v>90.156099999999995</v>
      </c>
    </row>
    <row r="841" spans="23:33" x14ac:dyDescent="0.15">
      <c r="W841" s="22">
        <v>250.00702999999999</v>
      </c>
      <c r="X841">
        <v>418.5</v>
      </c>
      <c r="Y841" s="4">
        <v>79.339110000000005</v>
      </c>
      <c r="Z841" s="4">
        <f t="shared" si="50"/>
        <v>84.779940000000011</v>
      </c>
      <c r="AD841" s="24">
        <v>250.0188</v>
      </c>
      <c r="AE841">
        <v>418.5</v>
      </c>
      <c r="AF841" s="19">
        <v>89.857200000000006</v>
      </c>
      <c r="AG841" s="4">
        <f t="shared" si="51"/>
        <v>90.118690000000001</v>
      </c>
    </row>
    <row r="842" spans="23:33" x14ac:dyDescent="0.15">
      <c r="W842" s="22">
        <v>250.00701000000001</v>
      </c>
      <c r="X842">
        <v>419</v>
      </c>
      <c r="Y842" s="23">
        <v>79.327680000000001</v>
      </c>
      <c r="Z842" s="4">
        <f t="shared" si="50"/>
        <v>84.768510000000006</v>
      </c>
      <c r="AD842" s="24">
        <v>250.01759999999999</v>
      </c>
      <c r="AE842">
        <v>419</v>
      </c>
      <c r="AF842" s="25">
        <v>89.782499999999999</v>
      </c>
      <c r="AG842" s="4">
        <f t="shared" si="51"/>
        <v>90.043989999999994</v>
      </c>
    </row>
    <row r="843" spans="23:33" x14ac:dyDescent="0.15">
      <c r="W843" s="22">
        <v>250.006</v>
      </c>
      <c r="X843">
        <v>419.5</v>
      </c>
      <c r="Y843" s="4">
        <v>79.319900000000004</v>
      </c>
      <c r="Z843" s="4">
        <f t="shared" si="50"/>
        <v>84.760730000000009</v>
      </c>
      <c r="AD843" s="24">
        <v>250.01732999999999</v>
      </c>
      <c r="AE843">
        <v>419.5</v>
      </c>
      <c r="AF843" s="19">
        <v>89.754329999999996</v>
      </c>
      <c r="AG843" s="4">
        <f t="shared" si="51"/>
        <v>90.015819999999991</v>
      </c>
    </row>
    <row r="844" spans="23:33" x14ac:dyDescent="0.15">
      <c r="W844" s="22">
        <v>250.00398000000001</v>
      </c>
      <c r="X844">
        <v>420</v>
      </c>
      <c r="Y844" s="23">
        <v>79.316069999999996</v>
      </c>
      <c r="Z844" s="4">
        <f t="shared" si="50"/>
        <v>84.756900000000002</v>
      </c>
      <c r="AD844" s="24">
        <v>250.01462000000001</v>
      </c>
      <c r="AE844">
        <v>420</v>
      </c>
      <c r="AF844" s="25">
        <v>89.744569999999996</v>
      </c>
      <c r="AG844" s="4">
        <f t="shared" si="51"/>
        <v>90.006059999999991</v>
      </c>
    </row>
    <row r="845" spans="23:33" x14ac:dyDescent="0.15">
      <c r="W845" s="22">
        <v>250.00799000000001</v>
      </c>
      <c r="X845">
        <v>420.5</v>
      </c>
      <c r="Y845" s="4">
        <v>79.291210000000007</v>
      </c>
      <c r="Z845" s="4">
        <f t="shared" si="50"/>
        <v>84.732040000000012</v>
      </c>
      <c r="AD845" s="24">
        <v>250.01307</v>
      </c>
      <c r="AE845">
        <v>420.5</v>
      </c>
      <c r="AF845" s="19">
        <v>89.632459999999995</v>
      </c>
      <c r="AG845" s="4">
        <f t="shared" si="51"/>
        <v>89.89394999999999</v>
      </c>
    </row>
    <row r="846" spans="23:33" x14ac:dyDescent="0.15">
      <c r="W846" s="22">
        <v>250.00796</v>
      </c>
      <c r="X846">
        <v>421</v>
      </c>
      <c r="Y846" s="23">
        <v>79.26643</v>
      </c>
      <c r="Z846" s="4">
        <f t="shared" si="50"/>
        <v>84.707260000000005</v>
      </c>
      <c r="AD846" s="24">
        <v>250.01294999999999</v>
      </c>
      <c r="AE846">
        <v>421</v>
      </c>
      <c r="AF846" s="25">
        <v>89.904290000000003</v>
      </c>
      <c r="AG846" s="4">
        <f t="shared" si="51"/>
        <v>90.165779999999998</v>
      </c>
    </row>
    <row r="847" spans="23:33" x14ac:dyDescent="0.15">
      <c r="W847" s="22">
        <v>250.00595000000001</v>
      </c>
      <c r="X847">
        <v>421.5</v>
      </c>
      <c r="Y847" s="4">
        <v>79.266310000000004</v>
      </c>
      <c r="Z847" s="4">
        <f t="shared" si="50"/>
        <v>84.70714000000001</v>
      </c>
      <c r="AD847" s="24">
        <v>250.01113000000001</v>
      </c>
      <c r="AE847">
        <v>421.5</v>
      </c>
      <c r="AF847" s="19">
        <v>89.611609999999999</v>
      </c>
      <c r="AG847" s="4">
        <f t="shared" si="51"/>
        <v>89.873099999999994</v>
      </c>
    </row>
    <row r="848" spans="23:33" x14ac:dyDescent="0.15">
      <c r="W848" s="22">
        <v>249.99997999999999</v>
      </c>
      <c r="X848">
        <v>422</v>
      </c>
      <c r="Y848" s="23">
        <v>79.245220000000003</v>
      </c>
      <c r="Z848" s="4">
        <f t="shared" si="50"/>
        <v>84.686050000000009</v>
      </c>
      <c r="AD848" s="24">
        <v>250.00944999999999</v>
      </c>
      <c r="AE848">
        <v>422</v>
      </c>
      <c r="AF848" s="25">
        <v>89.752459999999999</v>
      </c>
      <c r="AG848" s="4">
        <f t="shared" si="51"/>
        <v>90.013949999999994</v>
      </c>
    </row>
    <row r="849" spans="23:33" x14ac:dyDescent="0.15">
      <c r="W849" s="22">
        <v>250.00400999999999</v>
      </c>
      <c r="X849">
        <v>422.5</v>
      </c>
      <c r="Y849" s="4">
        <v>79.235780000000005</v>
      </c>
      <c r="Z849" s="4">
        <f t="shared" si="50"/>
        <v>84.676610000000011</v>
      </c>
      <c r="AD849" s="24">
        <v>250.01045999999999</v>
      </c>
      <c r="AE849">
        <v>422.5</v>
      </c>
      <c r="AF849" s="19">
        <v>89.743219999999994</v>
      </c>
      <c r="AG849" s="4">
        <f t="shared" si="51"/>
        <v>90.004709999999989</v>
      </c>
    </row>
    <row r="850" spans="23:33" x14ac:dyDescent="0.15">
      <c r="W850" s="22">
        <v>250.00599</v>
      </c>
      <c r="X850">
        <v>423</v>
      </c>
      <c r="Y850" s="23">
        <v>79.222219999999993</v>
      </c>
      <c r="Z850" s="4">
        <f t="shared" si="50"/>
        <v>84.663049999999998</v>
      </c>
      <c r="AD850" s="24">
        <v>250.00864999999999</v>
      </c>
      <c r="AE850">
        <v>423</v>
      </c>
      <c r="AF850" s="25">
        <v>89.624930000000006</v>
      </c>
      <c r="AG850" s="4">
        <f t="shared" si="51"/>
        <v>89.886420000000001</v>
      </c>
    </row>
    <row r="851" spans="23:33" x14ac:dyDescent="0.15">
      <c r="W851" s="22">
        <v>250.01102</v>
      </c>
      <c r="X851">
        <v>423.5</v>
      </c>
      <c r="Y851" s="4">
        <v>79.222329999999999</v>
      </c>
      <c r="Z851" s="4">
        <f t="shared" si="50"/>
        <v>84.663160000000005</v>
      </c>
      <c r="AD851" s="24">
        <v>250.00702999999999</v>
      </c>
      <c r="AE851">
        <v>423.5</v>
      </c>
      <c r="AF851" s="19">
        <v>89.804209999999998</v>
      </c>
      <c r="AG851" s="4">
        <f t="shared" si="51"/>
        <v>90.065699999999993</v>
      </c>
    </row>
    <row r="852" spans="23:33" x14ac:dyDescent="0.15">
      <c r="W852" s="22">
        <v>250.01400000000001</v>
      </c>
      <c r="X852">
        <v>424</v>
      </c>
      <c r="Y852" s="23">
        <v>79.210849999999994</v>
      </c>
      <c r="Z852" s="4">
        <f t="shared" si="50"/>
        <v>84.651679999999999</v>
      </c>
      <c r="AD852" s="24">
        <v>250.00811999999999</v>
      </c>
      <c r="AE852">
        <v>424</v>
      </c>
      <c r="AF852" s="25">
        <v>89.640259999999998</v>
      </c>
      <c r="AG852" s="4">
        <f t="shared" si="51"/>
        <v>89.901749999999993</v>
      </c>
    </row>
    <row r="853" spans="23:33" x14ac:dyDescent="0.15">
      <c r="W853" s="22">
        <v>250.00698</v>
      </c>
      <c r="X853">
        <v>424.5</v>
      </c>
      <c r="Y853" s="4">
        <v>79.210729999999998</v>
      </c>
      <c r="Z853" s="4">
        <f t="shared" si="50"/>
        <v>84.651560000000003</v>
      </c>
      <c r="AD853" s="24">
        <v>250.00993</v>
      </c>
      <c r="AE853">
        <v>424.5</v>
      </c>
      <c r="AF853" s="19">
        <v>89.744029999999995</v>
      </c>
      <c r="AG853" s="4">
        <f t="shared" si="51"/>
        <v>90.00551999999999</v>
      </c>
    </row>
    <row r="854" spans="23:33" x14ac:dyDescent="0.15">
      <c r="W854" s="22">
        <v>250.00601</v>
      </c>
      <c r="X854">
        <v>425</v>
      </c>
      <c r="Y854" s="23">
        <v>79.178120000000007</v>
      </c>
      <c r="Z854" s="4">
        <f t="shared" si="50"/>
        <v>84.618950000000012</v>
      </c>
      <c r="AD854" s="24">
        <v>250.01356999999999</v>
      </c>
      <c r="AE854">
        <v>425</v>
      </c>
      <c r="AF854" s="25">
        <v>89.629649999999998</v>
      </c>
      <c r="AG854" s="4">
        <f t="shared" si="51"/>
        <v>89.891139999999993</v>
      </c>
    </row>
    <row r="855" spans="23:33" x14ac:dyDescent="0.15">
      <c r="W855" s="22">
        <v>250.00901999999999</v>
      </c>
      <c r="X855">
        <v>425.5</v>
      </c>
      <c r="Y855" s="4">
        <v>79.191779999999994</v>
      </c>
      <c r="Z855" s="4">
        <f t="shared" si="50"/>
        <v>84.63261</v>
      </c>
      <c r="AD855" s="24">
        <v>250.01617999999999</v>
      </c>
      <c r="AE855">
        <v>425.5</v>
      </c>
      <c r="AF855" s="19">
        <v>89.642300000000006</v>
      </c>
      <c r="AG855" s="4">
        <f t="shared" si="51"/>
        <v>89.903790000000001</v>
      </c>
    </row>
    <row r="856" spans="23:33" x14ac:dyDescent="0.15">
      <c r="W856" s="22">
        <v>250.00200000000001</v>
      </c>
      <c r="X856">
        <v>426</v>
      </c>
      <c r="Y856" s="23">
        <v>79.176280000000006</v>
      </c>
      <c r="Z856" s="4">
        <f t="shared" si="50"/>
        <v>84.617110000000011</v>
      </c>
      <c r="AD856" s="24">
        <v>250.01843</v>
      </c>
      <c r="AE856">
        <v>426</v>
      </c>
      <c r="AF856" s="25">
        <v>89.598590000000002</v>
      </c>
      <c r="AG856" s="4">
        <f t="shared" si="51"/>
        <v>89.860079999999996</v>
      </c>
    </row>
    <row r="857" spans="23:33" x14ac:dyDescent="0.15">
      <c r="W857" s="22">
        <v>250.00201000000001</v>
      </c>
      <c r="X857">
        <v>426.5</v>
      </c>
      <c r="Y857" s="4">
        <v>79.149429999999995</v>
      </c>
      <c r="Z857" s="4">
        <f t="shared" si="50"/>
        <v>84.590260000000001</v>
      </c>
      <c r="AD857" s="24">
        <v>250.02198000000001</v>
      </c>
      <c r="AE857">
        <v>426.5</v>
      </c>
      <c r="AF857" s="19">
        <v>89.649169999999998</v>
      </c>
      <c r="AG857" s="4">
        <f t="shared" si="51"/>
        <v>89.910659999999993</v>
      </c>
    </row>
    <row r="858" spans="23:33" x14ac:dyDescent="0.15">
      <c r="W858" s="22">
        <v>250.00301999999999</v>
      </c>
      <c r="X858">
        <v>427</v>
      </c>
      <c r="Y858" s="23">
        <v>79.153300000000002</v>
      </c>
      <c r="Z858" s="4">
        <f t="shared" si="50"/>
        <v>84.594130000000007</v>
      </c>
      <c r="AD858" s="24">
        <v>250.02413999999999</v>
      </c>
      <c r="AE858">
        <v>427</v>
      </c>
      <c r="AF858" s="25">
        <v>89.576490000000007</v>
      </c>
      <c r="AG858" s="4">
        <f t="shared" si="51"/>
        <v>89.837980000000002</v>
      </c>
    </row>
    <row r="859" spans="23:33" x14ac:dyDescent="0.15">
      <c r="W859" s="22">
        <v>250.001</v>
      </c>
      <c r="X859">
        <v>427.5</v>
      </c>
      <c r="Y859" s="4">
        <v>79.132159999999999</v>
      </c>
      <c r="Z859" s="4">
        <f t="shared" si="50"/>
        <v>84.572990000000004</v>
      </c>
      <c r="AD859" s="24">
        <v>250.02563000000001</v>
      </c>
      <c r="AE859">
        <v>427.5</v>
      </c>
      <c r="AF859" s="19">
        <v>89.625190000000003</v>
      </c>
      <c r="AG859" s="4">
        <f t="shared" si="51"/>
        <v>89.886679999999998</v>
      </c>
    </row>
    <row r="860" spans="23:33" x14ac:dyDescent="0.15">
      <c r="W860" s="22">
        <v>250.00400999999999</v>
      </c>
      <c r="X860">
        <v>428</v>
      </c>
      <c r="Y860" s="23">
        <v>79.133989999999997</v>
      </c>
      <c r="Z860" s="4">
        <f t="shared" si="50"/>
        <v>84.574820000000003</v>
      </c>
      <c r="AD860" s="24">
        <v>250.02259000000001</v>
      </c>
      <c r="AE860">
        <v>428</v>
      </c>
      <c r="AF860" s="25">
        <v>89.474890000000002</v>
      </c>
      <c r="AG860" s="4">
        <f t="shared" si="51"/>
        <v>89.736379999999997</v>
      </c>
    </row>
    <row r="861" spans="23:33" x14ac:dyDescent="0.15">
      <c r="W861" s="22">
        <v>250.00398999999999</v>
      </c>
      <c r="X861">
        <v>428.5</v>
      </c>
      <c r="Y861" s="4">
        <v>79.111019999999996</v>
      </c>
      <c r="Z861" s="4">
        <f t="shared" si="50"/>
        <v>84.551850000000002</v>
      </c>
      <c r="AD861" s="24">
        <v>250.02035000000001</v>
      </c>
      <c r="AE861">
        <v>428.5</v>
      </c>
      <c r="AF861" s="19">
        <v>89.57687</v>
      </c>
      <c r="AG861" s="4">
        <f t="shared" si="51"/>
        <v>89.838359999999994</v>
      </c>
    </row>
    <row r="862" spans="23:33" x14ac:dyDescent="0.15">
      <c r="W862" s="22">
        <v>250.00703999999999</v>
      </c>
      <c r="X862">
        <v>429</v>
      </c>
      <c r="Y862" s="23">
        <v>79.10351</v>
      </c>
      <c r="Z862" s="4">
        <f t="shared" si="50"/>
        <v>84.544340000000005</v>
      </c>
      <c r="AD862" s="24">
        <v>250.02056999999999</v>
      </c>
      <c r="AE862">
        <v>429</v>
      </c>
      <c r="AF862" s="25">
        <v>89.564310000000006</v>
      </c>
      <c r="AG862" s="4">
        <f t="shared" si="51"/>
        <v>89.825800000000001</v>
      </c>
    </row>
    <row r="863" spans="23:33" x14ac:dyDescent="0.15">
      <c r="W863" s="22">
        <v>250.00301999999999</v>
      </c>
      <c r="X863">
        <v>429.5</v>
      </c>
      <c r="Y863" s="4">
        <v>79.08417</v>
      </c>
      <c r="Z863" s="4">
        <f t="shared" si="50"/>
        <v>84.525000000000006</v>
      </c>
      <c r="AD863" s="24">
        <v>250.01725999999999</v>
      </c>
      <c r="AE863">
        <v>429.5</v>
      </c>
      <c r="AF863" s="19">
        <v>89.550619999999995</v>
      </c>
      <c r="AG863" s="4">
        <f t="shared" si="51"/>
        <v>89.81210999999999</v>
      </c>
    </row>
    <row r="864" spans="23:33" x14ac:dyDescent="0.15">
      <c r="W864" s="22">
        <v>250.00505999999999</v>
      </c>
      <c r="X864">
        <v>430</v>
      </c>
      <c r="Y864" s="23">
        <v>79.097560000000001</v>
      </c>
      <c r="Z864" s="4">
        <f t="shared" si="50"/>
        <v>84.538390000000007</v>
      </c>
      <c r="AD864" s="24">
        <v>250.01406</v>
      </c>
      <c r="AE864">
        <v>430</v>
      </c>
      <c r="AF864" s="25">
        <v>89.519369999999995</v>
      </c>
      <c r="AG864" s="4">
        <f t="shared" si="51"/>
        <v>89.78085999999999</v>
      </c>
    </row>
    <row r="865" spans="23:33" x14ac:dyDescent="0.15">
      <c r="W865" s="22">
        <v>250.00703999999999</v>
      </c>
      <c r="X865">
        <v>430.5</v>
      </c>
      <c r="Y865" s="4">
        <v>79.069040000000001</v>
      </c>
      <c r="Z865" s="4">
        <f t="shared" si="50"/>
        <v>84.509870000000006</v>
      </c>
      <c r="AD865" s="24">
        <v>250.01548</v>
      </c>
      <c r="AE865">
        <v>430.5</v>
      </c>
      <c r="AF865" s="19">
        <v>89.572469999999996</v>
      </c>
      <c r="AG865" s="4">
        <f t="shared" si="51"/>
        <v>89.83395999999999</v>
      </c>
    </row>
    <row r="866" spans="23:33" x14ac:dyDescent="0.15">
      <c r="W866" s="22">
        <v>250.00695999999999</v>
      </c>
      <c r="X866">
        <v>431</v>
      </c>
      <c r="Y866" s="23">
        <v>79.059200000000004</v>
      </c>
      <c r="Z866" s="4">
        <f t="shared" si="50"/>
        <v>84.50003000000001</v>
      </c>
      <c r="AD866" s="24">
        <v>250.01755</v>
      </c>
      <c r="AE866">
        <v>431</v>
      </c>
      <c r="AF866" s="25">
        <v>89.669960000000003</v>
      </c>
      <c r="AG866" s="4">
        <f t="shared" si="51"/>
        <v>89.931449999999998</v>
      </c>
    </row>
    <row r="867" spans="23:33" x14ac:dyDescent="0.15">
      <c r="W867" s="22">
        <v>250.00603000000001</v>
      </c>
      <c r="X867">
        <v>431.5</v>
      </c>
      <c r="Y867" s="4">
        <v>79.043819999999997</v>
      </c>
      <c r="Z867" s="4">
        <f t="shared" si="50"/>
        <v>84.484650000000002</v>
      </c>
      <c r="AD867" s="24">
        <v>250.01669999999999</v>
      </c>
      <c r="AE867">
        <v>431.5</v>
      </c>
      <c r="AF867" s="19">
        <v>89.584990000000005</v>
      </c>
      <c r="AG867" s="4">
        <f t="shared" si="51"/>
        <v>89.84648</v>
      </c>
    </row>
    <row r="868" spans="23:33" x14ac:dyDescent="0.15">
      <c r="W868" s="22">
        <v>250.01399000000001</v>
      </c>
      <c r="X868">
        <v>432</v>
      </c>
      <c r="Y868" s="23">
        <v>79.047700000000006</v>
      </c>
      <c r="Z868" s="4">
        <f t="shared" si="50"/>
        <v>84.488530000000011</v>
      </c>
      <c r="AD868" s="24">
        <v>250.01657</v>
      </c>
      <c r="AE868">
        <v>432</v>
      </c>
      <c r="AF868" s="25">
        <v>89.572540000000004</v>
      </c>
      <c r="AG868" s="4">
        <f t="shared" si="51"/>
        <v>89.834029999999998</v>
      </c>
    </row>
    <row r="869" spans="23:33" x14ac:dyDescent="0.15">
      <c r="W869" s="22">
        <v>250.00700000000001</v>
      </c>
      <c r="X869">
        <v>432.5</v>
      </c>
      <c r="Y869" s="4">
        <v>79.018979999999999</v>
      </c>
      <c r="Z869" s="4">
        <f t="shared" si="50"/>
        <v>84.459810000000004</v>
      </c>
      <c r="AD869" s="24">
        <v>250.01515000000001</v>
      </c>
      <c r="AE869">
        <v>432.5</v>
      </c>
      <c r="AF869" s="19">
        <v>89.578710000000001</v>
      </c>
      <c r="AG869" s="4">
        <f t="shared" si="51"/>
        <v>89.840199999999996</v>
      </c>
    </row>
    <row r="870" spans="23:33" x14ac:dyDescent="0.15">
      <c r="W870" s="22">
        <v>250.00298000000001</v>
      </c>
      <c r="X870">
        <v>433</v>
      </c>
      <c r="Y870" s="23">
        <v>79.013379999999998</v>
      </c>
      <c r="Z870" s="4">
        <f t="shared" si="50"/>
        <v>84.454210000000003</v>
      </c>
      <c r="AD870" s="24">
        <v>250.01302000000001</v>
      </c>
      <c r="AE870">
        <v>433</v>
      </c>
      <c r="AF870" s="25">
        <v>89.53828</v>
      </c>
      <c r="AG870" s="4">
        <f t="shared" si="51"/>
        <v>89.799769999999995</v>
      </c>
    </row>
    <row r="871" spans="23:33" x14ac:dyDescent="0.15">
      <c r="W871" s="22">
        <v>249.99995999999999</v>
      </c>
      <c r="X871">
        <v>433.5</v>
      </c>
      <c r="Y871" s="4">
        <v>79.011219999999994</v>
      </c>
      <c r="Z871" s="4">
        <f t="shared" si="50"/>
        <v>84.45205</v>
      </c>
      <c r="AD871" s="24">
        <v>250.01185000000001</v>
      </c>
      <c r="AE871">
        <v>433.5</v>
      </c>
      <c r="AF871" s="19">
        <v>89.538300000000007</v>
      </c>
      <c r="AG871" s="4">
        <f t="shared" si="51"/>
        <v>89.799790000000002</v>
      </c>
    </row>
    <row r="872" spans="23:33" x14ac:dyDescent="0.15">
      <c r="W872" s="22">
        <v>249.99700999999999</v>
      </c>
      <c r="X872">
        <v>434</v>
      </c>
      <c r="Y872" s="23">
        <v>78.986379999999997</v>
      </c>
      <c r="Z872" s="4">
        <f t="shared" si="50"/>
        <v>84.427210000000002</v>
      </c>
      <c r="AD872" s="24">
        <v>250.01080999999999</v>
      </c>
      <c r="AE872">
        <v>434</v>
      </c>
      <c r="AF872" s="25">
        <v>89.50367</v>
      </c>
      <c r="AG872" s="4">
        <f t="shared" si="51"/>
        <v>89.765159999999995</v>
      </c>
    </row>
    <row r="873" spans="23:33" x14ac:dyDescent="0.15">
      <c r="W873" s="22">
        <v>249.99902</v>
      </c>
      <c r="X873">
        <v>434.5</v>
      </c>
      <c r="Y873" s="4">
        <v>78.961560000000006</v>
      </c>
      <c r="Z873" s="4">
        <f t="shared" si="50"/>
        <v>84.402390000000011</v>
      </c>
      <c r="AD873" s="24">
        <v>250.01410999999999</v>
      </c>
      <c r="AE873">
        <v>434.5</v>
      </c>
      <c r="AF873" s="19">
        <v>89.466080000000005</v>
      </c>
      <c r="AG873" s="4">
        <f t="shared" si="51"/>
        <v>89.72757</v>
      </c>
    </row>
    <row r="874" spans="23:33" x14ac:dyDescent="0.15">
      <c r="W874" s="22">
        <v>250.00404</v>
      </c>
      <c r="X874">
        <v>435</v>
      </c>
      <c r="Y874" s="23">
        <v>78.963430000000002</v>
      </c>
      <c r="Z874" s="4">
        <f t="shared" si="50"/>
        <v>84.404260000000008</v>
      </c>
      <c r="AD874" s="24">
        <v>250.01711</v>
      </c>
      <c r="AE874">
        <v>435</v>
      </c>
      <c r="AF874" s="25">
        <v>89.437039999999996</v>
      </c>
      <c r="AG874" s="4">
        <f t="shared" si="51"/>
        <v>89.698529999999991</v>
      </c>
    </row>
    <row r="875" spans="23:33" x14ac:dyDescent="0.15">
      <c r="W875" s="22">
        <v>250.00396000000001</v>
      </c>
      <c r="X875">
        <v>435.5</v>
      </c>
      <c r="Y875" s="4">
        <v>78.948089999999993</v>
      </c>
      <c r="Z875" s="4">
        <f t="shared" si="50"/>
        <v>84.388919999999999</v>
      </c>
      <c r="AD875" s="24">
        <v>250.01528999999999</v>
      </c>
      <c r="AE875">
        <v>435.5</v>
      </c>
      <c r="AF875" s="19">
        <v>89.51491</v>
      </c>
      <c r="AG875" s="4">
        <f t="shared" si="51"/>
        <v>89.776399999999995</v>
      </c>
    </row>
    <row r="876" spans="23:33" x14ac:dyDescent="0.15">
      <c r="W876" s="22">
        <v>250.00603000000001</v>
      </c>
      <c r="X876">
        <v>436</v>
      </c>
      <c r="Y876" s="23">
        <v>78.930710000000005</v>
      </c>
      <c r="Z876" s="4">
        <f t="shared" si="50"/>
        <v>84.37154000000001</v>
      </c>
      <c r="AD876" s="24">
        <v>250.01674</v>
      </c>
      <c r="AE876">
        <v>436</v>
      </c>
      <c r="AF876" s="25">
        <v>89.507390000000001</v>
      </c>
      <c r="AG876" s="4">
        <f t="shared" si="51"/>
        <v>89.768879999999996</v>
      </c>
    </row>
    <row r="877" spans="23:33" x14ac:dyDescent="0.15">
      <c r="W877" s="22">
        <v>250.00599</v>
      </c>
      <c r="X877">
        <v>436.5</v>
      </c>
      <c r="Y877" s="4">
        <v>78.928849999999997</v>
      </c>
      <c r="Z877" s="4">
        <f t="shared" si="50"/>
        <v>84.369680000000002</v>
      </c>
      <c r="AD877" s="24">
        <v>250.0164</v>
      </c>
      <c r="AE877">
        <v>436.5</v>
      </c>
      <c r="AF877" s="19">
        <v>89.429950000000005</v>
      </c>
      <c r="AG877" s="4">
        <f t="shared" si="51"/>
        <v>89.69144</v>
      </c>
    </row>
    <row r="878" spans="23:33" x14ac:dyDescent="0.15">
      <c r="W878" s="22">
        <v>250.00798</v>
      </c>
      <c r="X878">
        <v>437</v>
      </c>
      <c r="Y878" s="23">
        <v>78.919300000000007</v>
      </c>
      <c r="Z878" s="4">
        <f t="shared" si="50"/>
        <v>84.360130000000012</v>
      </c>
      <c r="AD878" s="24">
        <v>250.01535999999999</v>
      </c>
      <c r="AE878">
        <v>437</v>
      </c>
      <c r="AF878" s="25">
        <v>89.531949999999995</v>
      </c>
      <c r="AG878" s="4">
        <f t="shared" si="51"/>
        <v>89.79343999999999</v>
      </c>
    </row>
    <row r="879" spans="23:33" x14ac:dyDescent="0.15">
      <c r="W879" s="22">
        <v>250.00803999999999</v>
      </c>
      <c r="X879">
        <v>437.5</v>
      </c>
      <c r="Y879" s="4">
        <v>78.930859999999996</v>
      </c>
      <c r="Z879" s="4">
        <f t="shared" si="50"/>
        <v>84.371690000000001</v>
      </c>
      <c r="AD879" s="24">
        <v>250.01817</v>
      </c>
      <c r="AE879">
        <v>437.5</v>
      </c>
      <c r="AF879" s="19">
        <v>89.36936</v>
      </c>
      <c r="AG879" s="4">
        <f t="shared" si="51"/>
        <v>89.630849999999995</v>
      </c>
    </row>
    <row r="880" spans="23:33" x14ac:dyDescent="0.15">
      <c r="W880" s="22">
        <v>250.00595999999999</v>
      </c>
      <c r="X880">
        <v>438</v>
      </c>
      <c r="Y880" s="23">
        <v>78.909869999999998</v>
      </c>
      <c r="Z880" s="4">
        <f t="shared" si="50"/>
        <v>84.350700000000003</v>
      </c>
      <c r="AD880" s="24">
        <v>250.02087</v>
      </c>
      <c r="AE880">
        <v>438</v>
      </c>
      <c r="AF880" s="25">
        <v>89.487939999999995</v>
      </c>
      <c r="AG880" s="4">
        <f t="shared" si="51"/>
        <v>89.74942999999999</v>
      </c>
    </row>
    <row r="881" spans="23:33" x14ac:dyDescent="0.15">
      <c r="W881" s="22">
        <v>250.00398999999999</v>
      </c>
      <c r="X881">
        <v>438.5</v>
      </c>
      <c r="Y881" s="4">
        <v>78.904020000000003</v>
      </c>
      <c r="Z881" s="4">
        <f t="shared" si="50"/>
        <v>84.344850000000008</v>
      </c>
      <c r="AD881" s="24">
        <v>250.02</v>
      </c>
      <c r="AE881">
        <v>438.5</v>
      </c>
      <c r="AF881" s="19">
        <v>89.323220000000006</v>
      </c>
      <c r="AG881" s="4">
        <f t="shared" si="51"/>
        <v>89.584710000000001</v>
      </c>
    </row>
    <row r="882" spans="23:33" x14ac:dyDescent="0.15">
      <c r="W882" s="22">
        <v>250.00596999999999</v>
      </c>
      <c r="X882">
        <v>439</v>
      </c>
      <c r="Y882" s="23">
        <v>78.880889999999994</v>
      </c>
      <c r="Z882" s="4">
        <f t="shared" si="50"/>
        <v>84.321719999999999</v>
      </c>
      <c r="AD882" s="24">
        <v>250.01947999999999</v>
      </c>
      <c r="AE882">
        <v>439</v>
      </c>
      <c r="AF882" s="25">
        <v>89.372590000000002</v>
      </c>
      <c r="AG882" s="4">
        <f t="shared" si="51"/>
        <v>89.634079999999997</v>
      </c>
    </row>
    <row r="883" spans="23:33" x14ac:dyDescent="0.15">
      <c r="W883" s="22">
        <v>250.00497999999999</v>
      </c>
      <c r="X883">
        <v>439.5</v>
      </c>
      <c r="Y883" s="4">
        <v>78.877139999999997</v>
      </c>
      <c r="Z883" s="4">
        <f t="shared" si="50"/>
        <v>84.317970000000003</v>
      </c>
      <c r="AD883" s="24">
        <v>250.01748000000001</v>
      </c>
      <c r="AE883">
        <v>439.5</v>
      </c>
      <c r="AF883" s="19">
        <v>89.300809999999998</v>
      </c>
      <c r="AG883" s="4">
        <f t="shared" si="51"/>
        <v>89.562299999999993</v>
      </c>
    </row>
    <row r="884" spans="23:33" x14ac:dyDescent="0.15">
      <c r="W884" s="22">
        <v>249.99602999999999</v>
      </c>
      <c r="X884">
        <v>440</v>
      </c>
      <c r="Y884" s="23">
        <v>78.858009999999993</v>
      </c>
      <c r="Z884" s="4">
        <f t="shared" si="50"/>
        <v>84.298839999999998</v>
      </c>
      <c r="AD884" s="24">
        <v>250.01997</v>
      </c>
      <c r="AE884">
        <v>440</v>
      </c>
      <c r="AF884" s="25">
        <v>89.391630000000006</v>
      </c>
      <c r="AG884" s="4">
        <f t="shared" si="51"/>
        <v>89.653120000000001</v>
      </c>
    </row>
    <row r="885" spans="23:33" x14ac:dyDescent="0.15">
      <c r="W885" s="22">
        <v>249.99901</v>
      </c>
      <c r="X885">
        <v>440.5</v>
      </c>
      <c r="Y885" s="4">
        <v>78.861990000000006</v>
      </c>
      <c r="Z885" s="4">
        <f t="shared" si="50"/>
        <v>84.302820000000011</v>
      </c>
      <c r="AD885" s="24">
        <v>250.02058</v>
      </c>
      <c r="AE885">
        <v>440.5</v>
      </c>
      <c r="AF885" s="19">
        <v>89.309880000000007</v>
      </c>
      <c r="AG885" s="4">
        <f t="shared" si="51"/>
        <v>89.571370000000002</v>
      </c>
    </row>
    <row r="886" spans="23:33" x14ac:dyDescent="0.15">
      <c r="W886" s="22">
        <v>250.00501</v>
      </c>
      <c r="X886">
        <v>441</v>
      </c>
      <c r="Y886" s="23">
        <v>78.84836</v>
      </c>
      <c r="Z886" s="4">
        <f t="shared" si="50"/>
        <v>84.289190000000005</v>
      </c>
      <c r="AD886" s="24">
        <v>250.02255</v>
      </c>
      <c r="AE886">
        <v>441</v>
      </c>
      <c r="AF886" s="25">
        <v>89.283169999999998</v>
      </c>
      <c r="AG886" s="4">
        <f t="shared" si="51"/>
        <v>89.544659999999993</v>
      </c>
    </row>
    <row r="887" spans="23:33" x14ac:dyDescent="0.15">
      <c r="W887" s="22">
        <v>250.00699</v>
      </c>
      <c r="X887">
        <v>441.5</v>
      </c>
      <c r="Y887" s="4">
        <v>78.831149999999994</v>
      </c>
      <c r="Z887" s="4">
        <f t="shared" si="50"/>
        <v>84.271979999999999</v>
      </c>
      <c r="AD887" s="24">
        <v>250.01930999999999</v>
      </c>
      <c r="AE887">
        <v>441.5</v>
      </c>
      <c r="AF887" s="19">
        <v>89.251940000000005</v>
      </c>
      <c r="AG887" s="4">
        <f t="shared" si="51"/>
        <v>89.51343</v>
      </c>
    </row>
    <row r="888" spans="23:33" x14ac:dyDescent="0.15">
      <c r="W888" s="22">
        <v>250.00995</v>
      </c>
      <c r="X888">
        <v>442</v>
      </c>
      <c r="Y888" s="23">
        <v>78.811989999999994</v>
      </c>
      <c r="Z888" s="4">
        <f t="shared" si="50"/>
        <v>84.25282</v>
      </c>
      <c r="AD888" s="24">
        <v>250.01829000000001</v>
      </c>
      <c r="AE888">
        <v>442</v>
      </c>
      <c r="AF888" s="25">
        <v>89.305139999999994</v>
      </c>
      <c r="AG888" s="4">
        <f t="shared" si="51"/>
        <v>89.566629999999989</v>
      </c>
    </row>
    <row r="889" spans="23:33" x14ac:dyDescent="0.15">
      <c r="W889" s="22">
        <v>250.00700000000001</v>
      </c>
      <c r="X889">
        <v>442.5</v>
      </c>
      <c r="Y889" s="4">
        <v>78.802480000000003</v>
      </c>
      <c r="Z889" s="4">
        <f t="shared" si="50"/>
        <v>84.243310000000008</v>
      </c>
      <c r="AD889" s="24">
        <v>250.01922999999999</v>
      </c>
      <c r="AE889">
        <v>442.5</v>
      </c>
      <c r="AF889" s="19">
        <v>89.36788</v>
      </c>
      <c r="AG889" s="4">
        <f t="shared" si="51"/>
        <v>89.629369999999994</v>
      </c>
    </row>
    <row r="890" spans="23:33" x14ac:dyDescent="0.15">
      <c r="W890" s="22">
        <v>250.01302000000001</v>
      </c>
      <c r="X890">
        <v>443</v>
      </c>
      <c r="Y890" s="23">
        <v>78.786810000000003</v>
      </c>
      <c r="Z890" s="4">
        <f t="shared" si="50"/>
        <v>84.227640000000008</v>
      </c>
      <c r="AD890" s="24">
        <v>250.01877999999999</v>
      </c>
      <c r="AE890">
        <v>443</v>
      </c>
      <c r="AF890" s="25">
        <v>89.467609999999993</v>
      </c>
      <c r="AG890" s="4">
        <f t="shared" si="51"/>
        <v>89.729099999999988</v>
      </c>
    </row>
    <row r="891" spans="23:33" x14ac:dyDescent="0.15">
      <c r="W891" s="22">
        <v>250.00595999999999</v>
      </c>
      <c r="X891">
        <v>443.5</v>
      </c>
      <c r="Y891" s="4">
        <v>78.758420000000001</v>
      </c>
      <c r="Z891" s="4">
        <f t="shared" si="50"/>
        <v>84.199250000000006</v>
      </c>
      <c r="AD891" s="24">
        <v>250.01732000000001</v>
      </c>
      <c r="AE891">
        <v>443.5</v>
      </c>
      <c r="AF891" s="19">
        <v>89.36788</v>
      </c>
      <c r="AG891" s="4">
        <f t="shared" si="51"/>
        <v>89.629369999999994</v>
      </c>
    </row>
    <row r="892" spans="23:33" x14ac:dyDescent="0.15">
      <c r="W892" s="22">
        <v>250.00502</v>
      </c>
      <c r="X892">
        <v>444</v>
      </c>
      <c r="Y892" s="23">
        <v>78.74494</v>
      </c>
      <c r="Z892" s="4">
        <f t="shared" si="50"/>
        <v>84.185770000000005</v>
      </c>
      <c r="AD892" s="24">
        <v>250.01600999999999</v>
      </c>
      <c r="AE892">
        <v>444</v>
      </c>
      <c r="AF892" s="25">
        <v>89.13682</v>
      </c>
      <c r="AG892" s="4">
        <f t="shared" si="51"/>
        <v>89.398309999999995</v>
      </c>
    </row>
    <row r="893" spans="23:33" x14ac:dyDescent="0.15">
      <c r="W893" s="22">
        <v>250.00201999999999</v>
      </c>
      <c r="X893">
        <v>444.5</v>
      </c>
      <c r="Y893" s="4">
        <v>78.744929999999997</v>
      </c>
      <c r="Z893" s="4">
        <f t="shared" si="50"/>
        <v>84.185760000000002</v>
      </c>
      <c r="AD893" s="24">
        <v>250.01366999999999</v>
      </c>
      <c r="AE893">
        <v>444.5</v>
      </c>
      <c r="AF893" s="19">
        <v>89.28125</v>
      </c>
      <c r="AG893" s="4">
        <f t="shared" si="51"/>
        <v>89.542739999999995</v>
      </c>
    </row>
    <row r="894" spans="23:33" x14ac:dyDescent="0.15">
      <c r="W894" s="22">
        <v>250.00097</v>
      </c>
      <c r="X894">
        <v>445</v>
      </c>
      <c r="Y894" s="23">
        <v>78.742850000000004</v>
      </c>
      <c r="Z894" s="4">
        <f t="shared" si="50"/>
        <v>84.18368000000001</v>
      </c>
      <c r="AD894" s="24">
        <v>250.01264</v>
      </c>
      <c r="AE894">
        <v>445</v>
      </c>
      <c r="AF894" s="25">
        <v>89.281639999999996</v>
      </c>
      <c r="AG894" s="4">
        <f t="shared" si="51"/>
        <v>89.543129999999991</v>
      </c>
    </row>
    <row r="895" spans="23:33" x14ac:dyDescent="0.15">
      <c r="W895" s="22">
        <v>250.00104999999999</v>
      </c>
      <c r="X895">
        <v>445.5</v>
      </c>
      <c r="Y895" s="4">
        <v>78.740880000000004</v>
      </c>
      <c r="Z895" s="4">
        <f t="shared" si="50"/>
        <v>84.18171000000001</v>
      </c>
      <c r="AD895" s="24">
        <v>250.00985</v>
      </c>
      <c r="AE895">
        <v>445.5</v>
      </c>
      <c r="AF895" s="19">
        <v>89.208529999999996</v>
      </c>
      <c r="AG895" s="4">
        <f t="shared" si="51"/>
        <v>89.470019999999991</v>
      </c>
    </row>
    <row r="896" spans="23:33" x14ac:dyDescent="0.15">
      <c r="W896" s="22">
        <v>250.00399999999999</v>
      </c>
      <c r="X896">
        <v>446</v>
      </c>
      <c r="Y896" s="23">
        <v>78.729590000000002</v>
      </c>
      <c r="Z896" s="4">
        <f t="shared" si="50"/>
        <v>84.170420000000007</v>
      </c>
      <c r="AD896" s="24">
        <v>250.01401000000001</v>
      </c>
      <c r="AE896">
        <v>446</v>
      </c>
      <c r="AF896" s="25">
        <v>89.296679999999995</v>
      </c>
      <c r="AG896" s="4">
        <f t="shared" si="51"/>
        <v>89.55816999999999</v>
      </c>
    </row>
    <row r="897" spans="23:33" x14ac:dyDescent="0.15">
      <c r="W897" s="22">
        <v>250.00801000000001</v>
      </c>
      <c r="X897">
        <v>446.5</v>
      </c>
      <c r="Y897" s="4">
        <v>78.704639999999998</v>
      </c>
      <c r="Z897" s="4">
        <f t="shared" si="50"/>
        <v>84.145470000000003</v>
      </c>
      <c r="AD897" s="24">
        <v>250.01510999999999</v>
      </c>
      <c r="AE897">
        <v>446.5</v>
      </c>
      <c r="AF897" s="19">
        <v>89.236350000000002</v>
      </c>
      <c r="AG897" s="4">
        <f t="shared" si="51"/>
        <v>89.497839999999997</v>
      </c>
    </row>
    <row r="898" spans="23:33" x14ac:dyDescent="0.15">
      <c r="W898" s="22">
        <v>250.00796</v>
      </c>
      <c r="X898">
        <v>447</v>
      </c>
      <c r="Y898" s="23">
        <v>78.698710000000005</v>
      </c>
      <c r="Z898" s="4">
        <f t="shared" si="50"/>
        <v>84.139540000000011</v>
      </c>
      <c r="AD898" s="24">
        <v>250.01048</v>
      </c>
      <c r="AE898">
        <v>447</v>
      </c>
      <c r="AF898" s="25">
        <v>89.183369999999996</v>
      </c>
      <c r="AG898" s="4">
        <f t="shared" si="51"/>
        <v>89.444859999999991</v>
      </c>
    </row>
    <row r="899" spans="23:33" x14ac:dyDescent="0.15">
      <c r="W899" s="22">
        <v>250.00599</v>
      </c>
      <c r="X899">
        <v>447.5</v>
      </c>
      <c r="Y899" s="4">
        <v>78.691310000000001</v>
      </c>
      <c r="Z899" s="4">
        <f t="shared" si="50"/>
        <v>84.132140000000007</v>
      </c>
      <c r="AD899" s="24">
        <v>250.00968</v>
      </c>
      <c r="AE899">
        <v>447.5</v>
      </c>
      <c r="AF899" s="19">
        <v>89.241020000000006</v>
      </c>
      <c r="AG899" s="4">
        <f t="shared" si="51"/>
        <v>89.502510000000001</v>
      </c>
    </row>
    <row r="900" spans="23:33" x14ac:dyDescent="0.15">
      <c r="W900" s="22">
        <v>250.00495000000001</v>
      </c>
      <c r="X900">
        <v>448</v>
      </c>
      <c r="Y900" s="23">
        <v>78.687269999999998</v>
      </c>
      <c r="Z900" s="4">
        <f t="shared" si="50"/>
        <v>84.128100000000003</v>
      </c>
      <c r="AD900" s="24">
        <v>250.01517999999999</v>
      </c>
      <c r="AE900">
        <v>448</v>
      </c>
      <c r="AF900" s="25">
        <v>89.167720000000003</v>
      </c>
      <c r="AG900" s="4">
        <f t="shared" si="51"/>
        <v>89.429209999999998</v>
      </c>
    </row>
    <row r="901" spans="23:33" x14ac:dyDescent="0.15">
      <c r="W901" s="22">
        <v>250.00198</v>
      </c>
      <c r="X901">
        <v>448.5</v>
      </c>
      <c r="Y901" s="4">
        <v>78.669970000000006</v>
      </c>
      <c r="Z901" s="4">
        <f t="shared" ref="Z901:Z964" si="52">100-($Y$4-Y901)</f>
        <v>84.110800000000012</v>
      </c>
      <c r="AD901" s="24">
        <v>250.01764</v>
      </c>
      <c r="AE901">
        <v>448.5</v>
      </c>
      <c r="AF901" s="19">
        <v>89.162840000000003</v>
      </c>
      <c r="AG901" s="4">
        <f t="shared" ref="AG901:AG964" si="53">100-($AF$4-AF901)</f>
        <v>89.424329999999998</v>
      </c>
    </row>
    <row r="902" spans="23:33" x14ac:dyDescent="0.15">
      <c r="W902" s="22">
        <v>250.00497999999999</v>
      </c>
      <c r="X902">
        <v>449</v>
      </c>
      <c r="Y902" s="23">
        <v>78.652670000000001</v>
      </c>
      <c r="Z902" s="4">
        <f t="shared" si="52"/>
        <v>84.093500000000006</v>
      </c>
      <c r="AD902" s="24">
        <v>250.01758000000001</v>
      </c>
      <c r="AE902">
        <v>449</v>
      </c>
      <c r="AF902" s="25">
        <v>89.148269999999997</v>
      </c>
      <c r="AG902" s="4">
        <f t="shared" si="53"/>
        <v>89.409759999999991</v>
      </c>
    </row>
    <row r="903" spans="23:33" x14ac:dyDescent="0.15">
      <c r="W903" s="22">
        <v>250.00703999999999</v>
      </c>
      <c r="X903">
        <v>449.5</v>
      </c>
      <c r="Y903" s="4">
        <v>78.652919999999995</v>
      </c>
      <c r="Z903" s="4">
        <f t="shared" si="52"/>
        <v>84.09375</v>
      </c>
      <c r="AD903" s="24">
        <v>250.01711</v>
      </c>
      <c r="AE903">
        <v>449.5</v>
      </c>
      <c r="AF903" s="19">
        <v>89.194739999999996</v>
      </c>
      <c r="AG903" s="4">
        <f t="shared" si="53"/>
        <v>89.456229999999991</v>
      </c>
    </row>
    <row r="904" spans="23:33" x14ac:dyDescent="0.15">
      <c r="W904" s="22">
        <v>250.00398999999999</v>
      </c>
      <c r="X904">
        <v>450</v>
      </c>
      <c r="Y904" s="23">
        <v>78.623840000000001</v>
      </c>
      <c r="Z904" s="4">
        <f t="shared" si="52"/>
        <v>84.064670000000007</v>
      </c>
      <c r="AD904" s="24">
        <v>250.0181</v>
      </c>
      <c r="AE904">
        <v>450</v>
      </c>
      <c r="AF904" s="25">
        <v>89.217070000000007</v>
      </c>
      <c r="AG904" s="4">
        <f t="shared" si="53"/>
        <v>89.478560000000002</v>
      </c>
    </row>
    <row r="905" spans="23:33" x14ac:dyDescent="0.15">
      <c r="W905" s="22">
        <v>250.00707</v>
      </c>
      <c r="X905">
        <v>450.5</v>
      </c>
      <c r="Y905" s="4">
        <v>78.629739999999998</v>
      </c>
      <c r="Z905" s="4">
        <f t="shared" si="52"/>
        <v>84.070570000000004</v>
      </c>
      <c r="AD905" s="24">
        <v>250.02087</v>
      </c>
      <c r="AE905">
        <v>450.5</v>
      </c>
      <c r="AF905" s="19">
        <v>89.226070000000007</v>
      </c>
      <c r="AG905" s="4">
        <f t="shared" si="53"/>
        <v>89.487560000000002</v>
      </c>
    </row>
    <row r="906" spans="23:33" x14ac:dyDescent="0.15">
      <c r="W906" s="22">
        <v>250.00995</v>
      </c>
      <c r="X906">
        <v>451</v>
      </c>
      <c r="Y906" s="23">
        <v>78.604749999999996</v>
      </c>
      <c r="Z906" s="4">
        <f t="shared" si="52"/>
        <v>84.045580000000001</v>
      </c>
      <c r="AD906" s="24">
        <v>250.02419</v>
      </c>
      <c r="AE906">
        <v>451</v>
      </c>
      <c r="AF906" s="25">
        <v>89.122649999999993</v>
      </c>
      <c r="AG906" s="4">
        <f t="shared" si="53"/>
        <v>89.384139999999988</v>
      </c>
    </row>
    <row r="907" spans="23:33" x14ac:dyDescent="0.15">
      <c r="W907" s="22">
        <v>250.01097999999999</v>
      </c>
      <c r="X907">
        <v>451.5</v>
      </c>
      <c r="Y907" s="4">
        <v>78.589420000000004</v>
      </c>
      <c r="Z907" s="4">
        <f t="shared" si="52"/>
        <v>84.030250000000009</v>
      </c>
      <c r="AD907" s="24">
        <v>250.02135999999999</v>
      </c>
      <c r="AE907">
        <v>451.5</v>
      </c>
      <c r="AF907" s="19">
        <v>89.178269999999998</v>
      </c>
      <c r="AG907" s="4">
        <f t="shared" si="53"/>
        <v>89.439759999999993</v>
      </c>
    </row>
    <row r="908" spans="23:33" x14ac:dyDescent="0.15">
      <c r="W908" s="22">
        <v>250.00700000000001</v>
      </c>
      <c r="X908">
        <v>452</v>
      </c>
      <c r="Y908" s="23">
        <v>78.58954</v>
      </c>
      <c r="Z908" s="4">
        <f t="shared" si="52"/>
        <v>84.030370000000005</v>
      </c>
      <c r="AD908" s="24">
        <v>250.01775000000001</v>
      </c>
      <c r="AE908">
        <v>452</v>
      </c>
      <c r="AF908" s="25">
        <v>89.151330000000002</v>
      </c>
      <c r="AG908" s="4">
        <f t="shared" si="53"/>
        <v>89.412819999999996</v>
      </c>
    </row>
    <row r="909" spans="23:33" x14ac:dyDescent="0.15">
      <c r="W909" s="22">
        <v>250.006</v>
      </c>
      <c r="X909">
        <v>452.5</v>
      </c>
      <c r="Y909" s="4">
        <v>78.587429999999998</v>
      </c>
      <c r="Z909" s="4">
        <f t="shared" si="52"/>
        <v>84.028260000000003</v>
      </c>
      <c r="AD909" s="24">
        <v>250.01826</v>
      </c>
      <c r="AE909">
        <v>452.5</v>
      </c>
      <c r="AF909" s="19">
        <v>89.104500000000002</v>
      </c>
      <c r="AG909" s="4">
        <f t="shared" si="53"/>
        <v>89.365989999999996</v>
      </c>
    </row>
    <row r="910" spans="23:33" x14ac:dyDescent="0.15">
      <c r="W910" s="22">
        <v>250.00801999999999</v>
      </c>
      <c r="X910">
        <v>453</v>
      </c>
      <c r="Y910" s="23">
        <v>78.575990000000004</v>
      </c>
      <c r="Z910" s="4">
        <f t="shared" si="52"/>
        <v>84.01682000000001</v>
      </c>
      <c r="AD910" s="24">
        <v>250.01499000000001</v>
      </c>
      <c r="AE910">
        <v>453</v>
      </c>
      <c r="AF910" s="25">
        <v>89.165400000000005</v>
      </c>
      <c r="AG910" s="4">
        <f t="shared" si="53"/>
        <v>89.42689</v>
      </c>
    </row>
    <row r="911" spans="23:33" x14ac:dyDescent="0.15">
      <c r="W911" s="22">
        <v>250.00796</v>
      </c>
      <c r="X911">
        <v>453.5</v>
      </c>
      <c r="Y911" s="4">
        <v>78.558890000000005</v>
      </c>
      <c r="Z911" s="4">
        <f t="shared" si="52"/>
        <v>83.999720000000011</v>
      </c>
      <c r="AD911" s="24">
        <v>250.01329999999999</v>
      </c>
      <c r="AE911">
        <v>453.5</v>
      </c>
      <c r="AF911" s="19">
        <v>89.066429999999997</v>
      </c>
      <c r="AG911" s="4">
        <f t="shared" si="53"/>
        <v>89.327919999999992</v>
      </c>
    </row>
    <row r="912" spans="23:33" x14ac:dyDescent="0.15">
      <c r="W912" s="22">
        <v>250.00397000000001</v>
      </c>
      <c r="X912">
        <v>454</v>
      </c>
      <c r="Y912" s="23">
        <v>78.547349999999994</v>
      </c>
      <c r="Z912" s="4">
        <f t="shared" si="52"/>
        <v>83.98818</v>
      </c>
      <c r="AD912" s="24">
        <v>250.01298</v>
      </c>
      <c r="AE912">
        <v>454</v>
      </c>
      <c r="AF912" s="25">
        <v>89.053100000000001</v>
      </c>
      <c r="AG912" s="4">
        <f t="shared" si="53"/>
        <v>89.314589999999995</v>
      </c>
    </row>
    <row r="913" spans="23:33" x14ac:dyDescent="0.15">
      <c r="W913" s="22">
        <v>250.00702999999999</v>
      </c>
      <c r="X913">
        <v>454.5</v>
      </c>
      <c r="Y913" s="4">
        <v>78.547319999999999</v>
      </c>
      <c r="Z913" s="4">
        <f t="shared" si="52"/>
        <v>83.988150000000005</v>
      </c>
      <c r="AD913" s="24">
        <v>250.01734999999999</v>
      </c>
      <c r="AE913">
        <v>454.5</v>
      </c>
      <c r="AF913" s="19">
        <v>89.038849999999996</v>
      </c>
      <c r="AG913" s="4">
        <f t="shared" si="53"/>
        <v>89.300339999999991</v>
      </c>
    </row>
    <row r="914" spans="23:33" x14ac:dyDescent="0.15">
      <c r="W914" s="22">
        <v>250.00603000000001</v>
      </c>
      <c r="X914">
        <v>455</v>
      </c>
      <c r="Y914" s="23">
        <v>78.530270000000002</v>
      </c>
      <c r="Z914" s="4">
        <f t="shared" si="52"/>
        <v>83.971100000000007</v>
      </c>
      <c r="AD914" s="24">
        <v>250.018</v>
      </c>
      <c r="AE914">
        <v>455</v>
      </c>
      <c r="AF914" s="25">
        <v>89.095910000000003</v>
      </c>
      <c r="AG914" s="4">
        <f t="shared" si="53"/>
        <v>89.357399999999998</v>
      </c>
    </row>
    <row r="915" spans="23:33" x14ac:dyDescent="0.15">
      <c r="W915" s="22">
        <v>250.00595999999999</v>
      </c>
      <c r="X915">
        <v>455.5</v>
      </c>
      <c r="Y915" s="4">
        <v>78.50694</v>
      </c>
      <c r="Z915" s="4">
        <f t="shared" si="52"/>
        <v>83.947770000000006</v>
      </c>
      <c r="AD915" s="24">
        <v>250.01866000000001</v>
      </c>
      <c r="AE915">
        <v>455.5</v>
      </c>
      <c r="AF915" s="19">
        <v>89.107680000000002</v>
      </c>
      <c r="AG915" s="4">
        <f t="shared" si="53"/>
        <v>89.369169999999997</v>
      </c>
    </row>
    <row r="916" spans="23:33" x14ac:dyDescent="0.15">
      <c r="W916" s="22">
        <v>250.00792999999999</v>
      </c>
      <c r="X916">
        <v>456</v>
      </c>
      <c r="Y916" s="23">
        <v>78.51482</v>
      </c>
      <c r="Z916" s="4">
        <f t="shared" si="52"/>
        <v>83.955650000000006</v>
      </c>
      <c r="AD916" s="24">
        <v>250.01794000000001</v>
      </c>
      <c r="AE916">
        <v>456</v>
      </c>
      <c r="AF916" s="25">
        <v>89.022229999999993</v>
      </c>
      <c r="AG916" s="4">
        <f t="shared" si="53"/>
        <v>89.283719999999988</v>
      </c>
    </row>
    <row r="917" spans="23:33" x14ac:dyDescent="0.15">
      <c r="W917" s="22">
        <v>250.00503</v>
      </c>
      <c r="X917">
        <v>456.5</v>
      </c>
      <c r="Y917" s="4">
        <v>78.493510000000001</v>
      </c>
      <c r="Z917" s="4">
        <f t="shared" si="52"/>
        <v>83.934340000000006</v>
      </c>
      <c r="AD917" s="24">
        <v>250.01573999999999</v>
      </c>
      <c r="AE917">
        <v>456.5</v>
      </c>
      <c r="AF917" s="19">
        <v>89.098519999999994</v>
      </c>
      <c r="AG917" s="4">
        <f t="shared" si="53"/>
        <v>89.360009999999988</v>
      </c>
    </row>
    <row r="918" spans="23:33" x14ac:dyDescent="0.15">
      <c r="W918" s="22">
        <v>250.00794999999999</v>
      </c>
      <c r="X918">
        <v>457</v>
      </c>
      <c r="Y918" s="23">
        <v>78.501239999999996</v>
      </c>
      <c r="Z918" s="4">
        <f t="shared" si="52"/>
        <v>83.942070000000001</v>
      </c>
      <c r="AD918" s="24">
        <v>250.01488000000001</v>
      </c>
      <c r="AE918">
        <v>457</v>
      </c>
      <c r="AF918" s="25">
        <v>89.033600000000007</v>
      </c>
      <c r="AG918" s="4">
        <f t="shared" si="53"/>
        <v>89.295090000000002</v>
      </c>
    </row>
    <row r="919" spans="23:33" x14ac:dyDescent="0.15">
      <c r="W919" s="22">
        <v>250.00799000000001</v>
      </c>
      <c r="X919">
        <v>457.5</v>
      </c>
      <c r="Y919" s="4">
        <v>78.489779999999996</v>
      </c>
      <c r="Z919" s="4">
        <f t="shared" si="52"/>
        <v>83.930610000000001</v>
      </c>
      <c r="AD919" s="24">
        <v>250.01387</v>
      </c>
      <c r="AE919">
        <v>457.5</v>
      </c>
      <c r="AF919" s="19">
        <v>89.07544</v>
      </c>
      <c r="AG919" s="4">
        <f t="shared" si="53"/>
        <v>89.336929999999995</v>
      </c>
    </row>
    <row r="920" spans="23:33" x14ac:dyDescent="0.15">
      <c r="W920" s="22">
        <v>250.00306</v>
      </c>
      <c r="X920">
        <v>458</v>
      </c>
      <c r="Y920" s="23">
        <v>78.470619999999997</v>
      </c>
      <c r="Z920" s="4">
        <f t="shared" si="52"/>
        <v>83.911450000000002</v>
      </c>
      <c r="AD920" s="24">
        <v>250.01643000000001</v>
      </c>
      <c r="AE920">
        <v>458</v>
      </c>
      <c r="AF920" s="25">
        <v>88.926109999999994</v>
      </c>
      <c r="AG920" s="4">
        <f t="shared" si="53"/>
        <v>89.187599999999989</v>
      </c>
    </row>
    <row r="921" spans="23:33" x14ac:dyDescent="0.15">
      <c r="W921" s="22">
        <v>250.00700000000001</v>
      </c>
      <c r="X921">
        <v>458.5</v>
      </c>
      <c r="Y921" s="4">
        <v>78.453590000000005</v>
      </c>
      <c r="Z921" s="4">
        <f t="shared" si="52"/>
        <v>83.894420000000011</v>
      </c>
      <c r="AD921" s="24">
        <v>250.02108999999999</v>
      </c>
      <c r="AE921">
        <v>458.5</v>
      </c>
      <c r="AF921" s="19">
        <v>89.03931</v>
      </c>
      <c r="AG921" s="4">
        <f t="shared" si="53"/>
        <v>89.300799999999995</v>
      </c>
    </row>
    <row r="922" spans="23:33" x14ac:dyDescent="0.15">
      <c r="W922" s="22">
        <v>250.00602000000001</v>
      </c>
      <c r="X922">
        <v>459</v>
      </c>
      <c r="Y922" s="23">
        <v>78.460980000000006</v>
      </c>
      <c r="Z922" s="4">
        <f t="shared" si="52"/>
        <v>83.901810000000012</v>
      </c>
      <c r="AD922" s="24">
        <v>250.02253999999999</v>
      </c>
      <c r="AE922">
        <v>459</v>
      </c>
      <c r="AF922" s="25">
        <v>88.916179999999997</v>
      </c>
      <c r="AG922" s="4">
        <f t="shared" si="53"/>
        <v>89.177669999999992</v>
      </c>
    </row>
    <row r="923" spans="23:33" x14ac:dyDescent="0.15">
      <c r="W923" s="22">
        <v>250.00595000000001</v>
      </c>
      <c r="X923">
        <v>459.5</v>
      </c>
      <c r="Y923" s="4">
        <v>78.430350000000004</v>
      </c>
      <c r="Z923" s="4">
        <f t="shared" si="52"/>
        <v>83.87118000000001</v>
      </c>
      <c r="AD923" s="24">
        <v>250.02016</v>
      </c>
      <c r="AE923">
        <v>459.5</v>
      </c>
      <c r="AF923" s="19">
        <v>89.011750000000006</v>
      </c>
      <c r="AG923" s="4">
        <f t="shared" si="53"/>
        <v>89.273240000000001</v>
      </c>
    </row>
    <row r="924" spans="23:33" x14ac:dyDescent="0.15">
      <c r="W924" s="22">
        <v>250.00400999999999</v>
      </c>
      <c r="X924">
        <v>460</v>
      </c>
      <c r="Y924" s="23">
        <v>78.432100000000005</v>
      </c>
      <c r="Z924" s="4">
        <f t="shared" si="52"/>
        <v>83.872930000000011</v>
      </c>
      <c r="AD924" s="24">
        <v>250.01548</v>
      </c>
      <c r="AE924">
        <v>460</v>
      </c>
      <c r="AF924" s="25">
        <v>89.094660000000005</v>
      </c>
      <c r="AG924" s="4">
        <f t="shared" si="53"/>
        <v>89.35615</v>
      </c>
    </row>
    <row r="925" spans="23:33" x14ac:dyDescent="0.15">
      <c r="W925" s="22">
        <v>250.00200000000001</v>
      </c>
      <c r="X925">
        <v>460.5</v>
      </c>
      <c r="Y925" s="4">
        <v>78.405529999999999</v>
      </c>
      <c r="Z925" s="4">
        <f t="shared" si="52"/>
        <v>83.846360000000004</v>
      </c>
      <c r="AD925" s="24">
        <v>250.01603</v>
      </c>
      <c r="AE925">
        <v>460.5</v>
      </c>
      <c r="AF925" s="19">
        <v>89.044550000000001</v>
      </c>
      <c r="AG925" s="4">
        <f t="shared" si="53"/>
        <v>89.306039999999996</v>
      </c>
    </row>
    <row r="926" spans="23:33" x14ac:dyDescent="0.15">
      <c r="W926" s="22">
        <v>250.00396000000001</v>
      </c>
      <c r="X926">
        <v>461</v>
      </c>
      <c r="Y926" s="23">
        <v>78.403559999999999</v>
      </c>
      <c r="Z926" s="4">
        <f t="shared" si="52"/>
        <v>83.844390000000004</v>
      </c>
      <c r="AD926" s="24">
        <v>250.01965999999999</v>
      </c>
      <c r="AE926">
        <v>461</v>
      </c>
      <c r="AF926" s="25">
        <v>88.862470000000002</v>
      </c>
      <c r="AG926" s="4">
        <f t="shared" si="53"/>
        <v>89.123959999999997</v>
      </c>
    </row>
    <row r="927" spans="23:33" x14ac:dyDescent="0.15">
      <c r="W927" s="22">
        <v>250.00399999999999</v>
      </c>
      <c r="X927">
        <v>461.5</v>
      </c>
      <c r="Y927" s="4">
        <v>78.390119999999996</v>
      </c>
      <c r="Z927" s="4">
        <f t="shared" si="52"/>
        <v>83.830950000000001</v>
      </c>
      <c r="AD927" s="24">
        <v>250.01998</v>
      </c>
      <c r="AE927">
        <v>461.5</v>
      </c>
      <c r="AF927" s="19">
        <v>89.011170000000007</v>
      </c>
      <c r="AG927" s="4">
        <f t="shared" si="53"/>
        <v>89.272660000000002</v>
      </c>
    </row>
    <row r="928" spans="23:33" x14ac:dyDescent="0.15">
      <c r="W928" s="22">
        <v>250.00701000000001</v>
      </c>
      <c r="X928">
        <v>462</v>
      </c>
      <c r="Y928" s="23">
        <v>78.395769999999999</v>
      </c>
      <c r="Z928" s="4">
        <f t="shared" si="52"/>
        <v>83.836600000000004</v>
      </c>
      <c r="AD928" s="24">
        <v>250.01971</v>
      </c>
      <c r="AE928">
        <v>462</v>
      </c>
      <c r="AF928" s="25">
        <v>88.978999999999999</v>
      </c>
      <c r="AG928" s="4">
        <f t="shared" si="53"/>
        <v>89.240489999999994</v>
      </c>
    </row>
    <row r="929" spans="23:33" x14ac:dyDescent="0.15">
      <c r="W929" s="22">
        <v>250.00701000000001</v>
      </c>
      <c r="X929">
        <v>462.5</v>
      </c>
      <c r="Y929" s="4">
        <v>78.390249999999995</v>
      </c>
      <c r="Z929" s="4">
        <f t="shared" si="52"/>
        <v>83.83108</v>
      </c>
      <c r="AD929" s="24">
        <v>250.01705000000001</v>
      </c>
      <c r="AE929">
        <v>462.5</v>
      </c>
      <c r="AF929" s="19">
        <v>89.026600000000002</v>
      </c>
      <c r="AG929" s="4">
        <f t="shared" si="53"/>
        <v>89.288089999999997</v>
      </c>
    </row>
    <row r="930" spans="23:33" x14ac:dyDescent="0.15">
      <c r="W930" s="22">
        <v>250.00404</v>
      </c>
      <c r="X930">
        <v>463</v>
      </c>
      <c r="Y930" s="23">
        <v>78.378489999999999</v>
      </c>
      <c r="Z930" s="4">
        <f t="shared" si="52"/>
        <v>83.819320000000005</v>
      </c>
      <c r="AD930" s="24">
        <v>250.01411999999999</v>
      </c>
      <c r="AE930">
        <v>463</v>
      </c>
      <c r="AF930" s="25">
        <v>88.997079999999997</v>
      </c>
      <c r="AG930" s="4">
        <f t="shared" si="53"/>
        <v>89.258569999999992</v>
      </c>
    </row>
    <row r="931" spans="23:33" x14ac:dyDescent="0.15">
      <c r="W931" s="22">
        <v>250.00297</v>
      </c>
      <c r="X931">
        <v>463.5</v>
      </c>
      <c r="Y931" s="4">
        <v>78.365229999999997</v>
      </c>
      <c r="Z931" s="4">
        <f t="shared" si="52"/>
        <v>83.806060000000002</v>
      </c>
      <c r="AD931" s="24">
        <v>250.01361</v>
      </c>
      <c r="AE931">
        <v>463.5</v>
      </c>
      <c r="AF931" s="19">
        <v>88.900700000000001</v>
      </c>
      <c r="AG931" s="4">
        <f t="shared" si="53"/>
        <v>89.162189999999995</v>
      </c>
    </row>
    <row r="932" spans="23:33" x14ac:dyDescent="0.15">
      <c r="W932" s="22">
        <v>250.00594000000001</v>
      </c>
      <c r="X932">
        <v>464</v>
      </c>
      <c r="Y932" s="23">
        <v>78.357399999999998</v>
      </c>
      <c r="Z932" s="4">
        <f t="shared" si="52"/>
        <v>83.798230000000004</v>
      </c>
      <c r="AD932" s="24">
        <v>250.01525000000001</v>
      </c>
      <c r="AE932">
        <v>464</v>
      </c>
      <c r="AF932" s="25">
        <v>88.959689999999995</v>
      </c>
      <c r="AG932" s="4">
        <f t="shared" si="53"/>
        <v>89.22117999999999</v>
      </c>
    </row>
    <row r="933" spans="23:33" x14ac:dyDescent="0.15">
      <c r="W933" s="22">
        <v>250.00699</v>
      </c>
      <c r="X933">
        <v>464.5</v>
      </c>
      <c r="Y933" s="4">
        <v>78.351699999999994</v>
      </c>
      <c r="Z933" s="4">
        <f t="shared" si="52"/>
        <v>83.792529999999999</v>
      </c>
      <c r="AD933" s="24">
        <v>250.01859999999999</v>
      </c>
      <c r="AE933">
        <v>464.5</v>
      </c>
      <c r="AF933" s="19">
        <v>89.028599999999997</v>
      </c>
      <c r="AG933" s="4">
        <f t="shared" si="53"/>
        <v>89.290089999999992</v>
      </c>
    </row>
    <row r="934" spans="23:33" x14ac:dyDescent="0.15">
      <c r="W934" s="22">
        <v>250.00397000000001</v>
      </c>
      <c r="X934">
        <v>465</v>
      </c>
      <c r="Y934" s="23">
        <v>78.338099999999997</v>
      </c>
      <c r="Z934" s="4">
        <f t="shared" si="52"/>
        <v>83.778930000000003</v>
      </c>
      <c r="AD934" s="24">
        <v>250.01765</v>
      </c>
      <c r="AE934">
        <v>465</v>
      </c>
      <c r="AF934" s="25">
        <v>89.031959999999998</v>
      </c>
      <c r="AG934" s="4">
        <f t="shared" si="53"/>
        <v>89.293449999999993</v>
      </c>
    </row>
    <row r="935" spans="23:33" x14ac:dyDescent="0.15">
      <c r="W935" s="22">
        <v>250.00199000000001</v>
      </c>
      <c r="X935">
        <v>465.5</v>
      </c>
      <c r="Y935" s="4">
        <v>78.322810000000004</v>
      </c>
      <c r="Z935" s="4">
        <f t="shared" si="52"/>
        <v>83.763640000000009</v>
      </c>
      <c r="AD935" s="24">
        <v>250.01755</v>
      </c>
      <c r="AE935">
        <v>465.5</v>
      </c>
      <c r="AF935" s="19">
        <v>88.952280000000002</v>
      </c>
      <c r="AG935" s="4">
        <f t="shared" si="53"/>
        <v>89.213769999999997</v>
      </c>
    </row>
    <row r="936" spans="23:33" x14ac:dyDescent="0.15">
      <c r="W936" s="22">
        <v>250.00703999999999</v>
      </c>
      <c r="X936">
        <v>466</v>
      </c>
      <c r="Y936" s="23">
        <v>78.3095</v>
      </c>
      <c r="Z936" s="4">
        <f t="shared" si="52"/>
        <v>83.750330000000005</v>
      </c>
      <c r="AD936" s="24">
        <v>250.01589000000001</v>
      </c>
      <c r="AE936">
        <v>466</v>
      </c>
      <c r="AF936" s="25">
        <v>88.853189999999998</v>
      </c>
      <c r="AG936" s="4">
        <f t="shared" si="53"/>
        <v>89.114679999999993</v>
      </c>
    </row>
    <row r="937" spans="23:33" x14ac:dyDescent="0.15">
      <c r="W937" s="22">
        <v>250.00505000000001</v>
      </c>
      <c r="X937">
        <v>466.5</v>
      </c>
      <c r="Y937" s="4">
        <v>78.298119999999997</v>
      </c>
      <c r="Z937" s="4">
        <f t="shared" si="52"/>
        <v>83.738950000000003</v>
      </c>
      <c r="AD937" s="24">
        <v>250.01624000000001</v>
      </c>
      <c r="AE937">
        <v>466.5</v>
      </c>
      <c r="AF937" s="19">
        <v>88.898039999999995</v>
      </c>
      <c r="AG937" s="4">
        <f t="shared" si="53"/>
        <v>89.15952999999999</v>
      </c>
    </row>
    <row r="938" spans="23:33" x14ac:dyDescent="0.15">
      <c r="W938" s="22">
        <v>250.00601</v>
      </c>
      <c r="X938">
        <v>467</v>
      </c>
      <c r="Y938" s="23">
        <v>78.282780000000002</v>
      </c>
      <c r="Z938" s="4">
        <f t="shared" si="52"/>
        <v>83.723610000000008</v>
      </c>
      <c r="AD938" s="24">
        <v>250.02078</v>
      </c>
      <c r="AE938">
        <v>467</v>
      </c>
      <c r="AF938" s="25">
        <v>88.787409999999994</v>
      </c>
      <c r="AG938" s="4">
        <f t="shared" si="53"/>
        <v>89.048899999999989</v>
      </c>
    </row>
    <row r="939" spans="23:33" x14ac:dyDescent="0.15">
      <c r="W939" s="22">
        <v>250.00595999999999</v>
      </c>
      <c r="X939">
        <v>467.5</v>
      </c>
      <c r="Y939" s="4">
        <v>78.261499999999998</v>
      </c>
      <c r="Z939" s="4">
        <f t="shared" si="52"/>
        <v>83.702330000000003</v>
      </c>
      <c r="AD939" s="24">
        <v>250.01866999999999</v>
      </c>
      <c r="AE939">
        <v>467.5</v>
      </c>
      <c r="AF939" s="19">
        <v>88.809200000000004</v>
      </c>
      <c r="AG939" s="4">
        <f t="shared" si="53"/>
        <v>89.070689999999999</v>
      </c>
    </row>
    <row r="940" spans="23:33" x14ac:dyDescent="0.15">
      <c r="W940" s="22">
        <v>250.00998000000001</v>
      </c>
      <c r="X940">
        <v>468</v>
      </c>
      <c r="Y940" s="23">
        <v>78.269490000000005</v>
      </c>
      <c r="Z940" s="4">
        <f t="shared" si="52"/>
        <v>83.71032000000001</v>
      </c>
      <c r="AD940" s="24">
        <v>250.01884999999999</v>
      </c>
      <c r="AE940">
        <v>468</v>
      </c>
      <c r="AF940" s="25">
        <v>88.758660000000006</v>
      </c>
      <c r="AG940" s="4">
        <f t="shared" si="53"/>
        <v>89.020150000000001</v>
      </c>
    </row>
    <row r="941" spans="23:33" x14ac:dyDescent="0.15">
      <c r="W941" s="22">
        <v>250.00702999999999</v>
      </c>
      <c r="X941">
        <v>468.5</v>
      </c>
      <c r="Y941" s="4">
        <v>78.24812</v>
      </c>
      <c r="Z941" s="4">
        <f t="shared" si="52"/>
        <v>83.688950000000006</v>
      </c>
      <c r="AD941" s="24">
        <v>250.01872</v>
      </c>
      <c r="AE941">
        <v>468.5</v>
      </c>
      <c r="AF941" s="19">
        <v>88.7714</v>
      </c>
      <c r="AG941" s="4">
        <f t="shared" si="53"/>
        <v>89.032889999999995</v>
      </c>
    </row>
    <row r="942" spans="23:33" x14ac:dyDescent="0.15">
      <c r="W942" s="22">
        <v>250.00799000000001</v>
      </c>
      <c r="X942">
        <v>469</v>
      </c>
      <c r="Y942" s="23">
        <v>78.254159999999999</v>
      </c>
      <c r="Z942" s="4">
        <f t="shared" si="52"/>
        <v>83.694990000000004</v>
      </c>
      <c r="AD942" s="24">
        <v>250.01751999999999</v>
      </c>
      <c r="AE942">
        <v>469</v>
      </c>
      <c r="AF942" s="25">
        <v>88.812730000000002</v>
      </c>
      <c r="AG942" s="4">
        <f t="shared" si="53"/>
        <v>89.074219999999997</v>
      </c>
    </row>
    <row r="943" spans="23:33" x14ac:dyDescent="0.15">
      <c r="W943" s="22">
        <v>250.00299000000001</v>
      </c>
      <c r="X943">
        <v>469.5</v>
      </c>
      <c r="Y943" s="4">
        <v>78.228899999999996</v>
      </c>
      <c r="Z943" s="4">
        <f t="shared" si="52"/>
        <v>83.669730000000001</v>
      </c>
      <c r="AD943" s="24">
        <v>250.01646</v>
      </c>
      <c r="AE943">
        <v>469.5</v>
      </c>
      <c r="AF943" s="19">
        <v>88.686130000000006</v>
      </c>
      <c r="AG943" s="4">
        <f t="shared" si="53"/>
        <v>88.947620000000001</v>
      </c>
    </row>
    <row r="944" spans="23:33" x14ac:dyDescent="0.15">
      <c r="W944" s="22">
        <v>250.00199000000001</v>
      </c>
      <c r="X944">
        <v>470</v>
      </c>
      <c r="Y944" s="23">
        <v>78.225099999999998</v>
      </c>
      <c r="Z944" s="4">
        <f t="shared" si="52"/>
        <v>83.665930000000003</v>
      </c>
      <c r="AD944" s="24">
        <v>250.01804000000001</v>
      </c>
      <c r="AE944">
        <v>470</v>
      </c>
      <c r="AF944" s="25">
        <v>88.829710000000006</v>
      </c>
      <c r="AG944" s="4">
        <f t="shared" si="53"/>
        <v>89.091200000000001</v>
      </c>
    </row>
    <row r="945" spans="23:33" x14ac:dyDescent="0.15">
      <c r="W945" s="22">
        <v>250.001</v>
      </c>
      <c r="X945">
        <v>470.5</v>
      </c>
      <c r="Y945" s="4">
        <v>78.196309999999997</v>
      </c>
      <c r="Z945" s="4">
        <f t="shared" si="52"/>
        <v>83.637140000000002</v>
      </c>
      <c r="AD945" s="24">
        <v>250.01773</v>
      </c>
      <c r="AE945">
        <v>470.5</v>
      </c>
      <c r="AF945" s="19">
        <v>88.737210000000005</v>
      </c>
      <c r="AG945" s="4">
        <f t="shared" si="53"/>
        <v>88.998699999999999</v>
      </c>
    </row>
    <row r="946" spans="23:33" x14ac:dyDescent="0.15">
      <c r="W946" s="22">
        <v>250.00394</v>
      </c>
      <c r="X946">
        <v>471</v>
      </c>
      <c r="Y946" s="23">
        <v>78.175229999999999</v>
      </c>
      <c r="Z946" s="4">
        <f t="shared" si="52"/>
        <v>83.616060000000004</v>
      </c>
      <c r="AD946" s="24">
        <v>250.02249</v>
      </c>
      <c r="AE946">
        <v>471</v>
      </c>
      <c r="AF946" s="25">
        <v>88.791020000000003</v>
      </c>
      <c r="AG946" s="4">
        <f t="shared" si="53"/>
        <v>89.052509999999998</v>
      </c>
    </row>
    <row r="947" spans="23:33" x14ac:dyDescent="0.15">
      <c r="W947" s="22">
        <v>250.00399999999999</v>
      </c>
      <c r="X947">
        <v>471.5</v>
      </c>
      <c r="Y947" s="4">
        <v>78.194460000000007</v>
      </c>
      <c r="Z947" s="4">
        <f t="shared" si="52"/>
        <v>83.635290000000012</v>
      </c>
      <c r="AD947" s="24">
        <v>250.02253999999999</v>
      </c>
      <c r="AE947">
        <v>471.5</v>
      </c>
      <c r="AF947" s="19">
        <v>88.8506</v>
      </c>
      <c r="AG947" s="4">
        <f t="shared" si="53"/>
        <v>89.112089999999995</v>
      </c>
    </row>
    <row r="948" spans="23:33" x14ac:dyDescent="0.15">
      <c r="W948" s="22">
        <v>250.00599</v>
      </c>
      <c r="X948">
        <v>472</v>
      </c>
      <c r="Y948" s="23">
        <v>78.205789999999993</v>
      </c>
      <c r="Z948" s="4">
        <f t="shared" si="52"/>
        <v>83.646619999999999</v>
      </c>
      <c r="AD948" s="24">
        <v>250.02200999999999</v>
      </c>
      <c r="AE948">
        <v>472</v>
      </c>
      <c r="AF948" s="25">
        <v>88.758120000000005</v>
      </c>
      <c r="AG948" s="4">
        <f t="shared" si="53"/>
        <v>89.01961</v>
      </c>
    </row>
    <row r="949" spans="23:33" x14ac:dyDescent="0.15">
      <c r="W949" s="22">
        <v>250.00597999999999</v>
      </c>
      <c r="X949">
        <v>472.5</v>
      </c>
      <c r="Y949" s="4">
        <v>78.169600000000003</v>
      </c>
      <c r="Z949" s="4">
        <f t="shared" si="52"/>
        <v>83.610430000000008</v>
      </c>
      <c r="AD949" s="24">
        <v>250.02499</v>
      </c>
      <c r="AE949">
        <v>472.5</v>
      </c>
      <c r="AF949" s="19">
        <v>88.654200000000003</v>
      </c>
      <c r="AG949" s="4">
        <f t="shared" si="53"/>
        <v>88.915689999999998</v>
      </c>
    </row>
    <row r="950" spans="23:33" x14ac:dyDescent="0.15">
      <c r="W950" s="22">
        <v>250.00697</v>
      </c>
      <c r="X950">
        <v>473</v>
      </c>
      <c r="Y950" s="23">
        <v>78.154250000000005</v>
      </c>
      <c r="Z950" s="4">
        <f t="shared" si="52"/>
        <v>83.59508000000001</v>
      </c>
      <c r="AD950" s="24">
        <v>250.02447000000001</v>
      </c>
      <c r="AE950">
        <v>473</v>
      </c>
      <c r="AF950" s="25">
        <v>88.800389999999993</v>
      </c>
      <c r="AG950" s="4">
        <f t="shared" si="53"/>
        <v>89.061879999999988</v>
      </c>
    </row>
    <row r="951" spans="23:33" x14ac:dyDescent="0.15">
      <c r="W951" s="22">
        <v>250.00596999999999</v>
      </c>
      <c r="X951">
        <v>473.5</v>
      </c>
      <c r="Y951" s="4">
        <v>78.159970000000001</v>
      </c>
      <c r="Z951" s="4">
        <f t="shared" si="52"/>
        <v>83.600800000000007</v>
      </c>
      <c r="AD951" s="24">
        <v>250.02139</v>
      </c>
      <c r="AE951">
        <v>473.5</v>
      </c>
      <c r="AF951" s="19">
        <v>88.679280000000006</v>
      </c>
      <c r="AG951" s="4">
        <f t="shared" si="53"/>
        <v>88.940770000000001</v>
      </c>
    </row>
    <row r="952" spans="23:33" x14ac:dyDescent="0.15">
      <c r="W952" s="22">
        <v>250.012</v>
      </c>
      <c r="X952">
        <v>474</v>
      </c>
      <c r="Y952" s="23">
        <v>78.159970000000001</v>
      </c>
      <c r="Z952" s="4">
        <f t="shared" si="52"/>
        <v>83.600800000000007</v>
      </c>
      <c r="AD952" s="24">
        <v>250.02080000000001</v>
      </c>
      <c r="AE952">
        <v>474</v>
      </c>
      <c r="AF952" s="25">
        <v>88.637090000000001</v>
      </c>
      <c r="AG952" s="4">
        <f t="shared" si="53"/>
        <v>88.898579999999995</v>
      </c>
    </row>
    <row r="953" spans="23:33" x14ac:dyDescent="0.15">
      <c r="W953" s="22">
        <v>250.00798</v>
      </c>
      <c r="X953">
        <v>474.5</v>
      </c>
      <c r="Y953" s="4">
        <v>78.158019999999993</v>
      </c>
      <c r="Z953" s="4">
        <f t="shared" si="52"/>
        <v>83.598849999999999</v>
      </c>
      <c r="AD953" s="24">
        <v>250.02332999999999</v>
      </c>
      <c r="AE953">
        <v>474.5</v>
      </c>
      <c r="AF953" s="19">
        <v>88.615790000000004</v>
      </c>
      <c r="AG953" s="4">
        <f t="shared" si="53"/>
        <v>88.877279999999999</v>
      </c>
    </row>
    <row r="954" spans="23:33" x14ac:dyDescent="0.15">
      <c r="W954" s="22">
        <v>250.00496999999999</v>
      </c>
      <c r="X954">
        <v>475</v>
      </c>
      <c r="Y954" s="23">
        <v>78.125360000000001</v>
      </c>
      <c r="Z954" s="4">
        <f t="shared" si="52"/>
        <v>83.566190000000006</v>
      </c>
      <c r="AD954" s="24">
        <v>250.02318</v>
      </c>
      <c r="AE954">
        <v>475</v>
      </c>
      <c r="AF954" s="25">
        <v>88.792689999999993</v>
      </c>
      <c r="AG954" s="4">
        <f t="shared" si="53"/>
        <v>89.054179999999988</v>
      </c>
    </row>
    <row r="955" spans="23:33" x14ac:dyDescent="0.15">
      <c r="W955" s="22">
        <v>250.00695999999999</v>
      </c>
      <c r="X955">
        <v>475.5</v>
      </c>
      <c r="Y955" s="4">
        <v>78.138890000000004</v>
      </c>
      <c r="Z955" s="4">
        <f t="shared" si="52"/>
        <v>83.579720000000009</v>
      </c>
      <c r="AD955" s="24">
        <v>250.02369999999999</v>
      </c>
      <c r="AE955">
        <v>475.5</v>
      </c>
      <c r="AF955" s="19">
        <v>88.661109999999994</v>
      </c>
      <c r="AG955" s="4">
        <f t="shared" si="53"/>
        <v>88.922599999999989</v>
      </c>
    </row>
    <row r="956" spans="23:33" x14ac:dyDescent="0.15">
      <c r="W956" s="22">
        <v>250.00706</v>
      </c>
      <c r="X956">
        <v>476</v>
      </c>
      <c r="Y956" s="23">
        <v>78.140910000000005</v>
      </c>
      <c r="Z956" s="4">
        <f t="shared" si="52"/>
        <v>83.581740000000011</v>
      </c>
      <c r="AD956" s="24">
        <v>250.02247</v>
      </c>
      <c r="AE956">
        <v>476</v>
      </c>
      <c r="AF956" s="25">
        <v>88.682879999999997</v>
      </c>
      <c r="AG956" s="4">
        <f t="shared" si="53"/>
        <v>88.944369999999992</v>
      </c>
    </row>
    <row r="957" spans="23:33" x14ac:dyDescent="0.15">
      <c r="W957" s="22">
        <v>250.00299000000001</v>
      </c>
      <c r="X957">
        <v>476.5</v>
      </c>
      <c r="Y957" s="4">
        <v>78.090980000000002</v>
      </c>
      <c r="Z957" s="4">
        <f t="shared" si="52"/>
        <v>83.531810000000007</v>
      </c>
      <c r="AD957" s="24">
        <v>250.01837</v>
      </c>
      <c r="AE957">
        <v>476.5</v>
      </c>
      <c r="AF957" s="19">
        <v>88.641210000000001</v>
      </c>
      <c r="AG957" s="4">
        <f t="shared" si="53"/>
        <v>88.902699999999996</v>
      </c>
    </row>
    <row r="958" spans="23:33" x14ac:dyDescent="0.15">
      <c r="W958" s="22">
        <v>250.00404</v>
      </c>
      <c r="X958">
        <v>477</v>
      </c>
      <c r="Y958" s="23">
        <v>78.077600000000004</v>
      </c>
      <c r="Z958" s="4">
        <f t="shared" si="52"/>
        <v>83.518430000000009</v>
      </c>
      <c r="AD958" s="24">
        <v>250.01706999999999</v>
      </c>
      <c r="AE958">
        <v>477</v>
      </c>
      <c r="AF958" s="25">
        <v>88.637280000000004</v>
      </c>
      <c r="AG958" s="4">
        <f t="shared" si="53"/>
        <v>88.898769999999999</v>
      </c>
    </row>
    <row r="959" spans="23:33" x14ac:dyDescent="0.15">
      <c r="W959" s="22">
        <v>250.001</v>
      </c>
      <c r="X959">
        <v>477.5</v>
      </c>
      <c r="Y959" s="4">
        <v>78.102490000000003</v>
      </c>
      <c r="Z959" s="4">
        <f t="shared" si="52"/>
        <v>83.543320000000008</v>
      </c>
      <c r="AD959" s="24">
        <v>250.01527999999999</v>
      </c>
      <c r="AE959">
        <v>477.5</v>
      </c>
      <c r="AF959" s="19">
        <v>88.575689999999994</v>
      </c>
      <c r="AG959" s="4">
        <f t="shared" si="53"/>
        <v>88.837179999999989</v>
      </c>
    </row>
    <row r="960" spans="23:33" x14ac:dyDescent="0.15">
      <c r="W960" s="22">
        <v>250.00398999999999</v>
      </c>
      <c r="X960">
        <v>478</v>
      </c>
      <c r="Y960" s="23">
        <v>78.073710000000005</v>
      </c>
      <c r="Z960" s="4">
        <f t="shared" si="52"/>
        <v>83.514540000000011</v>
      </c>
      <c r="AD960" s="24">
        <v>250.01515000000001</v>
      </c>
      <c r="AE960">
        <v>478</v>
      </c>
      <c r="AF960" s="25">
        <v>88.586920000000006</v>
      </c>
      <c r="AG960" s="4">
        <f t="shared" si="53"/>
        <v>88.848410000000001</v>
      </c>
    </row>
    <row r="961" spans="23:33" x14ac:dyDescent="0.15">
      <c r="W961" s="22">
        <v>250.00799000000001</v>
      </c>
      <c r="X961">
        <v>478.5</v>
      </c>
      <c r="Y961" s="4">
        <v>78.066159999999996</v>
      </c>
      <c r="Z961" s="4">
        <f t="shared" si="52"/>
        <v>83.506990000000002</v>
      </c>
      <c r="AD961" s="24">
        <v>250.01118</v>
      </c>
      <c r="AE961">
        <v>478.5</v>
      </c>
      <c r="AF961" s="19">
        <v>88.515280000000004</v>
      </c>
      <c r="AG961" s="4">
        <f t="shared" si="53"/>
        <v>88.776769999999999</v>
      </c>
    </row>
    <row r="962" spans="23:33" x14ac:dyDescent="0.15">
      <c r="W962" s="22">
        <v>250.00602000000001</v>
      </c>
      <c r="X962">
        <v>479</v>
      </c>
      <c r="Y962" s="23">
        <v>78.046800000000005</v>
      </c>
      <c r="Z962" s="4">
        <f t="shared" si="52"/>
        <v>83.48763000000001</v>
      </c>
      <c r="AD962" s="24">
        <v>250.01242999999999</v>
      </c>
      <c r="AE962">
        <v>479</v>
      </c>
      <c r="AF962" s="25">
        <v>88.57132</v>
      </c>
      <c r="AG962" s="4">
        <f t="shared" si="53"/>
        <v>88.832809999999995</v>
      </c>
    </row>
    <row r="963" spans="23:33" x14ac:dyDescent="0.15">
      <c r="W963" s="22">
        <v>250.00398999999999</v>
      </c>
      <c r="X963">
        <v>479.5</v>
      </c>
      <c r="Y963" s="4">
        <v>78.044889999999995</v>
      </c>
      <c r="Z963" s="4">
        <f t="shared" si="52"/>
        <v>83.485720000000001</v>
      </c>
      <c r="AD963" s="24">
        <v>250.01698999999999</v>
      </c>
      <c r="AE963">
        <v>479.5</v>
      </c>
      <c r="AF963" s="19">
        <v>88.680019999999999</v>
      </c>
      <c r="AG963" s="4">
        <f t="shared" si="53"/>
        <v>88.941509999999994</v>
      </c>
    </row>
    <row r="964" spans="23:33" x14ac:dyDescent="0.15">
      <c r="W964" s="22">
        <v>250.00397000000001</v>
      </c>
      <c r="X964">
        <v>480</v>
      </c>
      <c r="Y964" s="23">
        <v>78.039270000000002</v>
      </c>
      <c r="Z964" s="4">
        <f t="shared" si="52"/>
        <v>83.480100000000007</v>
      </c>
      <c r="AD964" s="24">
        <v>250.01656</v>
      </c>
      <c r="AE964">
        <v>480</v>
      </c>
      <c r="AF964" s="25">
        <v>88.651229999999998</v>
      </c>
      <c r="AG964" s="4">
        <f t="shared" si="53"/>
        <v>88.912719999999993</v>
      </c>
    </row>
    <row r="965" spans="23:33" x14ac:dyDescent="0.15">
      <c r="W965" s="22">
        <v>250.00504000000001</v>
      </c>
      <c r="X965">
        <v>480.5</v>
      </c>
      <c r="Y965" s="4">
        <v>78.018299999999996</v>
      </c>
      <c r="Z965" s="4">
        <f t="shared" ref="Z965:Z1028" si="54">100-($Y$4-Y965)</f>
        <v>83.459130000000002</v>
      </c>
      <c r="AD965" s="24">
        <v>250.01617999999999</v>
      </c>
      <c r="AE965">
        <v>480.5</v>
      </c>
      <c r="AF965" s="19">
        <v>88.573859999999996</v>
      </c>
      <c r="AG965" s="4">
        <f t="shared" ref="AG965:AG1028" si="55">100-($AF$4-AF965)</f>
        <v>88.835349999999991</v>
      </c>
    </row>
    <row r="966" spans="23:33" x14ac:dyDescent="0.15">
      <c r="W966" s="22">
        <v>250.00693999999999</v>
      </c>
      <c r="X966">
        <v>481</v>
      </c>
      <c r="Y966" s="23">
        <v>78.006590000000003</v>
      </c>
      <c r="Z966" s="4">
        <f t="shared" si="54"/>
        <v>83.447420000000008</v>
      </c>
      <c r="AD966" s="24">
        <v>250.01741000000001</v>
      </c>
      <c r="AE966">
        <v>481</v>
      </c>
      <c r="AF966" s="25">
        <v>88.570899999999995</v>
      </c>
      <c r="AG966" s="4">
        <f t="shared" si="55"/>
        <v>88.83238999999999</v>
      </c>
    </row>
    <row r="967" spans="23:33" x14ac:dyDescent="0.15">
      <c r="W967" s="22">
        <v>250.00597999999999</v>
      </c>
      <c r="X967">
        <v>481.5</v>
      </c>
      <c r="Y967" s="4">
        <v>78.014089999999996</v>
      </c>
      <c r="Z967" s="4">
        <f t="shared" si="54"/>
        <v>83.454920000000001</v>
      </c>
      <c r="AD967" s="24">
        <v>250.01591999999999</v>
      </c>
      <c r="AE967">
        <v>481.5</v>
      </c>
      <c r="AF967" s="19">
        <v>88.639039999999994</v>
      </c>
      <c r="AG967" s="4">
        <f t="shared" si="55"/>
        <v>88.900529999999989</v>
      </c>
    </row>
    <row r="968" spans="23:33" x14ac:dyDescent="0.15">
      <c r="W968" s="22">
        <v>250.012</v>
      </c>
      <c r="X968">
        <v>482</v>
      </c>
      <c r="Y968" s="23">
        <v>78.000770000000003</v>
      </c>
      <c r="Z968" s="4">
        <f t="shared" si="54"/>
        <v>83.441600000000008</v>
      </c>
      <c r="AD968" s="24">
        <v>250.01590999999999</v>
      </c>
      <c r="AE968">
        <v>482</v>
      </c>
      <c r="AF968" s="25">
        <v>88.581890000000001</v>
      </c>
      <c r="AG968" s="4">
        <f t="shared" si="55"/>
        <v>88.843379999999996</v>
      </c>
    </row>
    <row r="969" spans="23:33" x14ac:dyDescent="0.15">
      <c r="W969" s="22">
        <v>250.01002</v>
      </c>
      <c r="X969">
        <v>482.5</v>
      </c>
      <c r="Y969" s="4">
        <v>77.983620000000002</v>
      </c>
      <c r="Z969" s="4">
        <f t="shared" si="54"/>
        <v>83.424450000000007</v>
      </c>
      <c r="AD969" s="24">
        <v>250.01704000000001</v>
      </c>
      <c r="AE969">
        <v>482.5</v>
      </c>
      <c r="AF969" s="19">
        <v>88.581789999999998</v>
      </c>
      <c r="AG969" s="4">
        <f t="shared" si="55"/>
        <v>88.843279999999993</v>
      </c>
    </row>
    <row r="970" spans="23:33" x14ac:dyDescent="0.15">
      <c r="W970" s="22">
        <v>250.01102</v>
      </c>
      <c r="X970">
        <v>483</v>
      </c>
      <c r="Y970" s="23">
        <v>77.976079999999996</v>
      </c>
      <c r="Z970" s="4">
        <f t="shared" si="54"/>
        <v>83.416910000000001</v>
      </c>
      <c r="AD970" s="24">
        <v>250.01429999999999</v>
      </c>
      <c r="AE970">
        <v>483</v>
      </c>
      <c r="AF970" s="25">
        <v>88.439080000000004</v>
      </c>
      <c r="AG970" s="4">
        <f t="shared" si="55"/>
        <v>88.700569999999999</v>
      </c>
    </row>
    <row r="971" spans="23:33" x14ac:dyDescent="0.15">
      <c r="W971" s="22">
        <v>250.00797</v>
      </c>
      <c r="X971">
        <v>483.5</v>
      </c>
      <c r="Y971" s="4">
        <v>77.968199999999996</v>
      </c>
      <c r="Z971" s="4">
        <f t="shared" si="54"/>
        <v>83.409030000000001</v>
      </c>
      <c r="AD971" s="24">
        <v>250.01271</v>
      </c>
      <c r="AE971">
        <v>483.5</v>
      </c>
      <c r="AF971" s="19">
        <v>88.576840000000004</v>
      </c>
      <c r="AG971" s="4">
        <f t="shared" si="55"/>
        <v>88.838329999999999</v>
      </c>
    </row>
    <row r="972" spans="23:33" x14ac:dyDescent="0.15">
      <c r="W972" s="22">
        <v>250.00103999999999</v>
      </c>
      <c r="X972">
        <v>484</v>
      </c>
      <c r="Y972" s="23">
        <v>77.949169999999995</v>
      </c>
      <c r="Z972" s="4">
        <f t="shared" si="54"/>
        <v>83.39</v>
      </c>
      <c r="AD972" s="24">
        <v>250.01393999999999</v>
      </c>
      <c r="AE972">
        <v>484</v>
      </c>
      <c r="AF972" s="25">
        <v>88.500259999999997</v>
      </c>
      <c r="AG972" s="4">
        <f t="shared" si="55"/>
        <v>88.761749999999992</v>
      </c>
    </row>
    <row r="973" spans="23:33" x14ac:dyDescent="0.15">
      <c r="W973" s="22">
        <v>250</v>
      </c>
      <c r="X973">
        <v>484.5</v>
      </c>
      <c r="Y973" s="4">
        <v>77.920249999999996</v>
      </c>
      <c r="Z973" s="4">
        <f t="shared" si="54"/>
        <v>83.361080000000001</v>
      </c>
      <c r="AD973" s="24">
        <v>250.01383999999999</v>
      </c>
      <c r="AE973">
        <v>484.5</v>
      </c>
      <c r="AF973" s="19">
        <v>88.529160000000005</v>
      </c>
      <c r="AG973" s="4">
        <f t="shared" si="55"/>
        <v>88.790649999999999</v>
      </c>
    </row>
    <row r="974" spans="23:33" x14ac:dyDescent="0.15">
      <c r="W974" s="22">
        <v>250.00201000000001</v>
      </c>
      <c r="X974">
        <v>485</v>
      </c>
      <c r="Y974" s="23">
        <v>77.926069999999996</v>
      </c>
      <c r="Z974" s="4">
        <f t="shared" si="54"/>
        <v>83.366900000000001</v>
      </c>
      <c r="AD974" s="24">
        <v>250.00933000000001</v>
      </c>
      <c r="AE974">
        <v>485</v>
      </c>
      <c r="AF974" s="25">
        <v>88.508510000000001</v>
      </c>
      <c r="AG974" s="4">
        <f t="shared" si="55"/>
        <v>88.77</v>
      </c>
    </row>
    <row r="975" spans="23:33" x14ac:dyDescent="0.15">
      <c r="W975" s="22">
        <v>250.00398999999999</v>
      </c>
      <c r="X975">
        <v>485.5</v>
      </c>
      <c r="Y975" s="4">
        <v>77.901060000000001</v>
      </c>
      <c r="Z975" s="4">
        <f t="shared" si="54"/>
        <v>83.341890000000006</v>
      </c>
      <c r="AD975" s="24">
        <v>250.00881000000001</v>
      </c>
      <c r="AE975">
        <v>485.5</v>
      </c>
      <c r="AF975" s="19">
        <v>88.482299999999995</v>
      </c>
      <c r="AG975" s="4">
        <f t="shared" si="55"/>
        <v>88.74378999999999</v>
      </c>
    </row>
    <row r="976" spans="23:33" x14ac:dyDescent="0.15">
      <c r="W976" s="22">
        <v>250.00595000000001</v>
      </c>
      <c r="X976">
        <v>486</v>
      </c>
      <c r="Y976" s="23">
        <v>77.902950000000004</v>
      </c>
      <c r="Z976" s="4">
        <f t="shared" si="54"/>
        <v>83.34378000000001</v>
      </c>
      <c r="AD976" s="24">
        <v>250.01384999999999</v>
      </c>
      <c r="AE976">
        <v>486</v>
      </c>
      <c r="AF976" s="25">
        <v>88.483329999999995</v>
      </c>
      <c r="AG976" s="4">
        <f t="shared" si="55"/>
        <v>88.74481999999999</v>
      </c>
    </row>
    <row r="977" spans="23:33" x14ac:dyDescent="0.15">
      <c r="W977" s="22">
        <v>250.01000999999999</v>
      </c>
      <c r="X977">
        <v>486.5</v>
      </c>
      <c r="Y977" s="4">
        <v>77.905060000000006</v>
      </c>
      <c r="Z977" s="4">
        <f t="shared" si="54"/>
        <v>83.345890000000011</v>
      </c>
      <c r="AD977" s="24">
        <v>250.01292000000001</v>
      </c>
      <c r="AE977">
        <v>486.5</v>
      </c>
      <c r="AF977" s="19">
        <v>88.412530000000004</v>
      </c>
      <c r="AG977" s="4">
        <f t="shared" si="55"/>
        <v>88.674019999999999</v>
      </c>
    </row>
    <row r="978" spans="23:33" x14ac:dyDescent="0.15">
      <c r="W978" s="22">
        <v>250.00704999999999</v>
      </c>
      <c r="X978">
        <v>487</v>
      </c>
      <c r="Y978" s="23">
        <v>77.889690000000002</v>
      </c>
      <c r="Z978" s="4">
        <f t="shared" si="54"/>
        <v>83.330520000000007</v>
      </c>
      <c r="AD978" s="24">
        <v>250.01482999999999</v>
      </c>
      <c r="AE978">
        <v>487</v>
      </c>
      <c r="AF978" s="25">
        <v>88.521010000000004</v>
      </c>
      <c r="AG978" s="4">
        <f t="shared" si="55"/>
        <v>88.782499999999999</v>
      </c>
    </row>
    <row r="979" spans="23:33" x14ac:dyDescent="0.15">
      <c r="W979" s="22">
        <v>250.006</v>
      </c>
      <c r="X979">
        <v>487.5</v>
      </c>
      <c r="Y979" s="4">
        <v>77.876090000000005</v>
      </c>
      <c r="Z979" s="4">
        <f t="shared" si="54"/>
        <v>83.31692000000001</v>
      </c>
      <c r="AD979" s="24">
        <v>250.01598999999999</v>
      </c>
      <c r="AE979">
        <v>487.5</v>
      </c>
      <c r="AF979" s="19">
        <v>88.352549999999994</v>
      </c>
      <c r="AG979" s="4">
        <f t="shared" si="55"/>
        <v>88.614039999999989</v>
      </c>
    </row>
    <row r="980" spans="23:33" x14ac:dyDescent="0.15">
      <c r="W980" s="22">
        <v>250.00704999999999</v>
      </c>
      <c r="X980">
        <v>488</v>
      </c>
      <c r="Y980" s="23">
        <v>77.880080000000007</v>
      </c>
      <c r="Z980" s="4">
        <f t="shared" si="54"/>
        <v>83.320910000000012</v>
      </c>
      <c r="AD980" s="24">
        <v>250.01824999999999</v>
      </c>
      <c r="AE980">
        <v>488</v>
      </c>
      <c r="AF980" s="25">
        <v>88.485259999999997</v>
      </c>
      <c r="AG980" s="4">
        <f t="shared" si="55"/>
        <v>88.746749999999992</v>
      </c>
    </row>
    <row r="981" spans="23:33" x14ac:dyDescent="0.15">
      <c r="W981" s="22">
        <v>250.00299999999999</v>
      </c>
      <c r="X981">
        <v>488.5</v>
      </c>
      <c r="Y981" s="4">
        <v>77.853070000000002</v>
      </c>
      <c r="Z981" s="4">
        <f t="shared" si="54"/>
        <v>83.293900000000008</v>
      </c>
      <c r="AD981" s="24">
        <v>250.02135999999999</v>
      </c>
      <c r="AE981">
        <v>488.5</v>
      </c>
      <c r="AF981" s="19">
        <v>88.421319999999994</v>
      </c>
      <c r="AG981" s="4">
        <f t="shared" si="55"/>
        <v>88.682809999999989</v>
      </c>
    </row>
    <row r="982" spans="23:33" x14ac:dyDescent="0.15">
      <c r="W982" s="22">
        <v>250.00896</v>
      </c>
      <c r="X982">
        <v>489</v>
      </c>
      <c r="Y982" s="23">
        <v>77.841759999999994</v>
      </c>
      <c r="Z982" s="4">
        <f t="shared" si="54"/>
        <v>83.282589999999999</v>
      </c>
      <c r="AD982" s="24">
        <v>250.01705000000001</v>
      </c>
      <c r="AE982">
        <v>489</v>
      </c>
      <c r="AF982" s="25">
        <v>88.383269999999996</v>
      </c>
      <c r="AG982" s="4">
        <f t="shared" si="55"/>
        <v>88.644759999999991</v>
      </c>
    </row>
    <row r="983" spans="23:33" x14ac:dyDescent="0.15">
      <c r="W983" s="22">
        <v>250.01104000000001</v>
      </c>
      <c r="X983">
        <v>489.5</v>
      </c>
      <c r="Y983" s="4">
        <v>77.839690000000004</v>
      </c>
      <c r="Z983" s="4">
        <f t="shared" si="54"/>
        <v>83.28052000000001</v>
      </c>
      <c r="AD983" s="24">
        <v>250.01564999999999</v>
      </c>
      <c r="AE983">
        <v>489.5</v>
      </c>
      <c r="AF983" s="19">
        <v>88.319730000000007</v>
      </c>
      <c r="AG983" s="4">
        <f t="shared" si="55"/>
        <v>88.581220000000002</v>
      </c>
    </row>
    <row r="984" spans="23:33" x14ac:dyDescent="0.15">
      <c r="W984" s="22">
        <v>250.00996000000001</v>
      </c>
      <c r="X984">
        <v>490</v>
      </c>
      <c r="Y984" s="23">
        <v>77.83587</v>
      </c>
      <c r="Z984" s="4">
        <f t="shared" si="54"/>
        <v>83.276700000000005</v>
      </c>
      <c r="AD984" s="24">
        <v>250.01446000000001</v>
      </c>
      <c r="AE984">
        <v>490</v>
      </c>
      <c r="AF984" s="25">
        <v>88.344250000000002</v>
      </c>
      <c r="AG984" s="4">
        <f t="shared" si="55"/>
        <v>88.605739999999997</v>
      </c>
    </row>
    <row r="985" spans="23:33" x14ac:dyDescent="0.15">
      <c r="W985" s="22">
        <v>250.00299999999999</v>
      </c>
      <c r="X985">
        <v>490.5</v>
      </c>
      <c r="Y985" s="4">
        <v>77.811049999999994</v>
      </c>
      <c r="Z985" s="4">
        <f t="shared" si="54"/>
        <v>83.25188</v>
      </c>
      <c r="AD985" s="24">
        <v>250.01499999999999</v>
      </c>
      <c r="AE985">
        <v>490.5</v>
      </c>
      <c r="AF985" s="19">
        <v>88.544380000000004</v>
      </c>
      <c r="AG985" s="4">
        <f t="shared" si="55"/>
        <v>88.805869999999999</v>
      </c>
    </row>
    <row r="986" spans="23:33" x14ac:dyDescent="0.15">
      <c r="W986" s="22">
        <v>250.00002000000001</v>
      </c>
      <c r="X986">
        <v>491</v>
      </c>
      <c r="Y986" s="23">
        <v>77.811000000000007</v>
      </c>
      <c r="Z986" s="4">
        <f t="shared" si="54"/>
        <v>83.251830000000012</v>
      </c>
      <c r="AD986" s="24">
        <v>250.01517999999999</v>
      </c>
      <c r="AE986">
        <v>491</v>
      </c>
      <c r="AF986" s="25">
        <v>88.301959999999994</v>
      </c>
      <c r="AG986" s="4">
        <f t="shared" si="55"/>
        <v>88.563449999999989</v>
      </c>
    </row>
    <row r="987" spans="23:33" x14ac:dyDescent="0.15">
      <c r="W987" s="22">
        <v>249.99994000000001</v>
      </c>
      <c r="X987">
        <v>491.5</v>
      </c>
      <c r="Y987" s="4">
        <v>77.799570000000003</v>
      </c>
      <c r="Z987" s="4">
        <f t="shared" si="54"/>
        <v>83.240400000000008</v>
      </c>
      <c r="AD987" s="24">
        <v>250.01310000000001</v>
      </c>
      <c r="AE987">
        <v>491.5</v>
      </c>
      <c r="AF987" s="19">
        <v>88.391559999999998</v>
      </c>
      <c r="AG987" s="4">
        <f t="shared" si="55"/>
        <v>88.653049999999993</v>
      </c>
    </row>
    <row r="988" spans="23:33" x14ac:dyDescent="0.15">
      <c r="W988" s="22">
        <v>250.00402</v>
      </c>
      <c r="X988">
        <v>492</v>
      </c>
      <c r="Y988" s="23">
        <v>77.788060000000002</v>
      </c>
      <c r="Z988" s="4">
        <f t="shared" si="54"/>
        <v>83.228890000000007</v>
      </c>
      <c r="AD988" s="24">
        <v>250.01528999999999</v>
      </c>
      <c r="AE988">
        <v>492</v>
      </c>
      <c r="AF988" s="25">
        <v>88.304450000000003</v>
      </c>
      <c r="AG988" s="4">
        <f t="shared" si="55"/>
        <v>88.565939999999998</v>
      </c>
    </row>
    <row r="989" spans="23:33" x14ac:dyDescent="0.15">
      <c r="W989" s="22">
        <v>250.00897000000001</v>
      </c>
      <c r="X989">
        <v>492.5</v>
      </c>
      <c r="Y989" s="4">
        <v>77.780389999999997</v>
      </c>
      <c r="Z989" s="4">
        <f t="shared" si="54"/>
        <v>83.221220000000002</v>
      </c>
      <c r="AD989" s="24">
        <v>250.01546999999999</v>
      </c>
      <c r="AE989">
        <v>492.5</v>
      </c>
      <c r="AF989" s="19">
        <v>88.323049999999995</v>
      </c>
      <c r="AG989" s="4">
        <f t="shared" si="55"/>
        <v>88.58453999999999</v>
      </c>
    </row>
    <row r="990" spans="23:33" x14ac:dyDescent="0.15">
      <c r="W990" s="22">
        <v>250.00701000000001</v>
      </c>
      <c r="X990">
        <v>493</v>
      </c>
      <c r="Y990" s="23">
        <v>77.768730000000005</v>
      </c>
      <c r="Z990" s="4">
        <f t="shared" si="54"/>
        <v>83.20956000000001</v>
      </c>
      <c r="AD990" s="24">
        <v>250.01718</v>
      </c>
      <c r="AE990">
        <v>493</v>
      </c>
      <c r="AF990" s="25">
        <v>88.376930000000002</v>
      </c>
      <c r="AG990" s="4">
        <f t="shared" si="55"/>
        <v>88.638419999999996</v>
      </c>
    </row>
    <row r="991" spans="23:33" x14ac:dyDescent="0.15">
      <c r="W991" s="22">
        <v>250.00599</v>
      </c>
      <c r="X991">
        <v>493.5</v>
      </c>
      <c r="Y991" s="4">
        <v>77.741919999999993</v>
      </c>
      <c r="Z991" s="4">
        <f t="shared" si="54"/>
        <v>83.182749999999999</v>
      </c>
      <c r="AD991" s="24">
        <v>250.01739000000001</v>
      </c>
      <c r="AE991">
        <v>493.5</v>
      </c>
      <c r="AF991" s="19">
        <v>88.425179999999997</v>
      </c>
      <c r="AG991" s="4">
        <f t="shared" si="55"/>
        <v>88.686669999999992</v>
      </c>
    </row>
    <row r="992" spans="23:33" x14ac:dyDescent="0.15">
      <c r="W992" s="22">
        <v>250.00896</v>
      </c>
      <c r="X992">
        <v>494</v>
      </c>
      <c r="Y992" s="23">
        <v>77.74776</v>
      </c>
      <c r="Z992" s="4">
        <f t="shared" si="54"/>
        <v>83.188590000000005</v>
      </c>
      <c r="AD992" s="24">
        <v>250.01918000000001</v>
      </c>
      <c r="AE992">
        <v>494</v>
      </c>
      <c r="AF992" s="25">
        <v>88.364779999999996</v>
      </c>
      <c r="AG992" s="4">
        <f t="shared" si="55"/>
        <v>88.626269999999991</v>
      </c>
    </row>
    <row r="993" spans="23:33" x14ac:dyDescent="0.15">
      <c r="W993" s="22">
        <v>250.00398000000001</v>
      </c>
      <c r="X993">
        <v>494.5</v>
      </c>
      <c r="Y993" s="4">
        <v>77.736159999999998</v>
      </c>
      <c r="Z993" s="4">
        <f t="shared" si="54"/>
        <v>83.176990000000004</v>
      </c>
      <c r="AD993" s="24">
        <v>250.01965000000001</v>
      </c>
      <c r="AE993">
        <v>494.5</v>
      </c>
      <c r="AF993" s="19">
        <v>88.306020000000004</v>
      </c>
      <c r="AG993" s="4">
        <f t="shared" si="55"/>
        <v>88.567509999999999</v>
      </c>
    </row>
    <row r="994" spans="23:33" x14ac:dyDescent="0.15">
      <c r="W994" s="22">
        <v>250.00506999999999</v>
      </c>
      <c r="X994">
        <v>495</v>
      </c>
      <c r="Y994" s="23">
        <v>77.730440000000002</v>
      </c>
      <c r="Z994" s="4">
        <f t="shared" si="54"/>
        <v>83.171270000000007</v>
      </c>
      <c r="AD994" s="24">
        <v>250.01546999999999</v>
      </c>
      <c r="AE994">
        <v>495</v>
      </c>
      <c r="AF994" s="25">
        <v>88.327370000000002</v>
      </c>
      <c r="AG994" s="4">
        <f t="shared" si="55"/>
        <v>88.588859999999997</v>
      </c>
    </row>
    <row r="995" spans="23:33" x14ac:dyDescent="0.15">
      <c r="W995" s="22">
        <v>250.00702000000001</v>
      </c>
      <c r="X995">
        <v>495.5</v>
      </c>
      <c r="Y995" s="4">
        <v>77.719070000000002</v>
      </c>
      <c r="Z995" s="4">
        <f t="shared" si="54"/>
        <v>83.159900000000007</v>
      </c>
      <c r="AD995" s="24">
        <v>250.01882000000001</v>
      </c>
      <c r="AE995">
        <v>495.5</v>
      </c>
      <c r="AF995" s="19">
        <v>88.360669999999999</v>
      </c>
      <c r="AG995" s="4">
        <f t="shared" si="55"/>
        <v>88.622159999999994</v>
      </c>
    </row>
    <row r="996" spans="23:33" x14ac:dyDescent="0.15">
      <c r="W996" s="22">
        <v>250.00403</v>
      </c>
      <c r="X996">
        <v>496</v>
      </c>
      <c r="Y996" s="23">
        <v>77.723020000000005</v>
      </c>
      <c r="Z996" s="4">
        <f t="shared" si="54"/>
        <v>83.163850000000011</v>
      </c>
      <c r="AD996" s="24">
        <v>250.01688999999999</v>
      </c>
      <c r="AE996">
        <v>496</v>
      </c>
      <c r="AF996" s="25">
        <v>88.33681</v>
      </c>
      <c r="AG996" s="4">
        <f t="shared" si="55"/>
        <v>88.598299999999995</v>
      </c>
    </row>
    <row r="997" spans="23:33" x14ac:dyDescent="0.15">
      <c r="W997" s="22">
        <v>249.99700000000001</v>
      </c>
      <c r="X997">
        <v>496.5</v>
      </c>
      <c r="Y997" s="4">
        <v>77.707419999999999</v>
      </c>
      <c r="Z997" s="4">
        <f t="shared" si="54"/>
        <v>83.148250000000004</v>
      </c>
      <c r="AD997" s="24">
        <v>250.01401999999999</v>
      </c>
      <c r="AE997">
        <v>496.5</v>
      </c>
      <c r="AF997" s="19">
        <v>88.313469999999995</v>
      </c>
      <c r="AG997" s="4">
        <f t="shared" si="55"/>
        <v>88.57495999999999</v>
      </c>
    </row>
    <row r="998" spans="23:33" x14ac:dyDescent="0.15">
      <c r="W998" s="22">
        <v>250.00101000000001</v>
      </c>
      <c r="X998">
        <v>497</v>
      </c>
      <c r="Y998" s="23">
        <v>77.707490000000007</v>
      </c>
      <c r="Z998" s="4">
        <f t="shared" si="54"/>
        <v>83.148320000000012</v>
      </c>
      <c r="AD998" s="24">
        <v>250.01504</v>
      </c>
      <c r="AE998">
        <v>497</v>
      </c>
      <c r="AF998" s="25">
        <v>88.246970000000005</v>
      </c>
      <c r="AG998" s="4">
        <f t="shared" si="55"/>
        <v>88.508459999999999</v>
      </c>
    </row>
    <row r="999" spans="23:33" x14ac:dyDescent="0.15">
      <c r="W999" s="22">
        <v>250.00003000000001</v>
      </c>
      <c r="X999">
        <v>497.5</v>
      </c>
      <c r="Y999" s="4">
        <v>77.686359999999993</v>
      </c>
      <c r="Z999" s="4">
        <f t="shared" si="54"/>
        <v>83.127189999999999</v>
      </c>
      <c r="AD999" s="24">
        <v>250.01722000000001</v>
      </c>
      <c r="AE999">
        <v>497.5</v>
      </c>
      <c r="AF999" s="19">
        <v>88.235420000000005</v>
      </c>
      <c r="AG999" s="4">
        <f t="shared" si="55"/>
        <v>88.49691</v>
      </c>
    </row>
    <row r="1000" spans="23:33" x14ac:dyDescent="0.15">
      <c r="W1000" s="22">
        <v>250.00603000000001</v>
      </c>
      <c r="X1000">
        <v>498</v>
      </c>
      <c r="Y1000" s="23">
        <v>77.695930000000004</v>
      </c>
      <c r="Z1000" s="4">
        <f t="shared" si="54"/>
        <v>83.13676000000001</v>
      </c>
      <c r="AD1000" s="24">
        <v>250.01536999999999</v>
      </c>
      <c r="AE1000">
        <v>498</v>
      </c>
      <c r="AF1000" s="25">
        <v>88.270129999999995</v>
      </c>
      <c r="AG1000" s="4">
        <f t="shared" si="55"/>
        <v>88.53161999999999</v>
      </c>
    </row>
    <row r="1001" spans="23:33" x14ac:dyDescent="0.15">
      <c r="W1001" s="22">
        <v>250.006</v>
      </c>
      <c r="X1001">
        <v>498.5</v>
      </c>
      <c r="Y1001" s="4">
        <v>77.670969999999997</v>
      </c>
      <c r="Z1001" s="4">
        <f t="shared" si="54"/>
        <v>83.111800000000002</v>
      </c>
      <c r="AD1001" s="24">
        <v>250.01903999999999</v>
      </c>
      <c r="AE1001">
        <v>498.5</v>
      </c>
      <c r="AF1001" s="19">
        <v>88.227170000000001</v>
      </c>
      <c r="AG1001" s="4">
        <f t="shared" si="55"/>
        <v>88.488659999999996</v>
      </c>
    </row>
    <row r="1002" spans="23:33" x14ac:dyDescent="0.15">
      <c r="W1002" s="22">
        <v>250.00497999999999</v>
      </c>
      <c r="X1002">
        <v>499</v>
      </c>
      <c r="Y1002" s="23">
        <v>77.651719999999997</v>
      </c>
      <c r="Z1002" s="4">
        <f t="shared" si="54"/>
        <v>83.092550000000003</v>
      </c>
      <c r="AD1002" s="24">
        <v>250.01952</v>
      </c>
      <c r="AE1002">
        <v>499</v>
      </c>
      <c r="AF1002" s="25">
        <v>88.192620000000005</v>
      </c>
      <c r="AG1002" s="4">
        <f t="shared" si="55"/>
        <v>88.45411</v>
      </c>
    </row>
    <row r="1003" spans="23:33" x14ac:dyDescent="0.15">
      <c r="W1003" s="22">
        <v>250.01101</v>
      </c>
      <c r="X1003">
        <v>499.5</v>
      </c>
      <c r="Y1003" s="4">
        <v>77.653679999999994</v>
      </c>
      <c r="Z1003" s="4">
        <f t="shared" si="54"/>
        <v>83.09451</v>
      </c>
      <c r="AD1003" s="24">
        <v>250.01723999999999</v>
      </c>
      <c r="AE1003">
        <v>499.5</v>
      </c>
      <c r="AF1003" s="19">
        <v>88.301259999999999</v>
      </c>
      <c r="AG1003" s="4">
        <f t="shared" si="55"/>
        <v>88.562749999999994</v>
      </c>
    </row>
    <row r="1004" spans="23:33" x14ac:dyDescent="0.15">
      <c r="W1004" s="22">
        <v>250.00300999999999</v>
      </c>
      <c r="X1004">
        <v>500</v>
      </c>
      <c r="Y1004" s="23">
        <v>77.634450000000001</v>
      </c>
      <c r="Z1004" s="4">
        <f t="shared" si="54"/>
        <v>83.075280000000006</v>
      </c>
      <c r="AD1004" s="24">
        <v>250.01703000000001</v>
      </c>
      <c r="AE1004">
        <v>500</v>
      </c>
      <c r="AF1004" s="25">
        <v>88.278570000000002</v>
      </c>
      <c r="AG1004" s="4">
        <f t="shared" si="55"/>
        <v>88.540059999999997</v>
      </c>
    </row>
    <row r="1005" spans="23:33" x14ac:dyDescent="0.15">
      <c r="W1005" s="22">
        <v>250.00596999999999</v>
      </c>
      <c r="X1005">
        <v>500.5</v>
      </c>
      <c r="Y1005" s="4">
        <v>77.630570000000006</v>
      </c>
      <c r="Z1005" s="4">
        <f t="shared" si="54"/>
        <v>83.071400000000011</v>
      </c>
      <c r="AD1005" s="24">
        <v>250.01714999999999</v>
      </c>
      <c r="AE1005">
        <v>500.5</v>
      </c>
      <c r="AF1005" s="19">
        <v>88.140079999999998</v>
      </c>
      <c r="AG1005" s="4">
        <f t="shared" si="55"/>
        <v>88.401569999999992</v>
      </c>
    </row>
    <row r="1006" spans="23:33" x14ac:dyDescent="0.15">
      <c r="W1006" s="22">
        <v>250.00895</v>
      </c>
      <c r="X1006">
        <v>501</v>
      </c>
      <c r="Y1006" s="23">
        <v>77.627129999999994</v>
      </c>
      <c r="Z1006" s="4">
        <f t="shared" si="54"/>
        <v>83.067959999999999</v>
      </c>
      <c r="AD1006" s="24">
        <v>250.01808</v>
      </c>
      <c r="AE1006">
        <v>501</v>
      </c>
      <c r="AF1006" s="25">
        <v>88.239080000000001</v>
      </c>
      <c r="AG1006" s="4">
        <f t="shared" si="55"/>
        <v>88.500569999999996</v>
      </c>
    </row>
    <row r="1007" spans="23:33" x14ac:dyDescent="0.15">
      <c r="W1007" s="22">
        <v>250.00700000000001</v>
      </c>
      <c r="X1007">
        <v>501.5</v>
      </c>
      <c r="Y1007" s="4">
        <v>77.623050000000006</v>
      </c>
      <c r="Z1007" s="4">
        <f t="shared" si="54"/>
        <v>83.063880000000012</v>
      </c>
      <c r="AD1007" s="24">
        <v>250.02180000000001</v>
      </c>
      <c r="AE1007">
        <v>501.5</v>
      </c>
      <c r="AF1007" s="19">
        <v>88.099090000000004</v>
      </c>
      <c r="AG1007" s="4">
        <f t="shared" si="55"/>
        <v>88.360579999999999</v>
      </c>
    </row>
    <row r="1008" spans="23:33" x14ac:dyDescent="0.15">
      <c r="W1008" s="22">
        <v>250.00399999999999</v>
      </c>
      <c r="X1008">
        <v>502</v>
      </c>
      <c r="Y1008" s="23">
        <v>77.611720000000005</v>
      </c>
      <c r="Z1008" s="4">
        <f t="shared" si="54"/>
        <v>83.052550000000011</v>
      </c>
      <c r="AD1008" s="24">
        <v>250.02178000000001</v>
      </c>
      <c r="AE1008">
        <v>502</v>
      </c>
      <c r="AF1008" s="25">
        <v>88.268960000000007</v>
      </c>
      <c r="AG1008" s="4">
        <f t="shared" si="55"/>
        <v>88.530450000000002</v>
      </c>
    </row>
    <row r="1009" spans="23:33" x14ac:dyDescent="0.15">
      <c r="W1009" s="22">
        <v>250.00801999999999</v>
      </c>
      <c r="X1009">
        <v>502.5</v>
      </c>
      <c r="Y1009" s="4">
        <v>77.596239999999995</v>
      </c>
      <c r="Z1009" s="4">
        <f t="shared" si="54"/>
        <v>83.03707</v>
      </c>
      <c r="AD1009" s="24">
        <v>250.01467</v>
      </c>
      <c r="AE1009">
        <v>502.5</v>
      </c>
      <c r="AF1009" s="19">
        <v>88.189409999999995</v>
      </c>
      <c r="AG1009" s="4">
        <f t="shared" si="55"/>
        <v>88.45089999999999</v>
      </c>
    </row>
    <row r="1010" spans="23:33" x14ac:dyDescent="0.15">
      <c r="W1010" s="22">
        <v>250.00403</v>
      </c>
      <c r="X1010">
        <v>503</v>
      </c>
      <c r="Y1010" s="23">
        <v>77.599869999999996</v>
      </c>
      <c r="Z1010" s="4">
        <f t="shared" si="54"/>
        <v>83.040700000000001</v>
      </c>
      <c r="AD1010" s="24">
        <v>250.01636999999999</v>
      </c>
      <c r="AE1010">
        <v>503</v>
      </c>
      <c r="AF1010" s="25">
        <v>88.134460000000004</v>
      </c>
      <c r="AG1010" s="4">
        <f t="shared" si="55"/>
        <v>88.395949999999999</v>
      </c>
    </row>
    <row r="1011" spans="23:33" x14ac:dyDescent="0.15">
      <c r="W1011" s="22">
        <v>250.005</v>
      </c>
      <c r="X1011">
        <v>503.5</v>
      </c>
      <c r="Y1011" s="4">
        <v>77.569339999999997</v>
      </c>
      <c r="Z1011" s="4">
        <f t="shared" si="54"/>
        <v>83.010170000000002</v>
      </c>
      <c r="AD1011" s="24">
        <v>250.01891000000001</v>
      </c>
      <c r="AE1011">
        <v>503.5</v>
      </c>
      <c r="AF1011" s="19">
        <v>88.119330000000005</v>
      </c>
      <c r="AG1011" s="4">
        <f t="shared" si="55"/>
        <v>88.38082</v>
      </c>
    </row>
    <row r="1012" spans="23:33" x14ac:dyDescent="0.15">
      <c r="W1012" s="22">
        <v>250.00798</v>
      </c>
      <c r="X1012">
        <v>504</v>
      </c>
      <c r="Y1012" s="23">
        <v>77.567390000000003</v>
      </c>
      <c r="Z1012" s="4">
        <f t="shared" si="54"/>
        <v>83.008220000000009</v>
      </c>
      <c r="AD1012" s="24">
        <v>250.01712000000001</v>
      </c>
      <c r="AE1012">
        <v>504</v>
      </c>
      <c r="AF1012" s="25">
        <v>88.139380000000003</v>
      </c>
      <c r="AG1012" s="4">
        <f t="shared" si="55"/>
        <v>88.400869999999998</v>
      </c>
    </row>
    <row r="1013" spans="23:33" x14ac:dyDescent="0.15">
      <c r="W1013" s="22">
        <v>250.00901999999999</v>
      </c>
      <c r="X1013">
        <v>504.5</v>
      </c>
      <c r="Y1013" s="4">
        <v>77.567509999999999</v>
      </c>
      <c r="Z1013" s="4">
        <f t="shared" si="54"/>
        <v>83.008340000000004</v>
      </c>
      <c r="AD1013" s="24">
        <v>250.01826</v>
      </c>
      <c r="AE1013">
        <v>504.5</v>
      </c>
      <c r="AF1013" s="19">
        <v>88.112970000000004</v>
      </c>
      <c r="AG1013" s="4">
        <f t="shared" si="55"/>
        <v>88.374459999999999</v>
      </c>
    </row>
    <row r="1014" spans="23:33" x14ac:dyDescent="0.15">
      <c r="W1014" s="22">
        <v>250.00805</v>
      </c>
      <c r="X1014">
        <v>505</v>
      </c>
      <c r="Y1014" s="23">
        <v>77.557950000000005</v>
      </c>
      <c r="Z1014" s="4">
        <f t="shared" si="54"/>
        <v>82.998780000000011</v>
      </c>
      <c r="AD1014" s="24">
        <v>250.01315</v>
      </c>
      <c r="AE1014">
        <v>505</v>
      </c>
      <c r="AF1014" s="25">
        <v>88.028329999999997</v>
      </c>
      <c r="AG1014" s="4">
        <f t="shared" si="55"/>
        <v>88.289819999999992</v>
      </c>
    </row>
    <row r="1015" spans="23:33" x14ac:dyDescent="0.15">
      <c r="W1015" s="22">
        <v>250.00701000000001</v>
      </c>
      <c r="X1015">
        <v>505.5</v>
      </c>
      <c r="Y1015" s="4">
        <v>77.533090000000001</v>
      </c>
      <c r="Z1015" s="4">
        <f t="shared" si="54"/>
        <v>82.973920000000007</v>
      </c>
      <c r="AD1015" s="24">
        <v>250.01282</v>
      </c>
      <c r="AE1015">
        <v>505.5</v>
      </c>
      <c r="AF1015" s="19">
        <v>88.057050000000004</v>
      </c>
      <c r="AG1015" s="4">
        <f t="shared" si="55"/>
        <v>88.318539999999999</v>
      </c>
    </row>
    <row r="1016" spans="23:33" x14ac:dyDescent="0.15">
      <c r="W1016" s="22">
        <v>250.005</v>
      </c>
      <c r="X1016">
        <v>506</v>
      </c>
      <c r="Y1016" s="23">
        <v>77.527100000000004</v>
      </c>
      <c r="Z1016" s="4">
        <f t="shared" si="54"/>
        <v>82.96793000000001</v>
      </c>
      <c r="AD1016" s="24">
        <v>250.01607000000001</v>
      </c>
      <c r="AE1016">
        <v>506</v>
      </c>
      <c r="AF1016" s="25">
        <v>88.00309</v>
      </c>
      <c r="AG1016" s="4">
        <f t="shared" si="55"/>
        <v>88.264579999999995</v>
      </c>
    </row>
    <row r="1017" spans="23:33" x14ac:dyDescent="0.15">
      <c r="W1017" s="22">
        <v>250.00704999999999</v>
      </c>
      <c r="X1017">
        <v>506.5</v>
      </c>
      <c r="Y1017" s="4">
        <v>77.529340000000005</v>
      </c>
      <c r="Z1017" s="4">
        <f t="shared" si="54"/>
        <v>82.97017000000001</v>
      </c>
      <c r="AD1017" s="24">
        <v>250.02176</v>
      </c>
      <c r="AE1017">
        <v>506.5</v>
      </c>
      <c r="AF1017" s="19">
        <v>88.126300000000001</v>
      </c>
      <c r="AG1017" s="4">
        <f t="shared" si="55"/>
        <v>88.387789999999995</v>
      </c>
    </row>
    <row r="1018" spans="23:33" x14ac:dyDescent="0.15">
      <c r="W1018" s="22">
        <v>250.00596999999999</v>
      </c>
      <c r="X1018">
        <v>507</v>
      </c>
      <c r="Y1018" s="23">
        <v>77.519589999999994</v>
      </c>
      <c r="Z1018" s="4">
        <f t="shared" si="54"/>
        <v>82.960419999999999</v>
      </c>
      <c r="AD1018" s="24">
        <v>250.02508</v>
      </c>
      <c r="AE1018">
        <v>507</v>
      </c>
      <c r="AF1018" s="25">
        <v>88.098050000000001</v>
      </c>
      <c r="AG1018" s="4">
        <f t="shared" si="55"/>
        <v>88.359539999999996</v>
      </c>
    </row>
    <row r="1019" spans="23:33" x14ac:dyDescent="0.15">
      <c r="W1019" s="22">
        <v>250</v>
      </c>
      <c r="X1019">
        <v>507.5</v>
      </c>
      <c r="Y1019" s="4">
        <v>77.506140000000002</v>
      </c>
      <c r="Z1019" s="4">
        <f t="shared" si="54"/>
        <v>82.946970000000007</v>
      </c>
      <c r="AD1019" s="24">
        <v>250.02654000000001</v>
      </c>
      <c r="AE1019">
        <v>507.5</v>
      </c>
      <c r="AF1019" s="19">
        <v>88.111469999999997</v>
      </c>
      <c r="AG1019" s="4">
        <f t="shared" si="55"/>
        <v>88.372959999999992</v>
      </c>
    </row>
    <row r="1020" spans="23:33" x14ac:dyDescent="0.15">
      <c r="W1020" s="22">
        <v>250.00698</v>
      </c>
      <c r="X1020">
        <v>508</v>
      </c>
      <c r="Y1020" s="23">
        <v>77.502309999999994</v>
      </c>
      <c r="Z1020" s="4">
        <f t="shared" si="54"/>
        <v>82.94314</v>
      </c>
      <c r="AD1020" s="24">
        <v>250.02336</v>
      </c>
      <c r="AE1020">
        <v>508</v>
      </c>
      <c r="AF1020" s="25">
        <v>87.988860000000003</v>
      </c>
      <c r="AG1020" s="4">
        <f t="shared" si="55"/>
        <v>88.250349999999997</v>
      </c>
    </row>
    <row r="1021" spans="23:33" x14ac:dyDescent="0.15">
      <c r="W1021" s="22">
        <v>250.00496000000001</v>
      </c>
      <c r="X1021">
        <v>508.5</v>
      </c>
      <c r="Y1021" s="4">
        <v>77.489000000000004</v>
      </c>
      <c r="Z1021" s="4">
        <f t="shared" si="54"/>
        <v>82.92983000000001</v>
      </c>
      <c r="AD1021" s="24">
        <v>250.01983999999999</v>
      </c>
      <c r="AE1021">
        <v>508.5</v>
      </c>
      <c r="AF1021" s="19">
        <v>88.107960000000006</v>
      </c>
      <c r="AG1021" s="4">
        <f t="shared" si="55"/>
        <v>88.369450000000001</v>
      </c>
    </row>
    <row r="1022" spans="23:33" x14ac:dyDescent="0.15">
      <c r="W1022" s="22">
        <v>250.00498999999999</v>
      </c>
      <c r="X1022">
        <v>509</v>
      </c>
      <c r="Y1022" s="23">
        <v>77.486980000000003</v>
      </c>
      <c r="Z1022" s="4">
        <f t="shared" si="54"/>
        <v>82.927810000000008</v>
      </c>
      <c r="AD1022" s="24">
        <v>250.01804999999999</v>
      </c>
      <c r="AE1022">
        <v>509</v>
      </c>
      <c r="AF1022" s="25">
        <v>87.887960000000007</v>
      </c>
      <c r="AG1022" s="4">
        <f t="shared" si="55"/>
        <v>88.149450000000002</v>
      </c>
    </row>
    <row r="1023" spans="23:33" x14ac:dyDescent="0.15">
      <c r="W1023" s="22">
        <v>250.00404</v>
      </c>
      <c r="X1023">
        <v>509.5</v>
      </c>
      <c r="Y1023" s="4">
        <v>77.477310000000003</v>
      </c>
      <c r="Z1023" s="4">
        <f t="shared" si="54"/>
        <v>82.918140000000008</v>
      </c>
      <c r="AD1023" s="24">
        <v>250.01582999999999</v>
      </c>
      <c r="AE1023">
        <v>509.5</v>
      </c>
      <c r="AF1023" s="19">
        <v>87.978440000000006</v>
      </c>
      <c r="AG1023" s="4">
        <f t="shared" si="55"/>
        <v>88.239930000000001</v>
      </c>
    </row>
    <row r="1024" spans="23:33" x14ac:dyDescent="0.15">
      <c r="W1024" s="22">
        <v>250.00398000000001</v>
      </c>
      <c r="X1024">
        <v>510</v>
      </c>
      <c r="Y1024" s="23">
        <v>77.465789999999998</v>
      </c>
      <c r="Z1024" s="4">
        <f t="shared" si="54"/>
        <v>82.906620000000004</v>
      </c>
      <c r="AD1024" s="24">
        <v>250.01621</v>
      </c>
      <c r="AE1024">
        <v>510</v>
      </c>
      <c r="AF1024" s="25">
        <v>88.035020000000003</v>
      </c>
      <c r="AG1024" s="4">
        <f t="shared" si="55"/>
        <v>88.296509999999998</v>
      </c>
    </row>
    <row r="1025" spans="23:33" x14ac:dyDescent="0.15">
      <c r="W1025" s="22">
        <v>250.00603000000001</v>
      </c>
      <c r="X1025">
        <v>510.5</v>
      </c>
      <c r="Y1025" s="4">
        <v>77.458299999999994</v>
      </c>
      <c r="Z1025" s="4">
        <f t="shared" si="54"/>
        <v>82.89913</v>
      </c>
      <c r="AD1025" s="24">
        <v>250.01311000000001</v>
      </c>
      <c r="AE1025">
        <v>510.5</v>
      </c>
      <c r="AF1025" s="19">
        <v>87.878280000000004</v>
      </c>
      <c r="AG1025" s="4">
        <f t="shared" si="55"/>
        <v>88.139769999999999</v>
      </c>
    </row>
    <row r="1026" spans="23:33" x14ac:dyDescent="0.15">
      <c r="W1026" s="22">
        <v>250.00896</v>
      </c>
      <c r="X1026">
        <v>511</v>
      </c>
      <c r="Y1026" s="23">
        <v>77.452370000000002</v>
      </c>
      <c r="Z1026" s="4">
        <f t="shared" si="54"/>
        <v>82.893200000000007</v>
      </c>
      <c r="AD1026" s="24">
        <v>250.01541</v>
      </c>
      <c r="AE1026">
        <v>511</v>
      </c>
      <c r="AF1026" s="25">
        <v>88.05986</v>
      </c>
      <c r="AG1026" s="4">
        <f t="shared" si="55"/>
        <v>88.321349999999995</v>
      </c>
    </row>
    <row r="1027" spans="23:33" x14ac:dyDescent="0.15">
      <c r="W1027" s="22">
        <v>250.00094999999999</v>
      </c>
      <c r="X1027">
        <v>511.5</v>
      </c>
      <c r="Y1027" s="4">
        <v>77.431179999999998</v>
      </c>
      <c r="Z1027" s="4">
        <f t="shared" si="54"/>
        <v>82.872010000000003</v>
      </c>
      <c r="AD1027" s="24">
        <v>250.01888</v>
      </c>
      <c r="AE1027">
        <v>511.5</v>
      </c>
      <c r="AF1027" s="19">
        <v>88.040530000000004</v>
      </c>
      <c r="AG1027" s="4">
        <f t="shared" si="55"/>
        <v>88.302019999999999</v>
      </c>
    </row>
    <row r="1028" spans="23:33" x14ac:dyDescent="0.15">
      <c r="W1028" s="22">
        <v>250.00103999999999</v>
      </c>
      <c r="X1028">
        <v>512</v>
      </c>
      <c r="Y1028" s="23">
        <v>77.429479999999998</v>
      </c>
      <c r="Z1028" s="4">
        <f t="shared" si="54"/>
        <v>82.870310000000003</v>
      </c>
      <c r="AD1028" s="24">
        <v>250.01836</v>
      </c>
      <c r="AE1028">
        <v>512</v>
      </c>
      <c r="AF1028" s="25">
        <v>88.046840000000003</v>
      </c>
      <c r="AG1028" s="4">
        <f t="shared" si="55"/>
        <v>88.308329999999998</v>
      </c>
    </row>
    <row r="1029" spans="23:33" x14ac:dyDescent="0.15">
      <c r="W1029" s="22">
        <v>250.00397000000001</v>
      </c>
      <c r="X1029">
        <v>512.5</v>
      </c>
      <c r="Y1029" s="4">
        <v>77.417950000000005</v>
      </c>
      <c r="Z1029" s="4">
        <f t="shared" ref="Z1029:Z1092" si="56">100-($Y$4-Y1029)</f>
        <v>82.85878000000001</v>
      </c>
      <c r="AD1029" s="24">
        <v>250.01846</v>
      </c>
      <c r="AE1029">
        <v>512.5</v>
      </c>
      <c r="AF1029" s="19">
        <v>87.989310000000003</v>
      </c>
      <c r="AG1029" s="4">
        <f t="shared" ref="AG1029:AG1092" si="57">100-($AF$4-AF1029)</f>
        <v>88.250799999999998</v>
      </c>
    </row>
    <row r="1030" spans="23:33" x14ac:dyDescent="0.15">
      <c r="W1030" s="22">
        <v>250.00398999999999</v>
      </c>
      <c r="X1030">
        <v>513</v>
      </c>
      <c r="Y1030" s="23">
        <v>77.419899999999998</v>
      </c>
      <c r="Z1030" s="4">
        <f t="shared" si="56"/>
        <v>82.860730000000004</v>
      </c>
      <c r="AD1030" s="24">
        <v>250.01758000000001</v>
      </c>
      <c r="AE1030">
        <v>513</v>
      </c>
      <c r="AF1030" s="25">
        <v>88.024420000000006</v>
      </c>
      <c r="AG1030" s="4">
        <f t="shared" si="57"/>
        <v>88.285910000000001</v>
      </c>
    </row>
    <row r="1031" spans="23:33" x14ac:dyDescent="0.15">
      <c r="W1031" s="22">
        <v>250.00201999999999</v>
      </c>
      <c r="X1031">
        <v>513.5</v>
      </c>
      <c r="Y1031" s="4">
        <v>77.406379999999999</v>
      </c>
      <c r="Z1031" s="4">
        <f t="shared" si="56"/>
        <v>82.847210000000004</v>
      </c>
      <c r="AD1031" s="24">
        <v>250.01324</v>
      </c>
      <c r="AE1031">
        <v>513.5</v>
      </c>
      <c r="AF1031" s="19">
        <v>87.890519999999995</v>
      </c>
      <c r="AG1031" s="4">
        <f t="shared" si="57"/>
        <v>88.15200999999999</v>
      </c>
    </row>
    <row r="1032" spans="23:33" x14ac:dyDescent="0.15">
      <c r="W1032" s="22">
        <v>250.00505000000001</v>
      </c>
      <c r="X1032">
        <v>514</v>
      </c>
      <c r="Y1032" s="23">
        <v>77.408280000000005</v>
      </c>
      <c r="Z1032" s="4">
        <f t="shared" si="56"/>
        <v>82.84911000000001</v>
      </c>
      <c r="AD1032" s="24">
        <v>250.01106999999999</v>
      </c>
      <c r="AE1032">
        <v>514</v>
      </c>
      <c r="AF1032" s="25">
        <v>87.950429999999997</v>
      </c>
      <c r="AG1032" s="4">
        <f t="shared" si="57"/>
        <v>88.211919999999992</v>
      </c>
    </row>
    <row r="1033" spans="23:33" x14ac:dyDescent="0.15">
      <c r="W1033" s="22">
        <v>250.00398000000001</v>
      </c>
      <c r="X1033">
        <v>514.5</v>
      </c>
      <c r="Y1033" s="4">
        <v>77.395020000000002</v>
      </c>
      <c r="Z1033" s="4">
        <f t="shared" si="56"/>
        <v>82.835850000000008</v>
      </c>
      <c r="AD1033" s="24">
        <v>250.01442</v>
      </c>
      <c r="AE1033">
        <v>514.5</v>
      </c>
      <c r="AF1033" s="19">
        <v>88.026690000000002</v>
      </c>
      <c r="AG1033" s="4">
        <f t="shared" si="57"/>
        <v>88.288179999999997</v>
      </c>
    </row>
    <row r="1034" spans="23:33" x14ac:dyDescent="0.15">
      <c r="W1034" s="22">
        <v>250.00799000000001</v>
      </c>
      <c r="X1034">
        <v>515</v>
      </c>
      <c r="Y1034" s="23">
        <v>77.372159999999994</v>
      </c>
      <c r="Z1034" s="4">
        <f t="shared" si="56"/>
        <v>82.812989999999999</v>
      </c>
      <c r="AD1034" s="24">
        <v>250.01703000000001</v>
      </c>
      <c r="AE1034">
        <v>515</v>
      </c>
      <c r="AF1034" s="25">
        <v>87.951409999999996</v>
      </c>
      <c r="AG1034" s="4">
        <f t="shared" si="57"/>
        <v>88.212899999999991</v>
      </c>
    </row>
    <row r="1035" spans="23:33" x14ac:dyDescent="0.15">
      <c r="W1035" s="22">
        <v>250.00796</v>
      </c>
      <c r="X1035">
        <v>515.5</v>
      </c>
      <c r="Y1035" s="4">
        <v>77.379509999999996</v>
      </c>
      <c r="Z1035" s="4">
        <f t="shared" si="56"/>
        <v>82.820340000000002</v>
      </c>
      <c r="AD1035" s="24">
        <v>250.01694000000001</v>
      </c>
      <c r="AE1035">
        <v>515.5</v>
      </c>
      <c r="AF1035" s="19">
        <v>87.896460000000005</v>
      </c>
      <c r="AG1035" s="4">
        <f t="shared" si="57"/>
        <v>88.15795</v>
      </c>
    </row>
    <row r="1036" spans="23:33" x14ac:dyDescent="0.15">
      <c r="W1036" s="22">
        <v>250.00496999999999</v>
      </c>
      <c r="X1036">
        <v>516</v>
      </c>
      <c r="Y1036" s="23">
        <v>77.370009999999994</v>
      </c>
      <c r="Z1036" s="4">
        <f t="shared" si="56"/>
        <v>82.810839999999999</v>
      </c>
      <c r="AD1036" s="24">
        <v>250.01557</v>
      </c>
      <c r="AE1036">
        <v>516</v>
      </c>
      <c r="AF1036" s="25">
        <v>87.888729999999995</v>
      </c>
      <c r="AG1036" s="4">
        <f t="shared" si="57"/>
        <v>88.15021999999999</v>
      </c>
    </row>
    <row r="1037" spans="23:33" x14ac:dyDescent="0.15">
      <c r="W1037" s="22">
        <v>250.00299999999999</v>
      </c>
      <c r="X1037">
        <v>516.5</v>
      </c>
      <c r="Y1037" s="4">
        <v>77.362219999999994</v>
      </c>
      <c r="Z1037" s="4">
        <f t="shared" si="56"/>
        <v>82.803049999999999</v>
      </c>
      <c r="AD1037" s="24">
        <v>250.01488000000001</v>
      </c>
      <c r="AE1037">
        <v>516.5</v>
      </c>
      <c r="AF1037" s="19">
        <v>88.001549999999995</v>
      </c>
      <c r="AG1037" s="4">
        <f t="shared" si="57"/>
        <v>88.26303999999999</v>
      </c>
    </row>
    <row r="1038" spans="23:33" x14ac:dyDescent="0.15">
      <c r="W1038" s="22">
        <v>250.005</v>
      </c>
      <c r="X1038">
        <v>517</v>
      </c>
      <c r="Y1038" s="23">
        <v>77.350899999999996</v>
      </c>
      <c r="Z1038" s="4">
        <f t="shared" si="56"/>
        <v>82.791730000000001</v>
      </c>
      <c r="AD1038" s="24">
        <v>250.01508000000001</v>
      </c>
      <c r="AE1038">
        <v>517</v>
      </c>
      <c r="AF1038" s="25">
        <v>87.831940000000003</v>
      </c>
      <c r="AG1038" s="4">
        <f t="shared" si="57"/>
        <v>88.093429999999998</v>
      </c>
    </row>
    <row r="1039" spans="23:33" x14ac:dyDescent="0.15">
      <c r="W1039" s="22">
        <v>250.00397000000001</v>
      </c>
      <c r="X1039">
        <v>517.5</v>
      </c>
      <c r="Y1039" s="4">
        <v>77.337410000000006</v>
      </c>
      <c r="Z1039" s="4">
        <f t="shared" si="56"/>
        <v>82.778240000000011</v>
      </c>
      <c r="AD1039" s="24">
        <v>250.0155</v>
      </c>
      <c r="AE1039">
        <v>517.5</v>
      </c>
      <c r="AF1039" s="19">
        <v>87.870590000000007</v>
      </c>
      <c r="AG1039" s="4">
        <f t="shared" si="57"/>
        <v>88.132080000000002</v>
      </c>
    </row>
    <row r="1040" spans="23:33" x14ac:dyDescent="0.15">
      <c r="W1040" s="22">
        <v>250.00799000000001</v>
      </c>
      <c r="X1040">
        <v>518</v>
      </c>
      <c r="Y1040" s="23">
        <v>77.337400000000002</v>
      </c>
      <c r="Z1040" s="4">
        <f t="shared" si="56"/>
        <v>82.778230000000008</v>
      </c>
      <c r="AD1040" s="24">
        <v>250.01409000000001</v>
      </c>
      <c r="AE1040">
        <v>518</v>
      </c>
      <c r="AF1040" s="25">
        <v>87.843450000000004</v>
      </c>
      <c r="AG1040" s="4">
        <f t="shared" si="57"/>
        <v>88.104939999999999</v>
      </c>
    </row>
    <row r="1041" spans="23:33" x14ac:dyDescent="0.15">
      <c r="W1041" s="22">
        <v>250.00496000000001</v>
      </c>
      <c r="X1041">
        <v>518.5</v>
      </c>
      <c r="Y1041" s="4">
        <v>77.316190000000006</v>
      </c>
      <c r="Z1041" s="4">
        <f t="shared" si="56"/>
        <v>82.757020000000011</v>
      </c>
      <c r="AD1041" s="24">
        <v>250.01670999999999</v>
      </c>
      <c r="AE1041">
        <v>518.5</v>
      </c>
      <c r="AF1041" s="19">
        <v>87.776489999999995</v>
      </c>
      <c r="AG1041" s="4">
        <f t="shared" si="57"/>
        <v>88.03797999999999</v>
      </c>
    </row>
    <row r="1042" spans="23:33" x14ac:dyDescent="0.15">
      <c r="W1042" s="22">
        <v>250.01201</v>
      </c>
      <c r="X1042">
        <v>519</v>
      </c>
      <c r="Y1042" s="23">
        <v>77.30677</v>
      </c>
      <c r="Z1042" s="4">
        <f t="shared" si="56"/>
        <v>82.747600000000006</v>
      </c>
      <c r="AD1042" s="24">
        <v>250.01405</v>
      </c>
      <c r="AE1042">
        <v>519</v>
      </c>
      <c r="AF1042" s="25">
        <v>87.916110000000003</v>
      </c>
      <c r="AG1042" s="4">
        <f t="shared" si="57"/>
        <v>88.177599999999998</v>
      </c>
    </row>
    <row r="1043" spans="23:33" x14ac:dyDescent="0.15">
      <c r="W1043" s="22">
        <v>250.00596999999999</v>
      </c>
      <c r="X1043">
        <v>519.5</v>
      </c>
      <c r="Y1043" s="4">
        <v>77.304879999999997</v>
      </c>
      <c r="Z1043" s="4">
        <f t="shared" si="56"/>
        <v>82.745710000000003</v>
      </c>
      <c r="AD1043" s="24">
        <v>250.01158000000001</v>
      </c>
      <c r="AE1043">
        <v>519.5</v>
      </c>
      <c r="AF1043" s="19">
        <v>87.754900000000006</v>
      </c>
      <c r="AG1043" s="4">
        <f t="shared" si="57"/>
        <v>88.016390000000001</v>
      </c>
    </row>
    <row r="1044" spans="23:33" x14ac:dyDescent="0.15">
      <c r="W1044" s="22">
        <v>250.00402</v>
      </c>
      <c r="X1044">
        <v>520</v>
      </c>
      <c r="Y1044" s="23">
        <v>77.283850000000001</v>
      </c>
      <c r="Z1044" s="4">
        <f t="shared" si="56"/>
        <v>82.724680000000006</v>
      </c>
      <c r="AD1044" s="24">
        <v>250.01373000000001</v>
      </c>
      <c r="AE1044">
        <v>520</v>
      </c>
      <c r="AF1044" s="25">
        <v>87.73039</v>
      </c>
      <c r="AG1044" s="4">
        <f t="shared" si="57"/>
        <v>87.991879999999995</v>
      </c>
    </row>
    <row r="1045" spans="23:33" x14ac:dyDescent="0.15">
      <c r="W1045" s="22">
        <v>250.00503</v>
      </c>
      <c r="X1045">
        <v>520.5</v>
      </c>
      <c r="Y1045" s="4">
        <v>77.281720000000007</v>
      </c>
      <c r="Z1045" s="4">
        <f t="shared" si="56"/>
        <v>82.722550000000012</v>
      </c>
      <c r="AD1045" s="24">
        <v>250.01623000000001</v>
      </c>
      <c r="AE1045">
        <v>520.5</v>
      </c>
      <c r="AF1045" s="19">
        <v>87.685879999999997</v>
      </c>
      <c r="AG1045" s="4">
        <f t="shared" si="57"/>
        <v>87.947369999999992</v>
      </c>
    </row>
    <row r="1046" spans="23:33" x14ac:dyDescent="0.15">
      <c r="W1046" s="22">
        <v>250.01006000000001</v>
      </c>
      <c r="X1046">
        <v>521</v>
      </c>
      <c r="Y1046" s="23">
        <v>77.279960000000003</v>
      </c>
      <c r="Z1046" s="4">
        <f t="shared" si="56"/>
        <v>82.720790000000008</v>
      </c>
      <c r="AD1046" s="24">
        <v>250.01573999999999</v>
      </c>
      <c r="AE1046">
        <v>521</v>
      </c>
      <c r="AF1046" s="25">
        <v>87.841099999999997</v>
      </c>
      <c r="AG1046" s="4">
        <f t="shared" si="57"/>
        <v>88.102589999999992</v>
      </c>
    </row>
    <row r="1047" spans="23:33" x14ac:dyDescent="0.15">
      <c r="W1047" s="22">
        <v>250.00998999999999</v>
      </c>
      <c r="X1047">
        <v>521.5</v>
      </c>
      <c r="Y1047" s="4">
        <v>77.264679999999998</v>
      </c>
      <c r="Z1047" s="4">
        <f t="shared" si="56"/>
        <v>82.705510000000004</v>
      </c>
      <c r="AD1047" s="24">
        <v>250.01712000000001</v>
      </c>
      <c r="AE1047">
        <v>521.5</v>
      </c>
      <c r="AF1047" s="19">
        <v>87.836209999999994</v>
      </c>
      <c r="AG1047" s="4">
        <f t="shared" si="57"/>
        <v>88.097699999999989</v>
      </c>
    </row>
    <row r="1048" spans="23:33" x14ac:dyDescent="0.15">
      <c r="W1048" s="22">
        <v>250.00998000000001</v>
      </c>
      <c r="X1048">
        <v>522</v>
      </c>
      <c r="Y1048" s="23">
        <v>77.276030000000006</v>
      </c>
      <c r="Z1048" s="4">
        <f t="shared" si="56"/>
        <v>82.716860000000011</v>
      </c>
      <c r="AD1048" s="24">
        <v>250.01822000000001</v>
      </c>
      <c r="AE1048">
        <v>522</v>
      </c>
      <c r="AF1048" s="25">
        <v>87.631060000000005</v>
      </c>
      <c r="AG1048" s="4">
        <f t="shared" si="57"/>
        <v>87.89255</v>
      </c>
    </row>
    <row r="1049" spans="23:33" x14ac:dyDescent="0.15">
      <c r="W1049" s="22">
        <v>250.00998000000001</v>
      </c>
      <c r="X1049">
        <v>522.5</v>
      </c>
      <c r="Y1049" s="4">
        <v>77.243610000000004</v>
      </c>
      <c r="Z1049" s="4">
        <f t="shared" si="56"/>
        <v>82.684440000000009</v>
      </c>
      <c r="AD1049" s="24">
        <v>250.02234999999999</v>
      </c>
      <c r="AE1049">
        <v>522.5</v>
      </c>
      <c r="AF1049" s="19">
        <v>87.83493</v>
      </c>
      <c r="AG1049" s="4">
        <f t="shared" si="57"/>
        <v>88.096419999999995</v>
      </c>
    </row>
    <row r="1050" spans="23:33" x14ac:dyDescent="0.15">
      <c r="W1050" s="22">
        <v>250.01</v>
      </c>
      <c r="X1050">
        <v>523</v>
      </c>
      <c r="Y1050" s="23">
        <v>77.258719999999997</v>
      </c>
      <c r="Z1050" s="4">
        <f t="shared" si="56"/>
        <v>82.699550000000002</v>
      </c>
      <c r="AD1050" s="24">
        <v>250.02077</v>
      </c>
      <c r="AE1050">
        <v>523</v>
      </c>
      <c r="AF1050" s="25">
        <v>87.762280000000004</v>
      </c>
      <c r="AG1050" s="4">
        <f t="shared" si="57"/>
        <v>88.023769999999999</v>
      </c>
    </row>
    <row r="1051" spans="23:33" x14ac:dyDescent="0.15">
      <c r="W1051" s="22">
        <v>250.00404</v>
      </c>
      <c r="X1051">
        <v>523.5</v>
      </c>
      <c r="Y1051" s="4">
        <v>77.235699999999994</v>
      </c>
      <c r="Z1051" s="4">
        <f t="shared" si="56"/>
        <v>82.67653</v>
      </c>
      <c r="AD1051" s="24">
        <v>250.01855</v>
      </c>
      <c r="AE1051">
        <v>523.5</v>
      </c>
      <c r="AF1051" s="19">
        <v>87.791179999999997</v>
      </c>
      <c r="AG1051" s="4">
        <f t="shared" si="57"/>
        <v>88.052669999999992</v>
      </c>
    </row>
    <row r="1052" spans="23:33" x14ac:dyDescent="0.15">
      <c r="W1052" s="22">
        <v>250.00198</v>
      </c>
      <c r="X1052">
        <v>524</v>
      </c>
      <c r="Y1052" s="23">
        <v>77.222440000000006</v>
      </c>
      <c r="Z1052" s="4">
        <f t="shared" si="56"/>
        <v>82.663270000000011</v>
      </c>
      <c r="AD1052" s="24">
        <v>250.02027000000001</v>
      </c>
      <c r="AE1052">
        <v>524</v>
      </c>
      <c r="AF1052" s="25">
        <v>87.65428</v>
      </c>
      <c r="AG1052" s="4">
        <f t="shared" si="57"/>
        <v>87.915769999999995</v>
      </c>
    </row>
    <row r="1053" spans="23:33" x14ac:dyDescent="0.15">
      <c r="W1053" s="22">
        <v>250.00602000000001</v>
      </c>
      <c r="X1053">
        <v>524.5</v>
      </c>
      <c r="Y1053" s="4">
        <v>77.224100000000007</v>
      </c>
      <c r="Z1053" s="4">
        <f t="shared" si="56"/>
        <v>82.664930000000012</v>
      </c>
      <c r="AD1053" s="24">
        <v>250.01813000000001</v>
      </c>
      <c r="AE1053">
        <v>524.5</v>
      </c>
      <c r="AF1053" s="19">
        <v>87.771820000000005</v>
      </c>
      <c r="AG1053" s="4">
        <f t="shared" si="57"/>
        <v>88.03331</v>
      </c>
    </row>
    <row r="1054" spans="23:33" x14ac:dyDescent="0.15">
      <c r="W1054" s="22">
        <v>249.99993000000001</v>
      </c>
      <c r="X1054">
        <v>525</v>
      </c>
      <c r="Y1054" s="23">
        <v>77.201210000000003</v>
      </c>
      <c r="Z1054" s="4">
        <f t="shared" si="56"/>
        <v>82.642040000000009</v>
      </c>
      <c r="AD1054" s="24">
        <v>250.01707999999999</v>
      </c>
      <c r="AE1054">
        <v>525</v>
      </c>
      <c r="AF1054" s="25">
        <v>87.813630000000003</v>
      </c>
      <c r="AG1054" s="4">
        <f t="shared" si="57"/>
        <v>88.075119999999998</v>
      </c>
    </row>
    <row r="1055" spans="23:33" x14ac:dyDescent="0.15">
      <c r="W1055" s="22">
        <v>250.00504000000001</v>
      </c>
      <c r="X1055">
        <v>525.5</v>
      </c>
      <c r="Y1055" s="4">
        <v>77.21105</v>
      </c>
      <c r="Z1055" s="4">
        <f t="shared" si="56"/>
        <v>82.651880000000006</v>
      </c>
      <c r="AD1055" s="24">
        <v>250.01750999999999</v>
      </c>
      <c r="AE1055">
        <v>525.5</v>
      </c>
      <c r="AF1055" s="19">
        <v>87.644170000000003</v>
      </c>
      <c r="AG1055" s="4">
        <f t="shared" si="57"/>
        <v>87.905659999999997</v>
      </c>
    </row>
    <row r="1056" spans="23:33" x14ac:dyDescent="0.15">
      <c r="W1056" s="22">
        <v>250.00798</v>
      </c>
      <c r="X1056">
        <v>526</v>
      </c>
      <c r="Y1056" s="23">
        <v>77.205029999999994</v>
      </c>
      <c r="Z1056" s="4">
        <f t="shared" si="56"/>
        <v>82.645859999999999</v>
      </c>
      <c r="AD1056" s="24">
        <v>250.01913999999999</v>
      </c>
      <c r="AE1056">
        <v>526</v>
      </c>
      <c r="AF1056" s="25">
        <v>87.629099999999994</v>
      </c>
      <c r="AG1056" s="4">
        <f t="shared" si="57"/>
        <v>87.890589999999989</v>
      </c>
    </row>
    <row r="1057" spans="23:33" x14ac:dyDescent="0.15">
      <c r="W1057" s="22">
        <v>250.00501</v>
      </c>
      <c r="X1057">
        <v>526.5</v>
      </c>
      <c r="Y1057" s="4">
        <v>77.187939999999998</v>
      </c>
      <c r="Z1057" s="4">
        <f t="shared" si="56"/>
        <v>82.628770000000003</v>
      </c>
      <c r="AD1057" s="24">
        <v>250.01831000000001</v>
      </c>
      <c r="AE1057">
        <v>526.5</v>
      </c>
      <c r="AF1057" s="19">
        <v>87.618200000000002</v>
      </c>
      <c r="AG1057" s="4">
        <f t="shared" si="57"/>
        <v>87.879689999999997</v>
      </c>
    </row>
    <row r="1058" spans="23:33" x14ac:dyDescent="0.15">
      <c r="W1058" s="22">
        <v>250.00197</v>
      </c>
      <c r="X1058">
        <v>527</v>
      </c>
      <c r="Y1058" s="23">
        <v>77.158959999999993</v>
      </c>
      <c r="Z1058" s="4">
        <f t="shared" si="56"/>
        <v>82.599789999999999</v>
      </c>
      <c r="AD1058" s="24">
        <v>250.01444000000001</v>
      </c>
      <c r="AE1058">
        <v>527</v>
      </c>
      <c r="AF1058" s="25">
        <v>87.66292</v>
      </c>
      <c r="AG1058" s="4">
        <f t="shared" si="57"/>
        <v>87.924409999999995</v>
      </c>
    </row>
    <row r="1059" spans="23:33" x14ac:dyDescent="0.15">
      <c r="W1059" s="22">
        <v>250.00497999999999</v>
      </c>
      <c r="X1059">
        <v>527.5</v>
      </c>
      <c r="Y1059" s="4">
        <v>77.187719999999999</v>
      </c>
      <c r="Z1059" s="4">
        <f t="shared" si="56"/>
        <v>82.628550000000004</v>
      </c>
      <c r="AD1059" s="24">
        <v>250.01588000000001</v>
      </c>
      <c r="AE1059">
        <v>527.5</v>
      </c>
      <c r="AF1059" s="19">
        <v>87.679220000000001</v>
      </c>
      <c r="AG1059" s="4">
        <f t="shared" si="57"/>
        <v>87.940709999999996</v>
      </c>
    </row>
    <row r="1060" spans="23:33" x14ac:dyDescent="0.15">
      <c r="W1060" s="22">
        <v>250.00307000000001</v>
      </c>
      <c r="X1060">
        <v>528</v>
      </c>
      <c r="Y1060" s="23">
        <v>77.149540000000002</v>
      </c>
      <c r="Z1060" s="4">
        <f t="shared" si="56"/>
        <v>82.590370000000007</v>
      </c>
      <c r="AD1060" s="24">
        <v>250.01701</v>
      </c>
      <c r="AE1060">
        <v>528</v>
      </c>
      <c r="AF1060" s="25">
        <v>87.589460000000003</v>
      </c>
      <c r="AG1060" s="4">
        <f t="shared" si="57"/>
        <v>87.850949999999997</v>
      </c>
    </row>
    <row r="1061" spans="23:33" x14ac:dyDescent="0.15">
      <c r="W1061" s="22">
        <v>250.00601</v>
      </c>
      <c r="X1061">
        <v>528.5</v>
      </c>
      <c r="Y1061" s="4">
        <v>77.141760000000005</v>
      </c>
      <c r="Z1061" s="4">
        <f t="shared" si="56"/>
        <v>82.58259000000001</v>
      </c>
      <c r="AD1061" s="24">
        <v>250.0145</v>
      </c>
      <c r="AE1061">
        <v>528.5</v>
      </c>
      <c r="AF1061" s="19">
        <v>87.667630000000003</v>
      </c>
      <c r="AG1061" s="4">
        <f t="shared" si="57"/>
        <v>87.929119999999998</v>
      </c>
    </row>
    <row r="1062" spans="23:33" x14ac:dyDescent="0.15">
      <c r="W1062" s="22">
        <v>250.00399999999999</v>
      </c>
      <c r="X1062">
        <v>529</v>
      </c>
      <c r="Y1062" s="23">
        <v>77.137990000000002</v>
      </c>
      <c r="Z1062" s="4">
        <f t="shared" si="56"/>
        <v>82.578820000000007</v>
      </c>
      <c r="AD1062" s="24">
        <v>250.01453000000001</v>
      </c>
      <c r="AE1062">
        <v>529</v>
      </c>
      <c r="AF1062" s="25">
        <v>87.700999999999993</v>
      </c>
      <c r="AG1062" s="4">
        <f t="shared" si="57"/>
        <v>87.962489999999988</v>
      </c>
    </row>
    <row r="1063" spans="23:33" x14ac:dyDescent="0.15">
      <c r="W1063" s="22">
        <v>250.00998999999999</v>
      </c>
      <c r="X1063">
        <v>529.5</v>
      </c>
      <c r="Y1063" s="4">
        <v>77.126509999999996</v>
      </c>
      <c r="Z1063" s="4">
        <f t="shared" si="56"/>
        <v>82.567340000000002</v>
      </c>
      <c r="AD1063" s="24">
        <v>250.01202000000001</v>
      </c>
      <c r="AE1063">
        <v>529.5</v>
      </c>
      <c r="AF1063" s="19">
        <v>87.60172</v>
      </c>
      <c r="AG1063" s="4">
        <f t="shared" si="57"/>
        <v>87.863209999999995</v>
      </c>
    </row>
    <row r="1064" spans="23:33" x14ac:dyDescent="0.15">
      <c r="W1064" s="22">
        <v>250.00597999999999</v>
      </c>
      <c r="X1064">
        <v>530</v>
      </c>
      <c r="Y1064" s="23">
        <v>77.114980000000003</v>
      </c>
      <c r="Z1064" s="4">
        <f t="shared" si="56"/>
        <v>82.555810000000008</v>
      </c>
      <c r="AD1064" s="24">
        <v>250.00972999999999</v>
      </c>
      <c r="AE1064">
        <v>530</v>
      </c>
      <c r="AF1064" s="25">
        <v>87.658540000000002</v>
      </c>
      <c r="AG1064" s="4">
        <f t="shared" si="57"/>
        <v>87.920029999999997</v>
      </c>
    </row>
    <row r="1065" spans="23:33" x14ac:dyDescent="0.15">
      <c r="W1065" s="22">
        <v>249.99798999999999</v>
      </c>
      <c r="X1065">
        <v>530.5</v>
      </c>
      <c r="Y1065" s="4">
        <v>77.095780000000005</v>
      </c>
      <c r="Z1065" s="4">
        <f t="shared" si="56"/>
        <v>82.53661000000001</v>
      </c>
      <c r="AD1065" s="24">
        <v>250.00897000000001</v>
      </c>
      <c r="AE1065">
        <v>530.5</v>
      </c>
      <c r="AF1065" s="19">
        <v>87.685599999999994</v>
      </c>
      <c r="AG1065" s="4">
        <f t="shared" si="57"/>
        <v>87.947089999999989</v>
      </c>
    </row>
    <row r="1066" spans="23:33" x14ac:dyDescent="0.15">
      <c r="W1066" s="22">
        <v>250.00700000000001</v>
      </c>
      <c r="X1066">
        <v>531</v>
      </c>
      <c r="Y1066" s="23">
        <v>77.092140000000001</v>
      </c>
      <c r="Z1066" s="4">
        <f t="shared" si="56"/>
        <v>82.532970000000006</v>
      </c>
      <c r="AD1066" s="24">
        <v>250.00847999999999</v>
      </c>
      <c r="AE1066">
        <v>531</v>
      </c>
      <c r="AF1066" s="25">
        <v>87.664820000000006</v>
      </c>
      <c r="AG1066" s="4">
        <f t="shared" si="57"/>
        <v>87.926310000000001</v>
      </c>
    </row>
    <row r="1067" spans="23:33" x14ac:dyDescent="0.15">
      <c r="W1067" s="22">
        <v>250.00595000000001</v>
      </c>
      <c r="X1067">
        <v>531.5</v>
      </c>
      <c r="Y1067" s="4">
        <v>77.074579999999997</v>
      </c>
      <c r="Z1067" s="4">
        <f t="shared" si="56"/>
        <v>82.515410000000003</v>
      </c>
      <c r="AD1067" s="24">
        <v>250.01085</v>
      </c>
      <c r="AE1067">
        <v>531.5</v>
      </c>
      <c r="AF1067" s="19">
        <v>87.61103</v>
      </c>
      <c r="AG1067" s="4">
        <f t="shared" si="57"/>
        <v>87.872519999999994</v>
      </c>
    </row>
    <row r="1068" spans="23:33" x14ac:dyDescent="0.15">
      <c r="W1068" s="22">
        <v>250.00398999999999</v>
      </c>
      <c r="X1068">
        <v>532</v>
      </c>
      <c r="Y1068" s="23">
        <v>77.074730000000002</v>
      </c>
      <c r="Z1068" s="4">
        <f t="shared" si="56"/>
        <v>82.515560000000008</v>
      </c>
      <c r="AD1068" s="24">
        <v>250.01079999999999</v>
      </c>
      <c r="AE1068">
        <v>532</v>
      </c>
      <c r="AF1068" s="25">
        <v>87.436359999999993</v>
      </c>
      <c r="AG1068" s="4">
        <f t="shared" si="57"/>
        <v>87.697849999999988</v>
      </c>
    </row>
    <row r="1069" spans="23:33" x14ac:dyDescent="0.15">
      <c r="W1069" s="22">
        <v>250.00199000000001</v>
      </c>
      <c r="X1069">
        <v>532.5</v>
      </c>
      <c r="Y1069" s="4">
        <v>77.065119999999993</v>
      </c>
      <c r="Z1069" s="4">
        <f t="shared" si="56"/>
        <v>82.505949999999999</v>
      </c>
      <c r="AD1069" s="24">
        <v>250.01303999999999</v>
      </c>
      <c r="AE1069">
        <v>532.5</v>
      </c>
      <c r="AF1069" s="19">
        <v>87.623220000000003</v>
      </c>
      <c r="AG1069" s="4">
        <f t="shared" si="57"/>
        <v>87.884709999999998</v>
      </c>
    </row>
    <row r="1070" spans="23:33" x14ac:dyDescent="0.15">
      <c r="W1070" s="22">
        <v>249.99997999999999</v>
      </c>
      <c r="X1070">
        <v>533</v>
      </c>
      <c r="Y1070" s="23">
        <v>77.070679999999996</v>
      </c>
      <c r="Z1070" s="4">
        <f t="shared" si="56"/>
        <v>82.511510000000001</v>
      </c>
      <c r="AD1070" s="24">
        <v>250.01560000000001</v>
      </c>
      <c r="AE1070">
        <v>533</v>
      </c>
      <c r="AF1070" s="25">
        <v>87.569400000000002</v>
      </c>
      <c r="AG1070" s="4">
        <f t="shared" si="57"/>
        <v>87.830889999999997</v>
      </c>
    </row>
    <row r="1071" spans="23:33" x14ac:dyDescent="0.15">
      <c r="W1071" s="22">
        <v>250.00905</v>
      </c>
      <c r="X1071">
        <v>533.5</v>
      </c>
      <c r="Y1071" s="4">
        <v>77.052049999999994</v>
      </c>
      <c r="Z1071" s="4">
        <f t="shared" si="56"/>
        <v>82.49288</v>
      </c>
      <c r="AD1071" s="24">
        <v>250.01491999999999</v>
      </c>
      <c r="AE1071">
        <v>533.5</v>
      </c>
      <c r="AF1071" s="19">
        <v>87.471890000000002</v>
      </c>
      <c r="AG1071" s="4">
        <f t="shared" si="57"/>
        <v>87.733379999999997</v>
      </c>
    </row>
    <row r="1072" spans="23:33" x14ac:dyDescent="0.15">
      <c r="W1072" s="22">
        <v>250.00798</v>
      </c>
      <c r="X1072">
        <v>534</v>
      </c>
      <c r="Y1072" s="23">
        <v>77.063100000000006</v>
      </c>
      <c r="Z1072" s="4">
        <f t="shared" si="56"/>
        <v>82.503930000000011</v>
      </c>
      <c r="AD1072" s="24">
        <v>250.01373000000001</v>
      </c>
      <c r="AE1072">
        <v>534</v>
      </c>
      <c r="AF1072" s="25">
        <v>87.54074</v>
      </c>
      <c r="AG1072" s="4">
        <f t="shared" si="57"/>
        <v>87.802229999999994</v>
      </c>
    </row>
    <row r="1073" spans="23:33" x14ac:dyDescent="0.15">
      <c r="W1073" s="22">
        <v>250.00400999999999</v>
      </c>
      <c r="X1073">
        <v>534.5</v>
      </c>
      <c r="Y1073" s="4">
        <v>77.036479999999997</v>
      </c>
      <c r="Z1073" s="4">
        <f t="shared" si="56"/>
        <v>82.477310000000003</v>
      </c>
      <c r="AD1073" s="24">
        <v>250.01438999999999</v>
      </c>
      <c r="AE1073">
        <v>534.5</v>
      </c>
      <c r="AF1073" s="19">
        <v>87.608559999999997</v>
      </c>
      <c r="AG1073" s="4">
        <f t="shared" si="57"/>
        <v>87.870049999999992</v>
      </c>
    </row>
    <row r="1074" spans="23:33" x14ac:dyDescent="0.15">
      <c r="W1074" s="22">
        <v>250.00796</v>
      </c>
      <c r="X1074">
        <v>535</v>
      </c>
      <c r="Y1074" s="23">
        <v>77.026539999999997</v>
      </c>
      <c r="Z1074" s="4">
        <f t="shared" si="56"/>
        <v>82.467370000000003</v>
      </c>
      <c r="AD1074" s="24">
        <v>250.01595</v>
      </c>
      <c r="AE1074">
        <v>535</v>
      </c>
      <c r="AF1074" s="25">
        <v>87.481939999999994</v>
      </c>
      <c r="AG1074" s="4">
        <f t="shared" si="57"/>
        <v>87.743429999999989</v>
      </c>
    </row>
    <row r="1075" spans="23:33" x14ac:dyDescent="0.15">
      <c r="W1075" s="22">
        <v>250.00998999999999</v>
      </c>
      <c r="X1075">
        <v>535.5</v>
      </c>
      <c r="Y1075" s="4">
        <v>77.021060000000006</v>
      </c>
      <c r="Z1075" s="4">
        <f t="shared" si="56"/>
        <v>82.461890000000011</v>
      </c>
      <c r="AD1075" s="24">
        <v>250.01734999999999</v>
      </c>
      <c r="AE1075">
        <v>535.5</v>
      </c>
      <c r="AF1075" s="19">
        <v>87.463729999999998</v>
      </c>
      <c r="AG1075" s="4">
        <f t="shared" si="57"/>
        <v>87.725219999999993</v>
      </c>
    </row>
    <row r="1076" spans="23:33" x14ac:dyDescent="0.15">
      <c r="W1076" s="22">
        <v>250.001</v>
      </c>
      <c r="X1076">
        <v>536</v>
      </c>
      <c r="Y1076" s="23">
        <v>77.009469999999993</v>
      </c>
      <c r="Z1076" s="4">
        <f t="shared" si="56"/>
        <v>82.450299999999999</v>
      </c>
      <c r="AD1076" s="24">
        <v>250.02171000000001</v>
      </c>
      <c r="AE1076">
        <v>536</v>
      </c>
      <c r="AF1076" s="25">
        <v>87.484449999999995</v>
      </c>
      <c r="AG1076" s="4">
        <f t="shared" si="57"/>
        <v>87.74593999999999</v>
      </c>
    </row>
    <row r="1077" spans="23:33" x14ac:dyDescent="0.15">
      <c r="W1077" s="22">
        <v>250.00399999999999</v>
      </c>
      <c r="X1077">
        <v>536.5</v>
      </c>
      <c r="Y1077" s="4">
        <v>76.992270000000005</v>
      </c>
      <c r="Z1077" s="4">
        <f t="shared" si="56"/>
        <v>82.43310000000001</v>
      </c>
      <c r="AD1077" s="24">
        <v>250.02305999999999</v>
      </c>
      <c r="AE1077">
        <v>536.5</v>
      </c>
      <c r="AF1077" s="19">
        <v>87.449839999999995</v>
      </c>
      <c r="AG1077" s="4">
        <f t="shared" si="57"/>
        <v>87.71132999999999</v>
      </c>
    </row>
    <row r="1078" spans="23:33" x14ac:dyDescent="0.15">
      <c r="W1078" s="22">
        <v>250.00395</v>
      </c>
      <c r="X1078">
        <v>537</v>
      </c>
      <c r="Y1078" s="23">
        <v>76.997950000000003</v>
      </c>
      <c r="Z1078" s="4">
        <f t="shared" si="56"/>
        <v>82.438780000000008</v>
      </c>
      <c r="AD1078" s="24">
        <v>250.01725999999999</v>
      </c>
      <c r="AE1078">
        <v>537</v>
      </c>
      <c r="AF1078" s="25">
        <v>87.482039999999998</v>
      </c>
      <c r="AG1078" s="4">
        <f t="shared" si="57"/>
        <v>87.743529999999993</v>
      </c>
    </row>
    <row r="1079" spans="23:33" x14ac:dyDescent="0.15">
      <c r="W1079" s="22">
        <v>250.00601</v>
      </c>
      <c r="X1079">
        <v>537.5</v>
      </c>
      <c r="Y1079" s="4">
        <v>76.988630000000001</v>
      </c>
      <c r="Z1079" s="4">
        <f t="shared" si="56"/>
        <v>82.429460000000006</v>
      </c>
      <c r="AD1079" s="24">
        <v>250.01336000000001</v>
      </c>
      <c r="AE1079">
        <v>537.5</v>
      </c>
      <c r="AF1079" s="19">
        <v>87.527180000000001</v>
      </c>
      <c r="AG1079" s="4">
        <f t="shared" si="57"/>
        <v>87.788669999999996</v>
      </c>
    </row>
    <row r="1080" spans="23:33" x14ac:dyDescent="0.15">
      <c r="W1080" s="22">
        <v>250.005</v>
      </c>
      <c r="X1080">
        <v>538</v>
      </c>
      <c r="Y1080" s="23">
        <v>76.984660000000005</v>
      </c>
      <c r="Z1080" s="4">
        <f t="shared" si="56"/>
        <v>82.425490000000011</v>
      </c>
      <c r="AD1080" s="24">
        <v>250.01586</v>
      </c>
      <c r="AE1080">
        <v>538</v>
      </c>
      <c r="AF1080" s="25">
        <v>87.557010000000005</v>
      </c>
      <c r="AG1080" s="4">
        <f t="shared" si="57"/>
        <v>87.8185</v>
      </c>
    </row>
    <row r="1081" spans="23:33" x14ac:dyDescent="0.15">
      <c r="W1081" s="22">
        <v>249.99797000000001</v>
      </c>
      <c r="X1081">
        <v>538.5</v>
      </c>
      <c r="Y1081" s="4">
        <v>76.967479999999995</v>
      </c>
      <c r="Z1081" s="4">
        <f t="shared" si="56"/>
        <v>82.40831</v>
      </c>
      <c r="AD1081" s="24">
        <v>250.01704000000001</v>
      </c>
      <c r="AE1081">
        <v>538.5</v>
      </c>
      <c r="AF1081" s="19">
        <v>87.564580000000007</v>
      </c>
      <c r="AG1081" s="4">
        <f t="shared" si="57"/>
        <v>87.826070000000001</v>
      </c>
    </row>
    <row r="1082" spans="23:33" x14ac:dyDescent="0.15">
      <c r="W1082" s="22">
        <v>250.00202999999999</v>
      </c>
      <c r="X1082">
        <v>539</v>
      </c>
      <c r="Y1082" s="23">
        <v>76.948160000000001</v>
      </c>
      <c r="Z1082" s="4">
        <f t="shared" si="56"/>
        <v>82.388990000000007</v>
      </c>
      <c r="AD1082" s="24">
        <v>250.01677000000001</v>
      </c>
      <c r="AE1082">
        <v>539</v>
      </c>
      <c r="AF1082" s="25">
        <v>87.440129999999996</v>
      </c>
      <c r="AG1082" s="4">
        <f t="shared" si="57"/>
        <v>87.701619999999991</v>
      </c>
    </row>
    <row r="1083" spans="23:33" x14ac:dyDescent="0.15">
      <c r="W1083" s="22">
        <v>250.00899000000001</v>
      </c>
      <c r="X1083">
        <v>539.5</v>
      </c>
      <c r="Y1083" s="4">
        <v>76.955730000000003</v>
      </c>
      <c r="Z1083" s="4">
        <f t="shared" si="56"/>
        <v>82.396560000000008</v>
      </c>
      <c r="AD1083" s="24">
        <v>250.01737</v>
      </c>
      <c r="AE1083">
        <v>539.5</v>
      </c>
      <c r="AF1083" s="19">
        <v>87.362949999999998</v>
      </c>
      <c r="AG1083" s="4">
        <f t="shared" si="57"/>
        <v>87.624439999999993</v>
      </c>
    </row>
    <row r="1084" spans="23:33" x14ac:dyDescent="0.15">
      <c r="W1084" s="22">
        <v>250.00399999999999</v>
      </c>
      <c r="X1084">
        <v>540</v>
      </c>
      <c r="Y1084" s="23">
        <v>76.938370000000006</v>
      </c>
      <c r="Z1084" s="4">
        <f t="shared" si="56"/>
        <v>82.379200000000012</v>
      </c>
      <c r="AD1084" s="24">
        <v>250.01205999999999</v>
      </c>
      <c r="AE1084">
        <v>540</v>
      </c>
      <c r="AF1084" s="25">
        <v>87.463880000000003</v>
      </c>
      <c r="AG1084" s="4">
        <f t="shared" si="57"/>
        <v>87.725369999999998</v>
      </c>
    </row>
    <row r="1085" spans="23:33" x14ac:dyDescent="0.15">
      <c r="W1085" s="22">
        <v>250.00102999999999</v>
      </c>
      <c r="X1085">
        <v>540.5</v>
      </c>
      <c r="Y1085" s="4">
        <v>76.925079999999994</v>
      </c>
      <c r="Z1085" s="4">
        <f t="shared" si="56"/>
        <v>82.36591</v>
      </c>
      <c r="AD1085" s="24">
        <v>250.01500999999999</v>
      </c>
      <c r="AE1085">
        <v>540.5</v>
      </c>
      <c r="AF1085" s="19">
        <v>87.450010000000006</v>
      </c>
      <c r="AG1085" s="4">
        <f t="shared" si="57"/>
        <v>87.711500000000001</v>
      </c>
    </row>
    <row r="1086" spans="23:33" x14ac:dyDescent="0.15">
      <c r="W1086" s="22">
        <v>250.00004999999999</v>
      </c>
      <c r="X1086">
        <v>541</v>
      </c>
      <c r="Y1086" s="23">
        <v>76.931049999999999</v>
      </c>
      <c r="Z1086" s="4">
        <f t="shared" si="56"/>
        <v>82.371880000000004</v>
      </c>
      <c r="AD1086" s="24">
        <v>250.01593</v>
      </c>
      <c r="AE1086">
        <v>541</v>
      </c>
      <c r="AF1086" s="25">
        <v>87.416870000000003</v>
      </c>
      <c r="AG1086" s="4">
        <f t="shared" si="57"/>
        <v>87.678359999999998</v>
      </c>
    </row>
    <row r="1087" spans="23:33" x14ac:dyDescent="0.15">
      <c r="W1087" s="22">
        <v>250.00299999999999</v>
      </c>
      <c r="X1087">
        <v>541.5</v>
      </c>
      <c r="Y1087" s="4">
        <v>76.930869999999999</v>
      </c>
      <c r="Z1087" s="4">
        <f t="shared" si="56"/>
        <v>82.371700000000004</v>
      </c>
      <c r="AD1087" s="24">
        <v>250.01363000000001</v>
      </c>
      <c r="AE1087">
        <v>541.5</v>
      </c>
      <c r="AF1087" s="19">
        <v>87.296989999999994</v>
      </c>
      <c r="AG1087" s="4">
        <f t="shared" si="57"/>
        <v>87.558479999999989</v>
      </c>
    </row>
    <row r="1088" spans="23:33" x14ac:dyDescent="0.15">
      <c r="W1088" s="22">
        <v>250.00299000000001</v>
      </c>
      <c r="X1088">
        <v>542</v>
      </c>
      <c r="Y1088" s="23">
        <v>76.928880000000007</v>
      </c>
      <c r="Z1088" s="4">
        <f t="shared" si="56"/>
        <v>82.369710000000012</v>
      </c>
      <c r="AD1088" s="24">
        <v>250.01435000000001</v>
      </c>
      <c r="AE1088">
        <v>542</v>
      </c>
      <c r="AF1088" s="25">
        <v>87.420270000000002</v>
      </c>
      <c r="AG1088" s="4">
        <f t="shared" si="57"/>
        <v>87.681759999999997</v>
      </c>
    </row>
    <row r="1089" spans="23:33" x14ac:dyDescent="0.15">
      <c r="W1089" s="22">
        <v>250.00601</v>
      </c>
      <c r="X1089">
        <v>542.5</v>
      </c>
      <c r="Y1089" s="4">
        <v>76.93074</v>
      </c>
      <c r="Z1089" s="4">
        <f t="shared" si="56"/>
        <v>82.371570000000006</v>
      </c>
      <c r="AD1089" s="24">
        <v>250.01598999999999</v>
      </c>
      <c r="AE1089">
        <v>542.5</v>
      </c>
      <c r="AF1089" s="19">
        <v>87.473470000000006</v>
      </c>
      <c r="AG1089" s="4">
        <f t="shared" si="57"/>
        <v>87.734960000000001</v>
      </c>
    </row>
    <row r="1090" spans="23:33" x14ac:dyDescent="0.15">
      <c r="W1090" s="22">
        <v>250.00504000000001</v>
      </c>
      <c r="X1090">
        <v>543</v>
      </c>
      <c r="Y1090" s="23">
        <v>76.904160000000005</v>
      </c>
      <c r="Z1090" s="4">
        <f t="shared" si="56"/>
        <v>82.34499000000001</v>
      </c>
      <c r="AD1090" s="24">
        <v>250.01853</v>
      </c>
      <c r="AE1090">
        <v>543</v>
      </c>
      <c r="AF1090" s="25">
        <v>87.268339999999995</v>
      </c>
      <c r="AG1090" s="4">
        <f t="shared" si="57"/>
        <v>87.52982999999999</v>
      </c>
    </row>
    <row r="1091" spans="23:33" x14ac:dyDescent="0.15">
      <c r="W1091" s="22">
        <v>250.00703999999999</v>
      </c>
      <c r="X1091">
        <v>543.5</v>
      </c>
      <c r="Y1091" s="4">
        <v>76.892589999999998</v>
      </c>
      <c r="Z1091" s="4">
        <f t="shared" si="56"/>
        <v>82.333420000000004</v>
      </c>
      <c r="AD1091" s="24">
        <v>250.01731000000001</v>
      </c>
      <c r="AE1091">
        <v>543.5</v>
      </c>
      <c r="AF1091" s="19">
        <v>87.515770000000003</v>
      </c>
      <c r="AG1091" s="4">
        <f t="shared" si="57"/>
        <v>87.777259999999998</v>
      </c>
    </row>
    <row r="1092" spans="23:33" x14ac:dyDescent="0.15">
      <c r="W1092" s="22">
        <v>250.01</v>
      </c>
      <c r="X1092">
        <v>544</v>
      </c>
      <c r="Y1092" s="23">
        <v>76.89058</v>
      </c>
      <c r="Z1092" s="4">
        <f t="shared" si="56"/>
        <v>82.331410000000005</v>
      </c>
      <c r="AD1092" s="24">
        <v>250.01528999999999</v>
      </c>
      <c r="AE1092">
        <v>544</v>
      </c>
      <c r="AF1092" s="25">
        <v>87.410899999999998</v>
      </c>
      <c r="AG1092" s="4">
        <f t="shared" si="57"/>
        <v>87.672389999999993</v>
      </c>
    </row>
    <row r="1093" spans="23:33" x14ac:dyDescent="0.15">
      <c r="W1093" s="22">
        <v>250.01102</v>
      </c>
      <c r="X1093">
        <v>544.5</v>
      </c>
      <c r="Y1093" s="4">
        <v>76.886880000000005</v>
      </c>
      <c r="Z1093" s="4">
        <f t="shared" ref="Z1093:Z1156" si="58">100-($Y$4-Y1093)</f>
        <v>82.32771000000001</v>
      </c>
      <c r="AD1093" s="24">
        <v>250.01541</v>
      </c>
      <c r="AE1093">
        <v>544.5</v>
      </c>
      <c r="AF1093" s="19">
        <v>87.375860000000003</v>
      </c>
      <c r="AG1093" s="4">
        <f t="shared" ref="AG1093:AG1156" si="59">100-($AF$4-AF1093)</f>
        <v>87.637349999999998</v>
      </c>
    </row>
    <row r="1094" spans="23:33" x14ac:dyDescent="0.15">
      <c r="W1094" s="22">
        <v>250.00501</v>
      </c>
      <c r="X1094">
        <v>545</v>
      </c>
      <c r="Y1094" s="23">
        <v>76.869579999999999</v>
      </c>
      <c r="Z1094" s="4">
        <f t="shared" si="58"/>
        <v>82.310410000000005</v>
      </c>
      <c r="AD1094" s="24">
        <v>250.018</v>
      </c>
      <c r="AE1094">
        <v>545</v>
      </c>
      <c r="AF1094" s="25">
        <v>87.411689999999993</v>
      </c>
      <c r="AG1094" s="4">
        <f t="shared" si="59"/>
        <v>87.673179999999988</v>
      </c>
    </row>
    <row r="1095" spans="23:33" x14ac:dyDescent="0.15">
      <c r="W1095" s="22">
        <v>250.00306</v>
      </c>
      <c r="X1095">
        <v>545.5</v>
      </c>
      <c r="Y1095" s="4">
        <v>76.873459999999994</v>
      </c>
      <c r="Z1095" s="4">
        <f t="shared" si="58"/>
        <v>82.31429</v>
      </c>
      <c r="AD1095" s="24">
        <v>250.01874000000001</v>
      </c>
      <c r="AE1095">
        <v>545.5</v>
      </c>
      <c r="AF1095" s="19">
        <v>87.378360000000001</v>
      </c>
      <c r="AG1095" s="4">
        <f t="shared" si="59"/>
        <v>87.639849999999996</v>
      </c>
    </row>
    <row r="1096" spans="23:33" x14ac:dyDescent="0.15">
      <c r="W1096" s="22">
        <v>250.00599</v>
      </c>
      <c r="X1096">
        <v>546</v>
      </c>
      <c r="Y1096" s="23">
        <v>76.869579999999999</v>
      </c>
      <c r="Z1096" s="4">
        <f t="shared" si="58"/>
        <v>82.310410000000005</v>
      </c>
      <c r="AD1096" s="24">
        <v>250.01942</v>
      </c>
      <c r="AE1096">
        <v>546</v>
      </c>
      <c r="AF1096" s="25">
        <v>87.388850000000005</v>
      </c>
      <c r="AG1096" s="4">
        <f t="shared" si="59"/>
        <v>87.65034</v>
      </c>
    </row>
    <row r="1097" spans="23:33" x14ac:dyDescent="0.15">
      <c r="W1097" s="22">
        <v>250.00303</v>
      </c>
      <c r="X1097">
        <v>546.5</v>
      </c>
      <c r="Y1097" s="4">
        <v>76.854050000000001</v>
      </c>
      <c r="Z1097" s="4">
        <f t="shared" si="58"/>
        <v>82.294880000000006</v>
      </c>
      <c r="AD1097" s="24">
        <v>250.01906</v>
      </c>
      <c r="AE1097">
        <v>546.5</v>
      </c>
      <c r="AF1097" s="19">
        <v>87.421120000000002</v>
      </c>
      <c r="AG1097" s="4">
        <f t="shared" si="59"/>
        <v>87.682609999999997</v>
      </c>
    </row>
    <row r="1098" spans="23:33" x14ac:dyDescent="0.15">
      <c r="W1098" s="22">
        <v>250.00299000000001</v>
      </c>
      <c r="X1098">
        <v>547</v>
      </c>
      <c r="Y1098" s="23">
        <v>76.834940000000003</v>
      </c>
      <c r="Z1098" s="4">
        <f t="shared" si="58"/>
        <v>82.275770000000009</v>
      </c>
      <c r="AD1098" s="24">
        <v>250.01892000000001</v>
      </c>
      <c r="AE1098">
        <v>547</v>
      </c>
      <c r="AF1098" s="25">
        <v>87.309150000000002</v>
      </c>
      <c r="AG1098" s="4">
        <f t="shared" si="59"/>
        <v>87.570639999999997</v>
      </c>
    </row>
    <row r="1099" spans="23:33" x14ac:dyDescent="0.15">
      <c r="W1099" s="22">
        <v>250.00102999999999</v>
      </c>
      <c r="X1099">
        <v>547.5</v>
      </c>
      <c r="Y1099" s="4">
        <v>76.8446</v>
      </c>
      <c r="Z1099" s="4">
        <f t="shared" si="58"/>
        <v>82.285430000000005</v>
      </c>
      <c r="AD1099" s="24">
        <v>250.01903999999999</v>
      </c>
      <c r="AE1099">
        <v>547.5</v>
      </c>
      <c r="AF1099" s="19">
        <v>87.237579999999994</v>
      </c>
      <c r="AG1099" s="4">
        <f t="shared" si="59"/>
        <v>87.499069999999989</v>
      </c>
    </row>
    <row r="1100" spans="23:33" x14ac:dyDescent="0.15">
      <c r="W1100" s="22">
        <v>249.99897999999999</v>
      </c>
      <c r="X1100">
        <v>548</v>
      </c>
      <c r="Y1100" s="23">
        <v>76.825469999999996</v>
      </c>
      <c r="Z1100" s="4">
        <f t="shared" si="58"/>
        <v>82.266300000000001</v>
      </c>
      <c r="AD1100" s="24">
        <v>250.02011999999999</v>
      </c>
      <c r="AE1100">
        <v>548</v>
      </c>
      <c r="AF1100" s="25">
        <v>87.393929999999997</v>
      </c>
      <c r="AG1100" s="4">
        <f t="shared" si="59"/>
        <v>87.655419999999992</v>
      </c>
    </row>
    <row r="1101" spans="23:33" x14ac:dyDescent="0.15">
      <c r="W1101" s="22">
        <v>250.00303</v>
      </c>
      <c r="X1101">
        <v>548.5</v>
      </c>
      <c r="Y1101" s="4">
        <v>76.812129999999996</v>
      </c>
      <c r="Z1101" s="4">
        <f t="shared" si="58"/>
        <v>82.252960000000002</v>
      </c>
      <c r="AD1101" s="24">
        <v>250.01937000000001</v>
      </c>
      <c r="AE1101">
        <v>548.5</v>
      </c>
      <c r="AF1101" s="19">
        <v>87.359470000000002</v>
      </c>
      <c r="AG1101" s="4">
        <f t="shared" si="59"/>
        <v>87.620959999999997</v>
      </c>
    </row>
    <row r="1102" spans="23:33" x14ac:dyDescent="0.15">
      <c r="W1102" s="22">
        <v>250.00397000000001</v>
      </c>
      <c r="X1102">
        <v>549</v>
      </c>
      <c r="Y1102" s="23">
        <v>76.814040000000006</v>
      </c>
      <c r="Z1102" s="4">
        <f t="shared" si="58"/>
        <v>82.254870000000011</v>
      </c>
      <c r="AD1102" s="24">
        <v>250.02132</v>
      </c>
      <c r="AE1102">
        <v>549</v>
      </c>
      <c r="AF1102" s="25">
        <v>87.299890000000005</v>
      </c>
      <c r="AG1102" s="4">
        <f t="shared" si="59"/>
        <v>87.56138</v>
      </c>
    </row>
    <row r="1103" spans="23:33" x14ac:dyDescent="0.15">
      <c r="W1103" s="22">
        <v>250.00397000000001</v>
      </c>
      <c r="X1103">
        <v>549.5</v>
      </c>
      <c r="Y1103" s="4">
        <v>76.813969999999998</v>
      </c>
      <c r="Z1103" s="4">
        <f t="shared" si="58"/>
        <v>82.254800000000003</v>
      </c>
      <c r="AD1103" s="24">
        <v>250.02146999999999</v>
      </c>
      <c r="AE1103">
        <v>549.5</v>
      </c>
      <c r="AF1103" s="19">
        <v>87.294020000000003</v>
      </c>
      <c r="AG1103" s="4">
        <f t="shared" si="59"/>
        <v>87.555509999999998</v>
      </c>
    </row>
    <row r="1104" spans="23:33" x14ac:dyDescent="0.15">
      <c r="W1104" s="22">
        <v>250.00102999999999</v>
      </c>
      <c r="X1104">
        <v>550</v>
      </c>
      <c r="Y1104" s="23">
        <v>76.787149999999997</v>
      </c>
      <c r="Z1104" s="4">
        <f t="shared" si="58"/>
        <v>82.227980000000002</v>
      </c>
      <c r="AD1104" s="24">
        <v>250.02280999999999</v>
      </c>
      <c r="AE1104">
        <v>550</v>
      </c>
      <c r="AF1104" s="25">
        <v>87.29365</v>
      </c>
      <c r="AG1104" s="4">
        <f t="shared" si="59"/>
        <v>87.555139999999994</v>
      </c>
    </row>
    <row r="1105" spans="23:33" x14ac:dyDescent="0.15">
      <c r="W1105" s="22">
        <v>250.00799000000001</v>
      </c>
      <c r="X1105">
        <v>550.5</v>
      </c>
      <c r="Y1105" s="4">
        <v>76.788970000000006</v>
      </c>
      <c r="Z1105" s="4">
        <f t="shared" si="58"/>
        <v>82.229800000000012</v>
      </c>
      <c r="AD1105" s="24">
        <v>250.01891000000001</v>
      </c>
      <c r="AE1105">
        <v>550.5</v>
      </c>
      <c r="AF1105" s="19">
        <v>87.161360000000002</v>
      </c>
      <c r="AG1105" s="4">
        <f t="shared" si="59"/>
        <v>87.422849999999997</v>
      </c>
    </row>
    <row r="1106" spans="23:33" x14ac:dyDescent="0.15">
      <c r="W1106" s="22">
        <v>250.00402</v>
      </c>
      <c r="X1106">
        <v>551</v>
      </c>
      <c r="Y1106" s="23">
        <v>76.775549999999996</v>
      </c>
      <c r="Z1106" s="4">
        <f t="shared" si="58"/>
        <v>82.216380000000001</v>
      </c>
      <c r="AD1106" s="24">
        <v>250.01519999999999</v>
      </c>
      <c r="AE1106">
        <v>551</v>
      </c>
      <c r="AF1106" s="25">
        <v>87.189660000000003</v>
      </c>
      <c r="AG1106" s="4">
        <f t="shared" si="59"/>
        <v>87.451149999999998</v>
      </c>
    </row>
    <row r="1107" spans="23:33" x14ac:dyDescent="0.15">
      <c r="W1107" s="22">
        <v>250.00695999999999</v>
      </c>
      <c r="X1107">
        <v>551.5</v>
      </c>
      <c r="Y1107" s="4">
        <v>76.783230000000003</v>
      </c>
      <c r="Z1107" s="4">
        <f t="shared" si="58"/>
        <v>82.224060000000009</v>
      </c>
      <c r="AD1107" s="24">
        <v>250.01678999999999</v>
      </c>
      <c r="AE1107">
        <v>551.5</v>
      </c>
      <c r="AF1107" s="19">
        <v>87.270520000000005</v>
      </c>
      <c r="AG1107" s="4">
        <f t="shared" si="59"/>
        <v>87.53201</v>
      </c>
    </row>
    <row r="1108" spans="23:33" x14ac:dyDescent="0.15">
      <c r="W1108" s="22">
        <v>250.00603000000001</v>
      </c>
      <c r="X1108">
        <v>552</v>
      </c>
      <c r="Y1108" s="23">
        <v>76.769729999999996</v>
      </c>
      <c r="Z1108" s="4">
        <f t="shared" si="58"/>
        <v>82.210560000000001</v>
      </c>
      <c r="AD1108" s="24">
        <v>250.01924</v>
      </c>
      <c r="AE1108">
        <v>552</v>
      </c>
      <c r="AF1108" s="25">
        <v>87.096149999999994</v>
      </c>
      <c r="AG1108" s="4">
        <f t="shared" si="59"/>
        <v>87.357639999999989</v>
      </c>
    </row>
    <row r="1109" spans="23:33" x14ac:dyDescent="0.15">
      <c r="W1109" s="22">
        <v>250.00702999999999</v>
      </c>
      <c r="X1109">
        <v>552.5</v>
      </c>
      <c r="Y1109" s="4">
        <v>76.773600000000002</v>
      </c>
      <c r="Z1109" s="4">
        <f t="shared" si="58"/>
        <v>82.214430000000007</v>
      </c>
      <c r="AD1109" s="24">
        <v>250.01760999999999</v>
      </c>
      <c r="AE1109">
        <v>552.5</v>
      </c>
      <c r="AF1109" s="19">
        <v>87.234290000000001</v>
      </c>
      <c r="AG1109" s="4">
        <f t="shared" si="59"/>
        <v>87.495779999999996</v>
      </c>
    </row>
    <row r="1110" spans="23:33" x14ac:dyDescent="0.15">
      <c r="W1110" s="22">
        <v>250.00897000000001</v>
      </c>
      <c r="X1110">
        <v>553</v>
      </c>
      <c r="Y1110" s="23">
        <v>76.752430000000004</v>
      </c>
      <c r="Z1110" s="4">
        <f t="shared" si="58"/>
        <v>82.193260000000009</v>
      </c>
      <c r="AD1110" s="24">
        <v>250.01434</v>
      </c>
      <c r="AE1110">
        <v>553</v>
      </c>
      <c r="AF1110" s="25">
        <v>87.172970000000007</v>
      </c>
      <c r="AG1110" s="4">
        <f t="shared" si="59"/>
        <v>87.434460000000001</v>
      </c>
    </row>
    <row r="1111" spans="23:33" x14ac:dyDescent="0.15">
      <c r="W1111" s="22">
        <v>250.00397000000001</v>
      </c>
      <c r="X1111">
        <v>553.5</v>
      </c>
      <c r="Y1111" s="4">
        <v>76.733440000000002</v>
      </c>
      <c r="Z1111" s="4">
        <f t="shared" si="58"/>
        <v>82.174270000000007</v>
      </c>
      <c r="AD1111" s="24">
        <v>250.01004</v>
      </c>
      <c r="AE1111">
        <v>553.5</v>
      </c>
      <c r="AF1111" s="19">
        <v>87.304770000000005</v>
      </c>
      <c r="AG1111" s="4">
        <f t="shared" si="59"/>
        <v>87.56626</v>
      </c>
    </row>
    <row r="1112" spans="23:33" x14ac:dyDescent="0.15">
      <c r="W1112" s="22">
        <v>250.00300999999999</v>
      </c>
      <c r="X1112">
        <v>554</v>
      </c>
      <c r="Y1112" s="23">
        <v>76.739090000000004</v>
      </c>
      <c r="Z1112" s="4">
        <f t="shared" si="58"/>
        <v>82.17992000000001</v>
      </c>
      <c r="AD1112" s="24">
        <v>250.00700000000001</v>
      </c>
      <c r="AE1112">
        <v>554</v>
      </c>
      <c r="AF1112" s="25">
        <v>87.230469999999997</v>
      </c>
      <c r="AG1112" s="4">
        <f t="shared" si="59"/>
        <v>87.491959999999992</v>
      </c>
    </row>
    <row r="1113" spans="23:33" x14ac:dyDescent="0.15">
      <c r="W1113" s="22">
        <v>250.00601</v>
      </c>
      <c r="X1113">
        <v>554.5</v>
      </c>
      <c r="Y1113" s="4">
        <v>76.731250000000003</v>
      </c>
      <c r="Z1113" s="4">
        <f t="shared" si="58"/>
        <v>82.172080000000008</v>
      </c>
      <c r="AD1113" s="24">
        <v>250.00480999999999</v>
      </c>
      <c r="AE1113">
        <v>554.5</v>
      </c>
      <c r="AF1113" s="19">
        <v>87.219830000000002</v>
      </c>
      <c r="AG1113" s="4">
        <f t="shared" si="59"/>
        <v>87.481319999999997</v>
      </c>
    </row>
    <row r="1114" spans="23:33" x14ac:dyDescent="0.15">
      <c r="W1114" s="22">
        <v>250.00299000000001</v>
      </c>
      <c r="X1114">
        <v>555</v>
      </c>
      <c r="Y1114" s="23">
        <v>76.725629999999995</v>
      </c>
      <c r="Z1114" s="4">
        <f t="shared" si="58"/>
        <v>82.166460000000001</v>
      </c>
      <c r="AD1114" s="24">
        <v>250.00782000000001</v>
      </c>
      <c r="AE1114">
        <v>555</v>
      </c>
      <c r="AF1114" s="25">
        <v>87.137950000000004</v>
      </c>
      <c r="AG1114" s="4">
        <f t="shared" si="59"/>
        <v>87.399439999999998</v>
      </c>
    </row>
    <row r="1115" spans="23:33" x14ac:dyDescent="0.15">
      <c r="W1115" s="22">
        <v>250.00701000000001</v>
      </c>
      <c r="X1115">
        <v>555.5</v>
      </c>
      <c r="Y1115" s="4">
        <v>76.704599999999999</v>
      </c>
      <c r="Z1115" s="4">
        <f t="shared" si="58"/>
        <v>82.145430000000005</v>
      </c>
      <c r="AD1115" s="24">
        <v>250.00717</v>
      </c>
      <c r="AE1115">
        <v>555.5</v>
      </c>
      <c r="AF1115" s="19">
        <v>87.149469999999994</v>
      </c>
      <c r="AG1115" s="4">
        <f t="shared" si="59"/>
        <v>87.410959999999989</v>
      </c>
    </row>
    <row r="1116" spans="23:33" x14ac:dyDescent="0.15">
      <c r="W1116" s="22">
        <v>250.00799000000001</v>
      </c>
      <c r="X1116">
        <v>556</v>
      </c>
      <c r="Y1116" s="23">
        <v>76.716089999999994</v>
      </c>
      <c r="Z1116" s="4">
        <f t="shared" si="58"/>
        <v>82.15692</v>
      </c>
      <c r="AD1116" s="24">
        <v>250.00987000000001</v>
      </c>
      <c r="AE1116">
        <v>556</v>
      </c>
      <c r="AF1116" s="25">
        <v>87.158119999999997</v>
      </c>
      <c r="AG1116" s="4">
        <f t="shared" si="59"/>
        <v>87.419609999999992</v>
      </c>
    </row>
    <row r="1117" spans="23:33" x14ac:dyDescent="0.15">
      <c r="W1117" s="22">
        <v>250.00597999999999</v>
      </c>
      <c r="X1117">
        <v>556.5</v>
      </c>
      <c r="Y1117" s="4">
        <v>76.69511</v>
      </c>
      <c r="Z1117" s="4">
        <f t="shared" si="58"/>
        <v>82.135940000000005</v>
      </c>
      <c r="AD1117" s="24">
        <v>250.01052000000001</v>
      </c>
      <c r="AE1117">
        <v>556.5</v>
      </c>
      <c r="AF1117" s="19">
        <v>87.159869999999998</v>
      </c>
      <c r="AG1117" s="4">
        <f t="shared" si="59"/>
        <v>87.421359999999993</v>
      </c>
    </row>
    <row r="1118" spans="23:33" x14ac:dyDescent="0.15">
      <c r="W1118" s="22">
        <v>250.00597999999999</v>
      </c>
      <c r="X1118">
        <v>557</v>
      </c>
      <c r="Y1118" s="23">
        <v>76.685450000000003</v>
      </c>
      <c r="Z1118" s="4">
        <f t="shared" si="58"/>
        <v>82.126280000000008</v>
      </c>
      <c r="AD1118" s="24">
        <v>250.01073</v>
      </c>
      <c r="AE1118">
        <v>557</v>
      </c>
      <c r="AF1118" s="25">
        <v>87.138599999999997</v>
      </c>
      <c r="AG1118" s="4">
        <f t="shared" si="59"/>
        <v>87.400089999999992</v>
      </c>
    </row>
    <row r="1119" spans="23:33" x14ac:dyDescent="0.15">
      <c r="W1119" s="22">
        <v>250.00899999999999</v>
      </c>
      <c r="X1119">
        <v>557.5</v>
      </c>
      <c r="Y1119" s="4">
        <v>76.694980000000001</v>
      </c>
      <c r="Z1119" s="4">
        <f t="shared" si="58"/>
        <v>82.135810000000006</v>
      </c>
      <c r="AD1119" s="24">
        <v>250.01354000000001</v>
      </c>
      <c r="AE1119">
        <v>557.5</v>
      </c>
      <c r="AF1119" s="19">
        <v>87.153170000000003</v>
      </c>
      <c r="AG1119" s="4">
        <f t="shared" si="59"/>
        <v>87.414659999999998</v>
      </c>
    </row>
    <row r="1120" spans="23:33" x14ac:dyDescent="0.15">
      <c r="W1120" s="22">
        <v>250.00899000000001</v>
      </c>
      <c r="X1120">
        <v>558</v>
      </c>
      <c r="Y1120" s="23">
        <v>76.697010000000006</v>
      </c>
      <c r="Z1120" s="4">
        <f t="shared" si="58"/>
        <v>82.137840000000011</v>
      </c>
      <c r="AD1120" s="24">
        <v>250.01607000000001</v>
      </c>
      <c r="AE1120">
        <v>558</v>
      </c>
      <c r="AF1120" s="25">
        <v>87.191410000000005</v>
      </c>
      <c r="AG1120" s="4">
        <f t="shared" si="59"/>
        <v>87.4529</v>
      </c>
    </row>
    <row r="1121" spans="23:33" x14ac:dyDescent="0.15">
      <c r="W1121" s="22">
        <v>250.00398999999999</v>
      </c>
      <c r="X1121">
        <v>558.5</v>
      </c>
      <c r="Y1121" s="4">
        <v>76.675659999999993</v>
      </c>
      <c r="Z1121" s="4">
        <f t="shared" si="58"/>
        <v>82.116489999999999</v>
      </c>
      <c r="AD1121" s="24">
        <v>250.01881</v>
      </c>
      <c r="AE1121">
        <v>558.5</v>
      </c>
      <c r="AF1121" s="19">
        <v>87.060029999999998</v>
      </c>
      <c r="AG1121" s="4">
        <f t="shared" si="59"/>
        <v>87.321519999999992</v>
      </c>
    </row>
    <row r="1122" spans="23:33" x14ac:dyDescent="0.15">
      <c r="W1122" s="22">
        <v>250.00402</v>
      </c>
      <c r="X1122">
        <v>559</v>
      </c>
      <c r="Y1122" s="23">
        <v>76.666259999999994</v>
      </c>
      <c r="Z1122" s="4">
        <f t="shared" si="58"/>
        <v>82.107089999999999</v>
      </c>
      <c r="AD1122" s="24">
        <v>250.02233000000001</v>
      </c>
      <c r="AE1122">
        <v>559</v>
      </c>
      <c r="AF1122" s="25">
        <v>87.053449999999998</v>
      </c>
      <c r="AG1122" s="4">
        <f t="shared" si="59"/>
        <v>87.314939999999993</v>
      </c>
    </row>
    <row r="1123" spans="23:33" x14ac:dyDescent="0.15">
      <c r="W1123" s="22">
        <v>250.00501</v>
      </c>
      <c r="X1123">
        <v>559.5</v>
      </c>
      <c r="Y1123" s="4">
        <v>76.683509999999998</v>
      </c>
      <c r="Z1123" s="4">
        <f t="shared" si="58"/>
        <v>82.124340000000004</v>
      </c>
      <c r="AD1123" s="24">
        <v>250.02440999999999</v>
      </c>
      <c r="AE1123">
        <v>559.5</v>
      </c>
      <c r="AF1123" s="19">
        <v>87.065420000000003</v>
      </c>
      <c r="AG1123" s="4">
        <f t="shared" si="59"/>
        <v>87.326909999999998</v>
      </c>
    </row>
    <row r="1124" spans="23:33" x14ac:dyDescent="0.15">
      <c r="W1124" s="22">
        <v>250.006</v>
      </c>
      <c r="X1124">
        <v>560</v>
      </c>
      <c r="Y1124" s="23">
        <v>76.67577</v>
      </c>
      <c r="Z1124" s="4">
        <f t="shared" si="58"/>
        <v>82.116600000000005</v>
      </c>
      <c r="AD1124" s="24">
        <v>250.02199999999999</v>
      </c>
      <c r="AE1124">
        <v>560</v>
      </c>
      <c r="AF1124" s="25">
        <v>87.044330000000002</v>
      </c>
      <c r="AG1124" s="4">
        <f t="shared" si="59"/>
        <v>87.305819999999997</v>
      </c>
    </row>
    <row r="1125" spans="23:33" x14ac:dyDescent="0.15">
      <c r="W1125" s="22">
        <v>250.00504000000001</v>
      </c>
      <c r="X1125">
        <v>560.5</v>
      </c>
      <c r="Y1125" s="4">
        <v>76.67962</v>
      </c>
      <c r="Z1125" s="4">
        <f t="shared" si="58"/>
        <v>82.120450000000005</v>
      </c>
      <c r="AD1125" s="24">
        <v>250.02164999999999</v>
      </c>
      <c r="AE1125">
        <v>560.5</v>
      </c>
      <c r="AF1125" s="19">
        <v>87.079040000000006</v>
      </c>
      <c r="AG1125" s="4">
        <f t="shared" si="59"/>
        <v>87.340530000000001</v>
      </c>
    </row>
    <row r="1126" spans="23:33" x14ac:dyDescent="0.15">
      <c r="W1126" s="22">
        <v>250.00206</v>
      </c>
      <c r="X1126">
        <v>561</v>
      </c>
      <c r="Y1126" s="23">
        <v>76.654820000000001</v>
      </c>
      <c r="Z1126" s="4">
        <f t="shared" si="58"/>
        <v>82.095650000000006</v>
      </c>
      <c r="AD1126" s="24">
        <v>250.02116000000001</v>
      </c>
      <c r="AE1126">
        <v>561</v>
      </c>
      <c r="AF1126" s="25">
        <v>87.056200000000004</v>
      </c>
      <c r="AG1126" s="4">
        <f t="shared" si="59"/>
        <v>87.317689999999999</v>
      </c>
    </row>
    <row r="1127" spans="23:33" x14ac:dyDescent="0.15">
      <c r="W1127" s="22">
        <v>250.006</v>
      </c>
      <c r="X1127">
        <v>561.5</v>
      </c>
      <c r="Y1127" s="4">
        <v>76.63194</v>
      </c>
      <c r="Z1127" s="4">
        <f t="shared" si="58"/>
        <v>82.072770000000006</v>
      </c>
      <c r="AD1127" s="24">
        <v>250.01872</v>
      </c>
      <c r="AE1127">
        <v>561.5</v>
      </c>
      <c r="AF1127" s="19">
        <v>87.009780000000006</v>
      </c>
      <c r="AG1127" s="4">
        <f t="shared" si="59"/>
        <v>87.271270000000001</v>
      </c>
    </row>
    <row r="1128" spans="23:33" x14ac:dyDescent="0.15">
      <c r="W1128" s="22">
        <v>250.00299000000001</v>
      </c>
      <c r="X1128">
        <v>562</v>
      </c>
      <c r="Y1128" s="23">
        <v>76.626109999999997</v>
      </c>
      <c r="Z1128" s="4">
        <f t="shared" si="58"/>
        <v>82.066940000000002</v>
      </c>
      <c r="AD1128" s="24">
        <v>250.01734999999999</v>
      </c>
      <c r="AE1128">
        <v>562</v>
      </c>
      <c r="AF1128" s="25">
        <v>87.017480000000006</v>
      </c>
      <c r="AG1128" s="4">
        <f t="shared" si="59"/>
        <v>87.278970000000001</v>
      </c>
    </row>
    <row r="1129" spans="23:33" x14ac:dyDescent="0.15">
      <c r="W1129" s="22">
        <v>250.00398000000001</v>
      </c>
      <c r="X1129">
        <v>562.5</v>
      </c>
      <c r="Y1129" s="4">
        <v>76.643230000000003</v>
      </c>
      <c r="Z1129" s="4">
        <f t="shared" si="58"/>
        <v>82.084060000000008</v>
      </c>
      <c r="AD1129" s="24">
        <v>250.01658</v>
      </c>
      <c r="AE1129">
        <v>562.5</v>
      </c>
      <c r="AF1129" s="19">
        <v>87.149739999999994</v>
      </c>
      <c r="AG1129" s="4">
        <f t="shared" si="59"/>
        <v>87.411229999999989</v>
      </c>
    </row>
    <row r="1130" spans="23:33" x14ac:dyDescent="0.15">
      <c r="W1130" s="22">
        <v>250.00104999999999</v>
      </c>
      <c r="X1130">
        <v>563</v>
      </c>
      <c r="Y1130" s="23">
        <v>76.616609999999994</v>
      </c>
      <c r="Z1130" s="4">
        <f t="shared" si="58"/>
        <v>82.05744</v>
      </c>
      <c r="AD1130" s="24">
        <v>250.01378</v>
      </c>
      <c r="AE1130">
        <v>563</v>
      </c>
      <c r="AF1130" s="25">
        <v>87.016040000000004</v>
      </c>
      <c r="AG1130" s="4">
        <f t="shared" si="59"/>
        <v>87.277529999999999</v>
      </c>
    </row>
    <row r="1131" spans="23:33" x14ac:dyDescent="0.15">
      <c r="W1131" s="22">
        <v>250.00301999999999</v>
      </c>
      <c r="X1131">
        <v>563.5</v>
      </c>
      <c r="Y1131" s="4">
        <v>76.622190000000003</v>
      </c>
      <c r="Z1131" s="4">
        <f t="shared" si="58"/>
        <v>82.063020000000009</v>
      </c>
      <c r="AD1131" s="24">
        <v>250.01346000000001</v>
      </c>
      <c r="AE1131">
        <v>563.5</v>
      </c>
      <c r="AF1131" s="19">
        <v>87.078710000000001</v>
      </c>
      <c r="AG1131" s="4">
        <f t="shared" si="59"/>
        <v>87.340199999999996</v>
      </c>
    </row>
    <row r="1132" spans="23:33" x14ac:dyDescent="0.15">
      <c r="W1132" s="22">
        <v>250.00703999999999</v>
      </c>
      <c r="X1132">
        <v>564</v>
      </c>
      <c r="Y1132" s="23">
        <v>76.627949999999998</v>
      </c>
      <c r="Z1132" s="4">
        <f t="shared" si="58"/>
        <v>82.068780000000004</v>
      </c>
      <c r="AD1132" s="24">
        <v>250.01284999999999</v>
      </c>
      <c r="AE1132">
        <v>564</v>
      </c>
      <c r="AF1132" s="25">
        <v>86.932090000000002</v>
      </c>
      <c r="AG1132" s="4">
        <f t="shared" si="59"/>
        <v>87.193579999999997</v>
      </c>
    </row>
    <row r="1133" spans="23:33" x14ac:dyDescent="0.15">
      <c r="W1133" s="22">
        <v>250.00898000000001</v>
      </c>
      <c r="X1133">
        <v>564.5</v>
      </c>
      <c r="Y1133" s="4">
        <v>76.610680000000002</v>
      </c>
      <c r="Z1133" s="4">
        <f t="shared" si="58"/>
        <v>82.051510000000007</v>
      </c>
      <c r="AD1133" s="24">
        <v>250.01383000000001</v>
      </c>
      <c r="AE1133">
        <v>564.5</v>
      </c>
      <c r="AF1133" s="19">
        <v>87.009910000000005</v>
      </c>
      <c r="AG1133" s="4">
        <f t="shared" si="59"/>
        <v>87.2714</v>
      </c>
    </row>
    <row r="1134" spans="23:33" x14ac:dyDescent="0.15">
      <c r="W1134" s="22">
        <v>250.00399999999999</v>
      </c>
      <c r="X1134">
        <v>565</v>
      </c>
      <c r="Y1134" s="23">
        <v>76.610609999999994</v>
      </c>
      <c r="Z1134" s="4">
        <f t="shared" si="58"/>
        <v>82.051439999999999</v>
      </c>
      <c r="AD1134" s="24">
        <v>250.01642000000001</v>
      </c>
      <c r="AE1134">
        <v>565</v>
      </c>
      <c r="AF1134" s="25">
        <v>87.038480000000007</v>
      </c>
      <c r="AG1134" s="4">
        <f t="shared" si="59"/>
        <v>87.299970000000002</v>
      </c>
    </row>
    <row r="1135" spans="23:33" x14ac:dyDescent="0.15">
      <c r="W1135" s="22">
        <v>250.006</v>
      </c>
      <c r="X1135">
        <v>565.5</v>
      </c>
      <c r="Y1135" s="4">
        <v>76.602850000000004</v>
      </c>
      <c r="Z1135" s="4">
        <f t="shared" si="58"/>
        <v>82.043680000000009</v>
      </c>
      <c r="AD1135" s="24">
        <v>250.01747</v>
      </c>
      <c r="AE1135">
        <v>565.5</v>
      </c>
      <c r="AF1135" s="19">
        <v>86.910219999999995</v>
      </c>
      <c r="AG1135" s="4">
        <f t="shared" si="59"/>
        <v>87.17170999999999</v>
      </c>
    </row>
    <row r="1136" spans="23:33" x14ac:dyDescent="0.15">
      <c r="W1136" s="22">
        <v>250.00899999999999</v>
      </c>
      <c r="X1136">
        <v>566</v>
      </c>
      <c r="Y1136" s="23">
        <v>76.593170000000001</v>
      </c>
      <c r="Z1136" s="4">
        <f t="shared" si="58"/>
        <v>82.034000000000006</v>
      </c>
      <c r="AD1136" s="24">
        <v>250.01791</v>
      </c>
      <c r="AE1136">
        <v>566</v>
      </c>
      <c r="AF1136" s="25">
        <v>87.007729999999995</v>
      </c>
      <c r="AG1136" s="4">
        <f t="shared" si="59"/>
        <v>87.26921999999999</v>
      </c>
    </row>
    <row r="1137" spans="23:33" x14ac:dyDescent="0.15">
      <c r="W1137" s="22">
        <v>250.00103999999999</v>
      </c>
      <c r="X1137">
        <v>566.5</v>
      </c>
      <c r="Y1137" s="4">
        <v>76.58587</v>
      </c>
      <c r="Z1137" s="4">
        <f t="shared" si="58"/>
        <v>82.026700000000005</v>
      </c>
      <c r="AD1137" s="24">
        <v>250.01754</v>
      </c>
      <c r="AE1137">
        <v>566.5</v>
      </c>
      <c r="AF1137" s="19">
        <v>87.044200000000004</v>
      </c>
      <c r="AG1137" s="4">
        <f t="shared" si="59"/>
        <v>87.305689999999998</v>
      </c>
    </row>
    <row r="1138" spans="23:33" x14ac:dyDescent="0.15">
      <c r="W1138" s="22">
        <v>250.00594000000001</v>
      </c>
      <c r="X1138">
        <v>567</v>
      </c>
      <c r="Y1138" s="23">
        <v>76.570490000000007</v>
      </c>
      <c r="Z1138" s="4">
        <f t="shared" si="58"/>
        <v>82.011320000000012</v>
      </c>
      <c r="AD1138" s="24">
        <v>250.01883000000001</v>
      </c>
      <c r="AE1138">
        <v>567</v>
      </c>
      <c r="AF1138" s="25">
        <v>86.930800000000005</v>
      </c>
      <c r="AG1138" s="4">
        <f t="shared" si="59"/>
        <v>87.19229</v>
      </c>
    </row>
    <row r="1139" spans="23:33" x14ac:dyDescent="0.15">
      <c r="W1139" s="22">
        <v>250.00398999999999</v>
      </c>
      <c r="X1139">
        <v>567.5</v>
      </c>
      <c r="Y1139" s="4">
        <v>76.55874</v>
      </c>
      <c r="Z1139" s="4">
        <f t="shared" si="58"/>
        <v>81.999570000000006</v>
      </c>
      <c r="AD1139" s="24">
        <v>250.01662999999999</v>
      </c>
      <c r="AE1139">
        <v>567.5</v>
      </c>
      <c r="AF1139" s="19">
        <v>86.933059999999998</v>
      </c>
      <c r="AG1139" s="4">
        <f t="shared" si="59"/>
        <v>87.194549999999992</v>
      </c>
    </row>
    <row r="1140" spans="23:33" x14ac:dyDescent="0.15">
      <c r="W1140" s="22">
        <v>250.00702000000001</v>
      </c>
      <c r="X1140">
        <v>568</v>
      </c>
      <c r="Y1140" s="23">
        <v>76.553299999999993</v>
      </c>
      <c r="Z1140" s="4">
        <f t="shared" si="58"/>
        <v>81.994129999999998</v>
      </c>
      <c r="AD1140" s="24">
        <v>250.01303999999999</v>
      </c>
      <c r="AE1140">
        <v>568</v>
      </c>
      <c r="AF1140" s="25">
        <v>86.911580000000001</v>
      </c>
      <c r="AG1140" s="4">
        <f t="shared" si="59"/>
        <v>87.173069999999996</v>
      </c>
    </row>
    <row r="1141" spans="23:33" x14ac:dyDescent="0.15">
      <c r="W1141" s="22">
        <v>250.00901999999999</v>
      </c>
      <c r="X1141">
        <v>568.5</v>
      </c>
      <c r="Y1141" s="4">
        <v>76.566400000000002</v>
      </c>
      <c r="Z1141" s="4">
        <f t="shared" si="58"/>
        <v>82.007230000000007</v>
      </c>
      <c r="AD1141" s="24">
        <v>250.01352</v>
      </c>
      <c r="AE1141">
        <v>568.5</v>
      </c>
      <c r="AF1141" s="19">
        <v>87.044719999999998</v>
      </c>
      <c r="AG1141" s="4">
        <f t="shared" si="59"/>
        <v>87.306209999999993</v>
      </c>
    </row>
    <row r="1142" spans="23:33" x14ac:dyDescent="0.15">
      <c r="W1142" s="22">
        <v>250.00597999999999</v>
      </c>
      <c r="X1142">
        <v>569</v>
      </c>
      <c r="Y1142" s="23">
        <v>76.535910000000001</v>
      </c>
      <c r="Z1142" s="4">
        <f t="shared" si="58"/>
        <v>81.976740000000007</v>
      </c>
      <c r="AD1142" s="24">
        <v>250.01682</v>
      </c>
      <c r="AE1142">
        <v>569</v>
      </c>
      <c r="AF1142" s="25">
        <v>86.85145</v>
      </c>
      <c r="AG1142" s="4">
        <f t="shared" si="59"/>
        <v>87.112939999999995</v>
      </c>
    </row>
    <row r="1143" spans="23:33" x14ac:dyDescent="0.15">
      <c r="W1143" s="22">
        <v>250.00396000000001</v>
      </c>
      <c r="X1143">
        <v>569.5</v>
      </c>
      <c r="Y1143" s="4">
        <v>76.537760000000006</v>
      </c>
      <c r="Z1143" s="4">
        <f t="shared" si="58"/>
        <v>81.978590000000011</v>
      </c>
      <c r="AD1143" s="24">
        <v>250.02264</v>
      </c>
      <c r="AE1143">
        <v>569.5</v>
      </c>
      <c r="AF1143" s="19">
        <v>87.041700000000006</v>
      </c>
      <c r="AG1143" s="4">
        <f t="shared" si="59"/>
        <v>87.303190000000001</v>
      </c>
    </row>
    <row r="1144" spans="23:33" x14ac:dyDescent="0.15">
      <c r="W1144" s="22">
        <v>250.00397000000001</v>
      </c>
      <c r="X1144">
        <v>570</v>
      </c>
      <c r="Y1144" s="23">
        <v>76.545500000000004</v>
      </c>
      <c r="Z1144" s="4">
        <f t="shared" si="58"/>
        <v>81.986330000000009</v>
      </c>
      <c r="AD1144" s="24">
        <v>250.02113</v>
      </c>
      <c r="AE1144">
        <v>570</v>
      </c>
      <c r="AF1144" s="25">
        <v>86.906210000000002</v>
      </c>
      <c r="AG1144" s="4">
        <f t="shared" si="59"/>
        <v>87.167699999999996</v>
      </c>
    </row>
    <row r="1145" spans="23:33" x14ac:dyDescent="0.15">
      <c r="W1145" s="22">
        <v>249.999</v>
      </c>
      <c r="X1145">
        <v>570.5</v>
      </c>
      <c r="Y1145" s="4">
        <v>76.532020000000003</v>
      </c>
      <c r="Z1145" s="4">
        <f t="shared" si="58"/>
        <v>81.972850000000008</v>
      </c>
      <c r="AD1145" s="24">
        <v>250.01704000000001</v>
      </c>
      <c r="AE1145">
        <v>570.5</v>
      </c>
      <c r="AF1145" s="19">
        <v>86.80359</v>
      </c>
      <c r="AG1145" s="4">
        <f t="shared" si="59"/>
        <v>87.065079999999995</v>
      </c>
    </row>
    <row r="1146" spans="23:33" x14ac:dyDescent="0.15">
      <c r="W1146" s="22">
        <v>250.00702000000001</v>
      </c>
      <c r="X1146">
        <v>571</v>
      </c>
      <c r="Y1146" s="23">
        <v>76.518839999999997</v>
      </c>
      <c r="Z1146" s="4">
        <f t="shared" si="58"/>
        <v>81.959670000000003</v>
      </c>
      <c r="AD1146" s="24">
        <v>250.01118</v>
      </c>
      <c r="AE1146">
        <v>571</v>
      </c>
      <c r="AF1146" s="25">
        <v>86.878200000000007</v>
      </c>
      <c r="AG1146" s="4">
        <f t="shared" si="59"/>
        <v>87.139690000000002</v>
      </c>
    </row>
    <row r="1147" spans="23:33" x14ac:dyDescent="0.15">
      <c r="W1147" s="22">
        <v>250.00701000000001</v>
      </c>
      <c r="X1147">
        <v>571.5</v>
      </c>
      <c r="Y1147" s="4">
        <v>76.518550000000005</v>
      </c>
      <c r="Z1147" s="4">
        <f t="shared" si="58"/>
        <v>81.95938000000001</v>
      </c>
      <c r="AD1147" s="24">
        <v>250.00704999999999</v>
      </c>
      <c r="AE1147">
        <v>571.5</v>
      </c>
      <c r="AF1147" s="19">
        <v>86.900769999999994</v>
      </c>
      <c r="AG1147" s="4">
        <f t="shared" si="59"/>
        <v>87.162259999999989</v>
      </c>
    </row>
    <row r="1148" spans="23:33" x14ac:dyDescent="0.15">
      <c r="W1148" s="22">
        <v>250.01202000000001</v>
      </c>
      <c r="X1148">
        <v>572</v>
      </c>
      <c r="Y1148" s="23">
        <v>76.50703</v>
      </c>
      <c r="Z1148" s="4">
        <f t="shared" si="58"/>
        <v>81.947860000000006</v>
      </c>
      <c r="AD1148" s="24">
        <v>250.00790000000001</v>
      </c>
      <c r="AE1148">
        <v>572</v>
      </c>
      <c r="AF1148" s="25">
        <v>86.811539999999994</v>
      </c>
      <c r="AG1148" s="4">
        <f t="shared" si="59"/>
        <v>87.073029999999989</v>
      </c>
    </row>
    <row r="1149" spans="23:33" x14ac:dyDescent="0.15">
      <c r="W1149" s="22">
        <v>250.01295999999999</v>
      </c>
      <c r="X1149">
        <v>572.5</v>
      </c>
      <c r="Y1149" s="4">
        <v>76.509029999999996</v>
      </c>
      <c r="Z1149" s="4">
        <f t="shared" si="58"/>
        <v>81.949860000000001</v>
      </c>
      <c r="AD1149" s="24">
        <v>250.00747999999999</v>
      </c>
      <c r="AE1149">
        <v>572.5</v>
      </c>
      <c r="AF1149" s="19">
        <v>86.806479999999993</v>
      </c>
      <c r="AG1149" s="4">
        <f t="shared" si="59"/>
        <v>87.067969999999988</v>
      </c>
    </row>
    <row r="1150" spans="23:33" x14ac:dyDescent="0.15">
      <c r="W1150" s="22">
        <v>250.00698</v>
      </c>
      <c r="X1150">
        <v>573</v>
      </c>
      <c r="Y1150" s="23">
        <v>76.499600000000001</v>
      </c>
      <c r="Z1150" s="4">
        <f t="shared" si="58"/>
        <v>81.940430000000006</v>
      </c>
      <c r="AD1150" s="24">
        <v>250.00951000000001</v>
      </c>
      <c r="AE1150">
        <v>573</v>
      </c>
      <c r="AF1150" s="25">
        <v>86.792410000000004</v>
      </c>
      <c r="AG1150" s="4">
        <f t="shared" si="59"/>
        <v>87.053899999999999</v>
      </c>
    </row>
    <row r="1151" spans="23:33" x14ac:dyDescent="0.15">
      <c r="W1151" s="22">
        <v>250.00098</v>
      </c>
      <c r="X1151">
        <v>573.5</v>
      </c>
      <c r="Y1151" s="4">
        <v>76.486050000000006</v>
      </c>
      <c r="Z1151" s="4">
        <f t="shared" si="58"/>
        <v>81.926880000000011</v>
      </c>
      <c r="AD1151" s="24">
        <v>250.01320000000001</v>
      </c>
      <c r="AE1151">
        <v>573.5</v>
      </c>
      <c r="AF1151" s="19">
        <v>86.748729999999995</v>
      </c>
      <c r="AG1151" s="4">
        <f t="shared" si="59"/>
        <v>87.01021999999999</v>
      </c>
    </row>
    <row r="1152" spans="23:33" x14ac:dyDescent="0.15">
      <c r="W1152" s="22">
        <v>250.00206</v>
      </c>
      <c r="X1152">
        <v>574</v>
      </c>
      <c r="Y1152" s="23">
        <v>76.490009999999998</v>
      </c>
      <c r="Z1152" s="4">
        <f t="shared" si="58"/>
        <v>81.930840000000003</v>
      </c>
      <c r="AD1152" s="24">
        <v>250.01245</v>
      </c>
      <c r="AE1152">
        <v>574</v>
      </c>
      <c r="AF1152" s="25">
        <v>86.801379999999995</v>
      </c>
      <c r="AG1152" s="4">
        <f t="shared" si="59"/>
        <v>87.06286999999999</v>
      </c>
    </row>
    <row r="1153" spans="23:33" x14ac:dyDescent="0.15">
      <c r="W1153" s="22">
        <v>250.00697</v>
      </c>
      <c r="X1153">
        <v>574.5</v>
      </c>
      <c r="Y1153" s="4">
        <v>76.459149999999994</v>
      </c>
      <c r="Z1153" s="4">
        <f t="shared" si="58"/>
        <v>81.899979999999999</v>
      </c>
      <c r="AD1153" s="24">
        <v>250.01326</v>
      </c>
      <c r="AE1153">
        <v>574.5</v>
      </c>
      <c r="AF1153" s="19">
        <v>86.82441</v>
      </c>
      <c r="AG1153" s="4">
        <f t="shared" si="59"/>
        <v>87.085899999999995</v>
      </c>
    </row>
    <row r="1154" spans="23:33" x14ac:dyDescent="0.15">
      <c r="W1154" s="22">
        <v>250.00604999999999</v>
      </c>
      <c r="X1154">
        <v>575</v>
      </c>
      <c r="Y1154" s="23">
        <v>76.487909999999999</v>
      </c>
      <c r="Z1154" s="4">
        <f t="shared" si="58"/>
        <v>81.928740000000005</v>
      </c>
      <c r="AD1154" s="24">
        <v>250.01109</v>
      </c>
      <c r="AE1154">
        <v>575</v>
      </c>
      <c r="AF1154" s="25">
        <v>86.711160000000007</v>
      </c>
      <c r="AG1154" s="4">
        <f t="shared" si="59"/>
        <v>86.972650000000002</v>
      </c>
    </row>
    <row r="1155" spans="23:33" x14ac:dyDescent="0.15">
      <c r="W1155" s="22">
        <v>250.00700000000001</v>
      </c>
      <c r="X1155">
        <v>575.5</v>
      </c>
      <c r="Y1155" s="4">
        <v>76.445750000000004</v>
      </c>
      <c r="Z1155" s="4">
        <f t="shared" si="58"/>
        <v>81.886580000000009</v>
      </c>
      <c r="AD1155" s="24">
        <v>250.00890999999999</v>
      </c>
      <c r="AE1155">
        <v>575.5</v>
      </c>
      <c r="AF1155" s="19">
        <v>86.695220000000006</v>
      </c>
      <c r="AG1155" s="4">
        <f t="shared" si="59"/>
        <v>86.956710000000001</v>
      </c>
    </row>
    <row r="1156" spans="23:33" x14ac:dyDescent="0.15">
      <c r="W1156" s="22">
        <v>250.00597999999999</v>
      </c>
      <c r="X1156">
        <v>576</v>
      </c>
      <c r="Y1156" s="23">
        <v>76.449640000000002</v>
      </c>
      <c r="Z1156" s="4">
        <f t="shared" si="58"/>
        <v>81.890470000000008</v>
      </c>
      <c r="AD1156" s="24">
        <v>250.0104</v>
      </c>
      <c r="AE1156">
        <v>576</v>
      </c>
      <c r="AF1156" s="25">
        <v>86.732420000000005</v>
      </c>
      <c r="AG1156" s="4">
        <f t="shared" si="59"/>
        <v>86.99391</v>
      </c>
    </row>
    <row r="1157" spans="23:33" x14ac:dyDescent="0.15">
      <c r="W1157" s="22">
        <v>250.00402</v>
      </c>
      <c r="X1157">
        <v>576.5</v>
      </c>
      <c r="Y1157" s="4">
        <v>76.447919999999996</v>
      </c>
      <c r="Z1157" s="4">
        <f t="shared" ref="Z1157:Z1203" si="60">100-($Y$4-Y1157)</f>
        <v>81.888750000000002</v>
      </c>
      <c r="AD1157" s="24">
        <v>250.01077000000001</v>
      </c>
      <c r="AE1157">
        <v>576.5</v>
      </c>
      <c r="AF1157" s="19">
        <v>86.820610000000002</v>
      </c>
      <c r="AG1157" s="4">
        <f t="shared" ref="AG1157:AG1203" si="61">100-($AF$4-AF1157)</f>
        <v>87.082099999999997</v>
      </c>
    </row>
    <row r="1158" spans="23:33" x14ac:dyDescent="0.15">
      <c r="W1158" s="22">
        <v>249.99898999999999</v>
      </c>
      <c r="X1158">
        <v>577</v>
      </c>
      <c r="Y1158" s="23">
        <v>76.417019999999994</v>
      </c>
      <c r="Z1158" s="4">
        <f t="shared" si="60"/>
        <v>81.857849999999999</v>
      </c>
      <c r="AD1158" s="24">
        <v>250.0138</v>
      </c>
      <c r="AE1158">
        <v>577</v>
      </c>
      <c r="AF1158" s="25">
        <v>86.781700000000001</v>
      </c>
      <c r="AG1158" s="4">
        <f t="shared" si="61"/>
        <v>87.043189999999996</v>
      </c>
    </row>
    <row r="1159" spans="23:33" x14ac:dyDescent="0.15">
      <c r="W1159" s="22">
        <v>250.00406000000001</v>
      </c>
      <c r="X1159">
        <v>577.5</v>
      </c>
      <c r="Y1159" s="4">
        <v>76.422569999999993</v>
      </c>
      <c r="Z1159" s="4">
        <f t="shared" si="60"/>
        <v>81.863399999999999</v>
      </c>
      <c r="AD1159" s="24">
        <v>250.01050000000001</v>
      </c>
      <c r="AE1159">
        <v>577.5</v>
      </c>
      <c r="AF1159" s="19">
        <v>86.742750000000001</v>
      </c>
      <c r="AG1159" s="4">
        <f t="shared" si="61"/>
        <v>87.004239999999996</v>
      </c>
    </row>
    <row r="1160" spans="23:33" x14ac:dyDescent="0.15">
      <c r="W1160" s="22">
        <v>250.00701000000001</v>
      </c>
      <c r="X1160">
        <v>578</v>
      </c>
      <c r="Y1160" s="23">
        <v>76.430520000000001</v>
      </c>
      <c r="Z1160" s="4">
        <f t="shared" si="60"/>
        <v>81.871350000000007</v>
      </c>
      <c r="AD1160" s="24">
        <v>250.00998999999999</v>
      </c>
      <c r="AE1160">
        <v>578</v>
      </c>
      <c r="AF1160" s="25">
        <v>86.799599999999998</v>
      </c>
      <c r="AG1160" s="4">
        <f t="shared" si="61"/>
        <v>87.061089999999993</v>
      </c>
    </row>
    <row r="1161" spans="23:33" x14ac:dyDescent="0.15">
      <c r="W1161" s="22">
        <v>250.00003000000001</v>
      </c>
      <c r="X1161">
        <v>578.5</v>
      </c>
      <c r="Y1161" s="4">
        <v>76.407449999999997</v>
      </c>
      <c r="Z1161" s="4">
        <f t="shared" si="60"/>
        <v>81.848280000000003</v>
      </c>
      <c r="AD1161" s="24">
        <v>250.01129</v>
      </c>
      <c r="AE1161">
        <v>578.5</v>
      </c>
      <c r="AF1161" s="19">
        <v>86.682850000000002</v>
      </c>
      <c r="AG1161" s="4">
        <f t="shared" si="61"/>
        <v>86.944339999999997</v>
      </c>
    </row>
    <row r="1162" spans="23:33" x14ac:dyDescent="0.15">
      <c r="W1162" s="22">
        <v>250.00202999999999</v>
      </c>
      <c r="X1162">
        <v>579</v>
      </c>
      <c r="Y1162" s="23">
        <v>76.43047</v>
      </c>
      <c r="Z1162" s="4">
        <f t="shared" si="60"/>
        <v>81.871300000000005</v>
      </c>
      <c r="AD1162" s="24">
        <v>250.01428999999999</v>
      </c>
      <c r="AE1162">
        <v>579</v>
      </c>
      <c r="AF1162" s="25">
        <v>86.864660000000001</v>
      </c>
      <c r="AG1162" s="4">
        <f t="shared" si="61"/>
        <v>87.126149999999996</v>
      </c>
    </row>
    <row r="1163" spans="23:33" x14ac:dyDescent="0.15">
      <c r="W1163" s="22">
        <v>250.00299999999999</v>
      </c>
      <c r="X1163">
        <v>579.5</v>
      </c>
      <c r="Y1163" s="4">
        <v>76.426599999999993</v>
      </c>
      <c r="Z1163" s="4">
        <f t="shared" si="60"/>
        <v>81.867429999999999</v>
      </c>
      <c r="AD1163" s="24">
        <v>250.01231999999999</v>
      </c>
      <c r="AE1163">
        <v>579.5</v>
      </c>
      <c r="AF1163" s="19">
        <v>86.700090000000003</v>
      </c>
      <c r="AG1163" s="4">
        <f t="shared" si="61"/>
        <v>86.961579999999998</v>
      </c>
    </row>
    <row r="1164" spans="23:33" x14ac:dyDescent="0.15">
      <c r="W1164" s="22">
        <v>250.00797</v>
      </c>
      <c r="X1164">
        <v>580</v>
      </c>
      <c r="Y1164" s="23">
        <v>76.409360000000007</v>
      </c>
      <c r="Z1164" s="4">
        <f t="shared" si="60"/>
        <v>81.850190000000012</v>
      </c>
      <c r="AD1164" s="24">
        <v>250.01338999999999</v>
      </c>
      <c r="AE1164">
        <v>580</v>
      </c>
      <c r="AF1164" s="25">
        <v>86.624120000000005</v>
      </c>
      <c r="AG1164" s="4">
        <f t="shared" si="61"/>
        <v>86.88561</v>
      </c>
    </row>
    <row r="1165" spans="23:33" x14ac:dyDescent="0.15">
      <c r="W1165" s="22">
        <v>249.99997999999999</v>
      </c>
      <c r="X1165">
        <v>580.5</v>
      </c>
      <c r="Y1165" s="4">
        <v>76.399609999999996</v>
      </c>
      <c r="Z1165" s="4">
        <f t="shared" si="60"/>
        <v>81.840440000000001</v>
      </c>
      <c r="AD1165" s="24">
        <v>250.01635999999999</v>
      </c>
      <c r="AE1165">
        <v>580.5</v>
      </c>
      <c r="AF1165" s="19">
        <v>86.645070000000004</v>
      </c>
      <c r="AG1165" s="4">
        <f t="shared" si="61"/>
        <v>86.906559999999999</v>
      </c>
    </row>
    <row r="1166" spans="23:33" x14ac:dyDescent="0.15">
      <c r="W1166" s="22">
        <v>250.00201999999999</v>
      </c>
      <c r="X1166">
        <v>581</v>
      </c>
      <c r="Y1166" s="23">
        <v>76.411370000000005</v>
      </c>
      <c r="Z1166" s="4">
        <f t="shared" si="60"/>
        <v>81.852200000000011</v>
      </c>
      <c r="AD1166" s="24">
        <v>250.01682</v>
      </c>
      <c r="AE1166">
        <v>581</v>
      </c>
      <c r="AF1166" s="25">
        <v>86.665629999999993</v>
      </c>
      <c r="AG1166" s="4">
        <f t="shared" si="61"/>
        <v>86.927119999999988</v>
      </c>
    </row>
    <row r="1167" spans="23:33" x14ac:dyDescent="0.15">
      <c r="W1167" s="22">
        <v>250.01000999999999</v>
      </c>
      <c r="X1167">
        <v>581.5</v>
      </c>
      <c r="Y1167" s="4">
        <v>76.382559999999998</v>
      </c>
      <c r="Z1167" s="4">
        <f t="shared" si="60"/>
        <v>81.823390000000003</v>
      </c>
      <c r="AD1167" s="24">
        <v>250.01524000000001</v>
      </c>
      <c r="AE1167">
        <v>581.5</v>
      </c>
      <c r="AF1167" s="19">
        <v>86.590159999999997</v>
      </c>
      <c r="AG1167" s="4">
        <f t="shared" si="61"/>
        <v>86.851649999999992</v>
      </c>
    </row>
    <row r="1168" spans="23:33" x14ac:dyDescent="0.15">
      <c r="W1168" s="22">
        <v>250.00599</v>
      </c>
      <c r="X1168">
        <v>582</v>
      </c>
      <c r="Y1168" s="23">
        <v>76.384450000000001</v>
      </c>
      <c r="Z1168" s="4">
        <f t="shared" si="60"/>
        <v>81.825280000000006</v>
      </c>
      <c r="AD1168" s="24">
        <v>250.01581999999999</v>
      </c>
      <c r="AE1168">
        <v>582</v>
      </c>
      <c r="AF1168" s="25">
        <v>86.635509999999996</v>
      </c>
      <c r="AG1168" s="4">
        <f t="shared" si="61"/>
        <v>86.896999999999991</v>
      </c>
    </row>
    <row r="1169" spans="23:33" x14ac:dyDescent="0.15">
      <c r="W1169" s="22">
        <v>250.00497999999999</v>
      </c>
      <c r="X1169">
        <v>582.5</v>
      </c>
      <c r="Y1169" s="4">
        <v>76.376760000000004</v>
      </c>
      <c r="Z1169" s="4">
        <f t="shared" si="60"/>
        <v>81.81759000000001</v>
      </c>
      <c r="AD1169" s="24">
        <v>250.01555999999999</v>
      </c>
      <c r="AE1169">
        <v>582.5</v>
      </c>
      <c r="AF1169" s="19">
        <v>86.655019999999993</v>
      </c>
      <c r="AG1169" s="4">
        <f t="shared" si="61"/>
        <v>86.916509999999988</v>
      </c>
    </row>
    <row r="1170" spans="23:33" x14ac:dyDescent="0.15">
      <c r="W1170" s="22">
        <v>250.00801000000001</v>
      </c>
      <c r="X1170">
        <v>583</v>
      </c>
      <c r="Y1170" s="23">
        <v>76.365319999999997</v>
      </c>
      <c r="Z1170" s="4">
        <f t="shared" si="60"/>
        <v>81.806150000000002</v>
      </c>
      <c r="AD1170" s="24">
        <v>250.01811000000001</v>
      </c>
      <c r="AE1170">
        <v>583</v>
      </c>
      <c r="AF1170" s="25">
        <v>86.703919999999997</v>
      </c>
      <c r="AG1170" s="4">
        <f t="shared" si="61"/>
        <v>86.965409999999991</v>
      </c>
    </row>
    <row r="1171" spans="23:33" x14ac:dyDescent="0.15">
      <c r="W1171" s="22">
        <v>250.00792000000001</v>
      </c>
      <c r="X1171">
        <v>583.5</v>
      </c>
      <c r="Y1171" s="4">
        <v>76.361350000000002</v>
      </c>
      <c r="Z1171" s="4">
        <f t="shared" si="60"/>
        <v>81.802180000000007</v>
      </c>
      <c r="AD1171" s="24">
        <v>250.01981000000001</v>
      </c>
      <c r="AE1171">
        <v>583.5</v>
      </c>
      <c r="AF1171" s="19">
        <v>86.598039999999997</v>
      </c>
      <c r="AG1171" s="4">
        <f t="shared" si="61"/>
        <v>86.859529999999992</v>
      </c>
    </row>
    <row r="1172" spans="23:33" x14ac:dyDescent="0.15">
      <c r="W1172" s="22">
        <v>250.00399999999999</v>
      </c>
      <c r="X1172">
        <v>584</v>
      </c>
      <c r="Y1172" s="23">
        <v>76.35942</v>
      </c>
      <c r="Z1172" s="4">
        <f t="shared" si="60"/>
        <v>81.800250000000005</v>
      </c>
      <c r="AD1172" s="24">
        <v>250.02208999999999</v>
      </c>
      <c r="AE1172">
        <v>584</v>
      </c>
      <c r="AF1172" s="25">
        <v>86.696510000000004</v>
      </c>
      <c r="AG1172" s="4">
        <f t="shared" si="61"/>
        <v>86.957999999999998</v>
      </c>
    </row>
    <row r="1173" spans="23:33" x14ac:dyDescent="0.15">
      <c r="W1173" s="22">
        <v>249.99893</v>
      </c>
      <c r="X1173">
        <v>584.5</v>
      </c>
      <c r="Y1173" s="4">
        <v>76.330680000000001</v>
      </c>
      <c r="Z1173" s="4">
        <f t="shared" si="60"/>
        <v>81.771510000000006</v>
      </c>
      <c r="AD1173" s="24">
        <v>250.02565000000001</v>
      </c>
      <c r="AE1173">
        <v>584.5</v>
      </c>
      <c r="AF1173" s="19">
        <v>86.598950000000002</v>
      </c>
      <c r="AG1173" s="4">
        <f t="shared" si="61"/>
        <v>86.860439999999997</v>
      </c>
    </row>
    <row r="1174" spans="23:33" x14ac:dyDescent="0.15">
      <c r="W1174" s="22">
        <v>250.00095999999999</v>
      </c>
      <c r="X1174">
        <v>585</v>
      </c>
      <c r="Y1174" s="23">
        <v>76.351900000000001</v>
      </c>
      <c r="Z1174" s="4">
        <f t="shared" si="60"/>
        <v>81.792730000000006</v>
      </c>
      <c r="AD1174" s="24">
        <v>250.02128999999999</v>
      </c>
      <c r="AE1174">
        <v>585</v>
      </c>
      <c r="AF1174" s="25">
        <v>86.685919999999996</v>
      </c>
      <c r="AG1174" s="4">
        <f t="shared" si="61"/>
        <v>86.947409999999991</v>
      </c>
    </row>
    <row r="1175" spans="23:33" x14ac:dyDescent="0.15">
      <c r="W1175" s="22">
        <v>250.00308999999999</v>
      </c>
      <c r="X1175">
        <v>585.5</v>
      </c>
      <c r="Y1175" s="4">
        <v>76.326759999999993</v>
      </c>
      <c r="Z1175" s="4">
        <f t="shared" si="60"/>
        <v>81.767589999999998</v>
      </c>
      <c r="AD1175" s="24">
        <v>250.01946000000001</v>
      </c>
      <c r="AE1175">
        <v>585.5</v>
      </c>
      <c r="AF1175" s="19">
        <v>86.677880000000002</v>
      </c>
      <c r="AG1175" s="4">
        <f t="shared" si="61"/>
        <v>86.939369999999997</v>
      </c>
    </row>
    <row r="1176" spans="23:33" x14ac:dyDescent="0.15">
      <c r="W1176" s="22">
        <v>250.00297</v>
      </c>
      <c r="X1176">
        <v>586</v>
      </c>
      <c r="Y1176" s="23">
        <v>76.323030000000003</v>
      </c>
      <c r="Z1176" s="4">
        <f t="shared" si="60"/>
        <v>81.763860000000008</v>
      </c>
      <c r="AD1176" s="24">
        <v>250.02133000000001</v>
      </c>
      <c r="AE1176">
        <v>586</v>
      </c>
      <c r="AF1176" s="25">
        <v>86.642319999999998</v>
      </c>
      <c r="AG1176" s="4">
        <f t="shared" si="61"/>
        <v>86.903809999999993</v>
      </c>
    </row>
    <row r="1177" spans="23:33" x14ac:dyDescent="0.15">
      <c r="W1177" s="22">
        <v>250.00702999999999</v>
      </c>
      <c r="X1177">
        <v>586.5</v>
      </c>
      <c r="Y1177" s="4">
        <v>76.326819999999998</v>
      </c>
      <c r="Z1177" s="4">
        <f t="shared" si="60"/>
        <v>81.767650000000003</v>
      </c>
      <c r="AD1177" s="24">
        <v>250.02091999999999</v>
      </c>
      <c r="AE1177">
        <v>586.5</v>
      </c>
      <c r="AF1177" s="19">
        <v>86.589330000000004</v>
      </c>
      <c r="AG1177" s="4">
        <f t="shared" si="61"/>
        <v>86.850819999999999</v>
      </c>
    </row>
    <row r="1178" spans="23:33" x14ac:dyDescent="0.15">
      <c r="W1178" s="22">
        <v>250.00800000000001</v>
      </c>
      <c r="X1178">
        <v>587</v>
      </c>
      <c r="Y1178" s="23">
        <v>76.319239999999994</v>
      </c>
      <c r="Z1178" s="4">
        <f t="shared" si="60"/>
        <v>81.760069999999999</v>
      </c>
      <c r="AD1178" s="24">
        <v>250.01975999999999</v>
      </c>
      <c r="AE1178">
        <v>587</v>
      </c>
      <c r="AF1178" s="25">
        <v>86.487549999999999</v>
      </c>
      <c r="AG1178" s="4">
        <f t="shared" si="61"/>
        <v>86.749039999999994</v>
      </c>
    </row>
    <row r="1179" spans="23:33" x14ac:dyDescent="0.15">
      <c r="W1179" s="22">
        <v>250.01002</v>
      </c>
      <c r="X1179">
        <v>587.5</v>
      </c>
      <c r="Y1179" s="4">
        <v>76.319220000000001</v>
      </c>
      <c r="Z1179" s="4">
        <f t="shared" si="60"/>
        <v>81.760050000000007</v>
      </c>
      <c r="AD1179" s="24">
        <v>250.02153000000001</v>
      </c>
      <c r="AE1179">
        <v>587.5</v>
      </c>
      <c r="AF1179" s="19">
        <v>86.531899999999993</v>
      </c>
      <c r="AG1179" s="4">
        <f t="shared" si="61"/>
        <v>86.793389999999988</v>
      </c>
    </row>
    <row r="1180" spans="23:33" x14ac:dyDescent="0.15">
      <c r="W1180" s="22">
        <v>250.011</v>
      </c>
      <c r="X1180">
        <v>588</v>
      </c>
      <c r="Y1180" s="23">
        <v>76.303870000000003</v>
      </c>
      <c r="Z1180" s="4">
        <f t="shared" si="60"/>
        <v>81.744700000000009</v>
      </c>
      <c r="AD1180" s="24">
        <v>250.02108000000001</v>
      </c>
      <c r="AE1180">
        <v>588</v>
      </c>
      <c r="AF1180" s="25">
        <v>86.40849</v>
      </c>
      <c r="AG1180" s="4">
        <f t="shared" si="61"/>
        <v>86.669979999999995</v>
      </c>
    </row>
    <row r="1181" spans="23:33" x14ac:dyDescent="0.15">
      <c r="W1181" s="22">
        <v>250.00996000000001</v>
      </c>
      <c r="X1181">
        <v>588.5</v>
      </c>
      <c r="Y1181" s="4">
        <v>76.303970000000007</v>
      </c>
      <c r="Z1181" s="4">
        <f t="shared" si="60"/>
        <v>81.744800000000012</v>
      </c>
      <c r="AD1181" s="24">
        <v>250.01940999999999</v>
      </c>
      <c r="AE1181">
        <v>588.5</v>
      </c>
      <c r="AF1181" s="19">
        <v>86.536600000000007</v>
      </c>
      <c r="AG1181" s="4">
        <f t="shared" si="61"/>
        <v>86.798090000000002</v>
      </c>
    </row>
    <row r="1182" spans="23:33" x14ac:dyDescent="0.15">
      <c r="W1182" s="22">
        <v>250.00502</v>
      </c>
      <c r="X1182">
        <v>589</v>
      </c>
      <c r="Y1182" s="23">
        <v>76.286730000000006</v>
      </c>
      <c r="Z1182" s="4">
        <f t="shared" si="60"/>
        <v>81.727560000000011</v>
      </c>
      <c r="AD1182" s="24">
        <v>250.01823999999999</v>
      </c>
      <c r="AE1182">
        <v>589</v>
      </c>
      <c r="AF1182" s="25">
        <v>86.432990000000004</v>
      </c>
      <c r="AG1182" s="4">
        <f t="shared" si="61"/>
        <v>86.694479999999999</v>
      </c>
    </row>
    <row r="1183" spans="23:33" x14ac:dyDescent="0.15">
      <c r="W1183" s="22">
        <v>250.00801000000001</v>
      </c>
      <c r="X1183">
        <v>589.5</v>
      </c>
      <c r="Y1183" s="4">
        <v>76.307630000000003</v>
      </c>
      <c r="Z1183" s="4">
        <f t="shared" si="60"/>
        <v>81.748460000000009</v>
      </c>
      <c r="AD1183" s="24">
        <v>250.01938999999999</v>
      </c>
      <c r="AE1183">
        <v>589.5</v>
      </c>
      <c r="AF1183" s="19">
        <v>86.521739999999994</v>
      </c>
      <c r="AG1183" s="4">
        <f t="shared" si="61"/>
        <v>86.783229999999989</v>
      </c>
    </row>
    <row r="1184" spans="23:33" x14ac:dyDescent="0.15">
      <c r="W1184" s="22">
        <v>250.00502</v>
      </c>
      <c r="X1184">
        <v>590</v>
      </c>
      <c r="Y1184" s="23">
        <v>76.284800000000004</v>
      </c>
      <c r="Z1184" s="4">
        <f t="shared" si="60"/>
        <v>81.72563000000001</v>
      </c>
      <c r="AD1184" s="24">
        <v>250.02186</v>
      </c>
      <c r="AE1184">
        <v>590</v>
      </c>
      <c r="AF1184" s="25">
        <v>86.568209999999993</v>
      </c>
      <c r="AG1184" s="4">
        <f t="shared" si="61"/>
        <v>86.829699999999988</v>
      </c>
    </row>
    <row r="1185" spans="23:33" x14ac:dyDescent="0.15">
      <c r="W1185" s="22">
        <v>250.00698</v>
      </c>
      <c r="X1185">
        <v>590.5</v>
      </c>
      <c r="Y1185" s="4">
        <v>76.275009999999995</v>
      </c>
      <c r="Z1185" s="4">
        <f t="shared" si="60"/>
        <v>81.71584</v>
      </c>
      <c r="AD1185" s="24">
        <v>250.02032</v>
      </c>
      <c r="AE1185">
        <v>590.5</v>
      </c>
      <c r="AF1185" s="19">
        <v>86.571870000000004</v>
      </c>
      <c r="AG1185" s="4">
        <f t="shared" si="61"/>
        <v>86.833359999999999</v>
      </c>
    </row>
    <row r="1186" spans="23:33" x14ac:dyDescent="0.15">
      <c r="W1186" s="22">
        <v>250.00798</v>
      </c>
      <c r="X1186">
        <v>591</v>
      </c>
      <c r="Y1186" s="23">
        <v>76.286569999999998</v>
      </c>
      <c r="Z1186" s="4">
        <f t="shared" si="60"/>
        <v>81.727400000000003</v>
      </c>
      <c r="AD1186" s="24">
        <v>250.01912999999999</v>
      </c>
      <c r="AE1186">
        <v>591</v>
      </c>
      <c r="AF1186" s="25">
        <v>86.54477</v>
      </c>
      <c r="AG1186" s="4">
        <f t="shared" si="61"/>
        <v>86.806259999999995</v>
      </c>
    </row>
    <row r="1187" spans="23:33" x14ac:dyDescent="0.15">
      <c r="W1187" s="22">
        <v>250.00597999999999</v>
      </c>
      <c r="X1187">
        <v>591.5</v>
      </c>
      <c r="Y1187" s="4">
        <v>76.273060000000001</v>
      </c>
      <c r="Z1187" s="4">
        <f t="shared" si="60"/>
        <v>81.713890000000006</v>
      </c>
      <c r="AD1187" s="24">
        <v>250.02017000000001</v>
      </c>
      <c r="AE1187">
        <v>591.5</v>
      </c>
      <c r="AF1187" s="19">
        <v>86.526390000000006</v>
      </c>
      <c r="AG1187" s="4">
        <f t="shared" si="61"/>
        <v>86.787880000000001</v>
      </c>
    </row>
    <row r="1188" spans="23:33" x14ac:dyDescent="0.15">
      <c r="W1188" s="22">
        <v>250.00299000000001</v>
      </c>
      <c r="X1188">
        <v>592</v>
      </c>
      <c r="Y1188" s="23">
        <v>76.261510000000001</v>
      </c>
      <c r="Z1188" s="4">
        <f t="shared" si="60"/>
        <v>81.702340000000007</v>
      </c>
      <c r="AD1188" s="24">
        <v>250.02477999999999</v>
      </c>
      <c r="AE1188">
        <v>592</v>
      </c>
      <c r="AF1188" s="25">
        <v>86.446470000000005</v>
      </c>
      <c r="AG1188" s="4">
        <f t="shared" si="61"/>
        <v>86.70796</v>
      </c>
    </row>
    <row r="1189" spans="23:33" x14ac:dyDescent="0.15">
      <c r="W1189" s="22">
        <v>249.99898999999999</v>
      </c>
      <c r="X1189">
        <v>592.5</v>
      </c>
      <c r="Y1189" s="4">
        <v>76.250259999999997</v>
      </c>
      <c r="Z1189" s="4">
        <f t="shared" si="60"/>
        <v>81.691090000000003</v>
      </c>
      <c r="AD1189" s="24">
        <v>250.02167</v>
      </c>
      <c r="AE1189">
        <v>592.5</v>
      </c>
      <c r="AF1189" s="19">
        <v>86.406170000000003</v>
      </c>
      <c r="AG1189" s="4">
        <f t="shared" si="61"/>
        <v>86.667659999999998</v>
      </c>
    </row>
    <row r="1190" spans="23:33" x14ac:dyDescent="0.15">
      <c r="W1190" s="22">
        <v>249.99697</v>
      </c>
      <c r="X1190">
        <v>593</v>
      </c>
      <c r="Y1190" s="23">
        <v>76.221729999999994</v>
      </c>
      <c r="Z1190" s="4">
        <f t="shared" si="60"/>
        <v>81.662559999999999</v>
      </c>
      <c r="AD1190" s="24">
        <v>250.01714000000001</v>
      </c>
      <c r="AE1190">
        <v>593</v>
      </c>
      <c r="AF1190" s="25">
        <v>86.502409999999998</v>
      </c>
      <c r="AG1190" s="4">
        <f t="shared" si="61"/>
        <v>86.763899999999992</v>
      </c>
    </row>
    <row r="1191" spans="23:33" x14ac:dyDescent="0.15">
      <c r="W1191" s="22">
        <v>249.99997999999999</v>
      </c>
      <c r="X1191">
        <v>593.5</v>
      </c>
      <c r="Y1191" s="4">
        <v>76.248329999999996</v>
      </c>
      <c r="Z1191" s="4">
        <f t="shared" si="60"/>
        <v>81.689160000000001</v>
      </c>
      <c r="AD1191" s="24">
        <v>250.01763</v>
      </c>
      <c r="AE1191">
        <v>593.5</v>
      </c>
      <c r="AF1191" s="19">
        <v>86.379360000000005</v>
      </c>
      <c r="AG1191" s="4">
        <f t="shared" si="61"/>
        <v>86.64085</v>
      </c>
    </row>
    <row r="1192" spans="23:33" x14ac:dyDescent="0.15">
      <c r="W1192" s="22">
        <v>250.00502</v>
      </c>
      <c r="X1192">
        <v>594</v>
      </c>
      <c r="Y1192" s="23">
        <v>76.219480000000004</v>
      </c>
      <c r="Z1192" s="4">
        <f t="shared" si="60"/>
        <v>81.66031000000001</v>
      </c>
      <c r="AD1192" s="24">
        <v>250.01806999999999</v>
      </c>
      <c r="AE1192">
        <v>594</v>
      </c>
      <c r="AF1192" s="25">
        <v>86.417069999999995</v>
      </c>
      <c r="AG1192" s="4">
        <f t="shared" si="61"/>
        <v>86.67855999999999</v>
      </c>
    </row>
    <row r="1193" spans="23:33" x14ac:dyDescent="0.15">
      <c r="W1193" s="22">
        <v>250.00594000000001</v>
      </c>
      <c r="X1193">
        <v>594.5</v>
      </c>
      <c r="Y1193" s="4">
        <v>76.22148</v>
      </c>
      <c r="Z1193" s="4">
        <f t="shared" si="60"/>
        <v>81.662310000000005</v>
      </c>
      <c r="AD1193" s="24">
        <v>250.01609999999999</v>
      </c>
      <c r="AE1193">
        <v>594.5</v>
      </c>
      <c r="AF1193" s="19">
        <v>86.435820000000007</v>
      </c>
      <c r="AG1193" s="4">
        <f t="shared" si="61"/>
        <v>86.697310000000002</v>
      </c>
    </row>
    <row r="1194" spans="23:33" x14ac:dyDescent="0.15">
      <c r="W1194" s="22">
        <v>250.00199000000001</v>
      </c>
      <c r="X1194">
        <v>595</v>
      </c>
      <c r="Y1194" s="23">
        <v>76.200400000000002</v>
      </c>
      <c r="Z1194" s="4">
        <f t="shared" si="60"/>
        <v>81.641230000000007</v>
      </c>
      <c r="AD1194" s="24">
        <v>250.01228</v>
      </c>
      <c r="AE1194">
        <v>595</v>
      </c>
      <c r="AF1194" s="25">
        <v>86.328850000000003</v>
      </c>
      <c r="AG1194" s="4">
        <f t="shared" si="61"/>
        <v>86.590339999999998</v>
      </c>
    </row>
    <row r="1195" spans="23:33" x14ac:dyDescent="0.15">
      <c r="W1195" s="22">
        <v>250.00003000000001</v>
      </c>
      <c r="X1195">
        <v>595.5</v>
      </c>
      <c r="Y1195" s="4">
        <v>76.202259999999995</v>
      </c>
      <c r="Z1195" s="4">
        <f t="shared" si="60"/>
        <v>81.643090000000001</v>
      </c>
      <c r="AD1195" s="24">
        <v>250.01163</v>
      </c>
      <c r="AE1195">
        <v>595.5</v>
      </c>
      <c r="AF1195" s="19">
        <v>86.408770000000004</v>
      </c>
      <c r="AG1195" s="4">
        <f t="shared" si="61"/>
        <v>86.670259999999999</v>
      </c>
    </row>
    <row r="1196" spans="23:33" x14ac:dyDescent="0.15">
      <c r="W1196" s="22">
        <v>249.99895000000001</v>
      </c>
      <c r="X1196">
        <v>596</v>
      </c>
      <c r="Y1196" s="23">
        <v>76.190659999999994</v>
      </c>
      <c r="Z1196" s="4">
        <f t="shared" si="60"/>
        <v>81.631489999999999</v>
      </c>
      <c r="AD1196" s="24">
        <v>250.01313999999999</v>
      </c>
      <c r="AE1196">
        <v>596</v>
      </c>
      <c r="AF1196" s="25">
        <v>86.375919999999994</v>
      </c>
      <c r="AG1196" s="4">
        <f t="shared" si="61"/>
        <v>86.637409999999988</v>
      </c>
    </row>
    <row r="1197" spans="23:33" x14ac:dyDescent="0.15">
      <c r="W1197" s="22">
        <v>249.99897000000001</v>
      </c>
      <c r="X1197">
        <v>596.5</v>
      </c>
      <c r="Y1197" s="4">
        <v>76.194509999999994</v>
      </c>
      <c r="Z1197" s="4">
        <f t="shared" si="60"/>
        <v>81.635339999999999</v>
      </c>
      <c r="AD1197" s="24">
        <v>250.01355000000001</v>
      </c>
      <c r="AE1197">
        <v>596.5</v>
      </c>
      <c r="AF1197" s="19">
        <v>86.377430000000004</v>
      </c>
      <c r="AG1197" s="4">
        <f t="shared" si="61"/>
        <v>86.638919999999999</v>
      </c>
    </row>
    <row r="1198" spans="23:33" x14ac:dyDescent="0.15">
      <c r="W1198" s="22">
        <v>250.00104999999999</v>
      </c>
      <c r="X1198">
        <v>597</v>
      </c>
      <c r="Y1198" s="23">
        <v>76.171729999999997</v>
      </c>
      <c r="Z1198" s="4">
        <f t="shared" si="60"/>
        <v>81.612560000000002</v>
      </c>
      <c r="AD1198" s="24">
        <v>250.01840000000001</v>
      </c>
      <c r="AE1198">
        <v>597</v>
      </c>
      <c r="AF1198" s="25">
        <v>86.367599999999996</v>
      </c>
      <c r="AG1198" s="4">
        <f t="shared" si="61"/>
        <v>86.629089999999991</v>
      </c>
    </row>
    <row r="1199" spans="23:33" x14ac:dyDescent="0.15">
      <c r="W1199" s="22">
        <v>250.00398000000001</v>
      </c>
      <c r="X1199">
        <v>597.5</v>
      </c>
      <c r="Y1199" s="4">
        <v>76.177300000000002</v>
      </c>
      <c r="Z1199" s="4">
        <f t="shared" si="60"/>
        <v>81.618130000000008</v>
      </c>
      <c r="AD1199" s="24">
        <v>250.01876999999999</v>
      </c>
      <c r="AE1199">
        <v>597.5</v>
      </c>
      <c r="AF1199" s="19">
        <v>86.330680000000001</v>
      </c>
      <c r="AG1199" s="4">
        <f t="shared" si="61"/>
        <v>86.592169999999996</v>
      </c>
    </row>
    <row r="1200" spans="23:33" x14ac:dyDescent="0.15">
      <c r="W1200" s="22">
        <v>250.00496000000001</v>
      </c>
      <c r="X1200">
        <v>598</v>
      </c>
      <c r="Y1200" s="23">
        <v>76.152559999999994</v>
      </c>
      <c r="Z1200" s="4">
        <f t="shared" si="60"/>
        <v>81.593389999999999</v>
      </c>
      <c r="AD1200" s="24">
        <v>250.02081000000001</v>
      </c>
      <c r="AE1200">
        <v>598</v>
      </c>
      <c r="AF1200" s="25">
        <v>86.362880000000004</v>
      </c>
      <c r="AG1200" s="4">
        <f t="shared" si="61"/>
        <v>86.624369999999999</v>
      </c>
    </row>
    <row r="1201" spans="23:33" x14ac:dyDescent="0.15">
      <c r="W1201" s="22">
        <v>250.00701000000001</v>
      </c>
      <c r="X1201">
        <v>598.5</v>
      </c>
      <c r="Y1201" s="4">
        <v>76.160079999999994</v>
      </c>
      <c r="Z1201" s="4">
        <f t="shared" si="60"/>
        <v>81.600909999999999</v>
      </c>
      <c r="AD1201" s="24">
        <v>250.01589000000001</v>
      </c>
      <c r="AE1201">
        <v>598.5</v>
      </c>
      <c r="AF1201" s="19">
        <v>86.314070000000001</v>
      </c>
      <c r="AG1201" s="4">
        <f t="shared" si="61"/>
        <v>86.575559999999996</v>
      </c>
    </row>
    <row r="1202" spans="23:33" x14ac:dyDescent="0.15">
      <c r="W1202" s="22">
        <v>250.00704999999999</v>
      </c>
      <c r="X1202">
        <v>599</v>
      </c>
      <c r="Y1202" s="23">
        <v>76.152460000000005</v>
      </c>
      <c r="Z1202" s="4">
        <f t="shared" si="60"/>
        <v>81.59329000000001</v>
      </c>
      <c r="AD1202" s="24">
        <v>250.01197999999999</v>
      </c>
      <c r="AE1202">
        <v>599</v>
      </c>
      <c r="AF1202" s="25">
        <v>86.313140000000004</v>
      </c>
      <c r="AG1202" s="4">
        <f t="shared" si="61"/>
        <v>86.574629999999999</v>
      </c>
    </row>
    <row r="1203" spans="23:33" x14ac:dyDescent="0.15">
      <c r="W1203" s="22">
        <v>250.00702000000001</v>
      </c>
      <c r="X1203">
        <v>599.5</v>
      </c>
      <c r="Y1203" s="4">
        <v>76.144620000000003</v>
      </c>
      <c r="Z1203" s="4">
        <f t="shared" si="60"/>
        <v>81.585450000000009</v>
      </c>
      <c r="AD1203" s="24">
        <v>250.01147</v>
      </c>
      <c r="AE1203">
        <v>599.5</v>
      </c>
      <c r="AF1203" s="19">
        <v>86.362300000000005</v>
      </c>
      <c r="AG1203" s="4">
        <f t="shared" si="61"/>
        <v>86.62379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F6DD3-693A-5348-8457-7AB2A018ECEF}">
  <dimension ref="S27:U51"/>
  <sheetViews>
    <sheetView tabSelected="1" workbookViewId="0">
      <selection activeCell="I19" sqref="I19"/>
    </sheetView>
  </sheetViews>
  <sheetFormatPr baseColWidth="10" defaultRowHeight="13" x14ac:dyDescent="0.15"/>
  <sheetData>
    <row r="27" spans="20:21" x14ac:dyDescent="0.15">
      <c r="T27" s="8" t="s">
        <v>132</v>
      </c>
    </row>
    <row r="28" spans="20:21" x14ac:dyDescent="0.15">
      <c r="T28">
        <f>'All Data'!S483-'All Data'!L483</f>
        <v>4.0215500000000048</v>
      </c>
      <c r="U28" s="8" t="s">
        <v>133</v>
      </c>
    </row>
    <row r="42" spans="19:19" x14ac:dyDescent="0.15">
      <c r="S42" s="8"/>
    </row>
    <row r="50" spans="20:21" x14ac:dyDescent="0.15">
      <c r="T50" s="8" t="s">
        <v>132</v>
      </c>
    </row>
    <row r="51" spans="20:21" x14ac:dyDescent="0.15">
      <c r="T51">
        <f>'All Data'!AG1203-'All Data'!Z1203</f>
        <v>5.0383399999999909</v>
      </c>
      <c r="U51" s="8" t="s">
        <v>133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0"/>
  <sheetViews>
    <sheetView topLeftCell="A104" zoomScale="89" workbookViewId="0">
      <selection activeCell="D141" sqref="D141:D620"/>
    </sheetView>
  </sheetViews>
  <sheetFormatPr baseColWidth="10" defaultColWidth="12" defaultRowHeight="13" x14ac:dyDescent="0.15"/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t="s">
        <v>3</v>
      </c>
    </row>
    <row r="3" spans="1:2" x14ac:dyDescent="0.15">
      <c r="A3" t="s">
        <v>4</v>
      </c>
      <c r="B3" t="s">
        <v>5</v>
      </c>
    </row>
    <row r="4" spans="1:2" x14ac:dyDescent="0.15">
      <c r="A4" t="s">
        <v>6</v>
      </c>
      <c r="B4" t="s">
        <v>7</v>
      </c>
    </row>
    <row r="5" spans="1:2" x14ac:dyDescent="0.15">
      <c r="A5" t="s">
        <v>8</v>
      </c>
      <c r="B5" t="s">
        <v>9</v>
      </c>
    </row>
    <row r="6" spans="1:2" x14ac:dyDescent="0.15">
      <c r="A6" t="s">
        <v>10</v>
      </c>
      <c r="B6" t="s">
        <v>11</v>
      </c>
    </row>
    <row r="7" spans="1:2" x14ac:dyDescent="0.15">
      <c r="A7" t="s">
        <v>12</v>
      </c>
      <c r="B7" t="s">
        <v>13</v>
      </c>
    </row>
    <row r="8" spans="1:2" x14ac:dyDescent="0.15">
      <c r="A8" t="s">
        <v>14</v>
      </c>
      <c r="B8" s="1">
        <v>113397</v>
      </c>
    </row>
    <row r="9" spans="1:2" x14ac:dyDescent="0.15">
      <c r="A9" t="s">
        <v>15</v>
      </c>
      <c r="B9" t="s">
        <v>16</v>
      </c>
    </row>
    <row r="10" spans="1:2" x14ac:dyDescent="0.15">
      <c r="A10" t="s">
        <v>17</v>
      </c>
      <c r="B10" t="s">
        <v>18</v>
      </c>
    </row>
    <row r="11" spans="1:2" x14ac:dyDescent="0.15">
      <c r="A11" t="s">
        <v>19</v>
      </c>
      <c r="B11" t="s">
        <v>20</v>
      </c>
    </row>
    <row r="12" spans="1:2" x14ac:dyDescent="0.15">
      <c r="A12" t="s">
        <v>21</v>
      </c>
      <c r="B12" t="s">
        <v>22</v>
      </c>
    </row>
    <row r="13" spans="1:2" x14ac:dyDescent="0.15">
      <c r="A13" t="s">
        <v>23</v>
      </c>
      <c r="B13" t="s">
        <v>24</v>
      </c>
    </row>
    <row r="14" spans="1:2" x14ac:dyDescent="0.15">
      <c r="A14" t="s">
        <v>25</v>
      </c>
      <c r="B14" t="s">
        <v>26</v>
      </c>
    </row>
    <row r="15" spans="1:2" x14ac:dyDescent="0.15">
      <c r="A15" t="s">
        <v>27</v>
      </c>
      <c r="B15" t="s">
        <v>28</v>
      </c>
    </row>
    <row r="16" spans="1:2" x14ac:dyDescent="0.15">
      <c r="A16" t="s">
        <v>29</v>
      </c>
      <c r="B16" t="s">
        <v>9</v>
      </c>
    </row>
    <row r="17" spans="1:2" x14ac:dyDescent="0.15">
      <c r="A17" t="s">
        <v>30</v>
      </c>
      <c r="B17" s="2">
        <v>5.1193999999999997</v>
      </c>
    </row>
    <row r="18" spans="1:2" x14ac:dyDescent="0.15">
      <c r="A18" t="s">
        <v>31</v>
      </c>
      <c r="B18" t="s">
        <v>32</v>
      </c>
    </row>
    <row r="19" spans="1:2" x14ac:dyDescent="0.15">
      <c r="A19" t="s">
        <v>33</v>
      </c>
      <c r="B19" t="s">
        <v>34</v>
      </c>
    </row>
    <row r="20" spans="1:2" x14ac:dyDescent="0.15">
      <c r="A20" t="s">
        <v>35</v>
      </c>
      <c r="B20" s="1">
        <v>0</v>
      </c>
    </row>
    <row r="21" spans="1:2" x14ac:dyDescent="0.15">
      <c r="A21" t="s">
        <v>36</v>
      </c>
      <c r="B21" t="s">
        <v>37</v>
      </c>
    </row>
    <row r="22" spans="1:2" x14ac:dyDescent="0.15">
      <c r="A22" t="s">
        <v>38</v>
      </c>
      <c r="B22" s="2">
        <v>145.58260000000001</v>
      </c>
    </row>
    <row r="23" spans="1:2" x14ac:dyDescent="0.15">
      <c r="A23" t="s">
        <v>39</v>
      </c>
      <c r="B23" s="3">
        <v>144.16</v>
      </c>
    </row>
    <row r="24" spans="1:2" x14ac:dyDescent="0.15">
      <c r="A24" t="s">
        <v>40</v>
      </c>
      <c r="B24" t="s">
        <v>41</v>
      </c>
    </row>
    <row r="25" spans="1:2" x14ac:dyDescent="0.15">
      <c r="A25" t="s">
        <v>42</v>
      </c>
      <c r="B25" t="s">
        <v>43</v>
      </c>
    </row>
    <row r="26" spans="1:2" x14ac:dyDescent="0.15">
      <c r="A26" t="s">
        <v>44</v>
      </c>
      <c r="B26" t="s">
        <v>43</v>
      </c>
    </row>
    <row r="27" spans="1:2" x14ac:dyDescent="0.15">
      <c r="A27" t="s">
        <v>45</v>
      </c>
      <c r="B27" s="1">
        <v>5000</v>
      </c>
    </row>
    <row r="28" spans="1:2" x14ac:dyDescent="0.15">
      <c r="A28" t="s">
        <v>46</v>
      </c>
      <c r="B28" s="1">
        <v>5000</v>
      </c>
    </row>
    <row r="29" spans="1:2" x14ac:dyDescent="0.15">
      <c r="A29" t="s">
        <v>47</v>
      </c>
      <c r="B29" t="s">
        <v>48</v>
      </c>
    </row>
    <row r="30" spans="1:2" x14ac:dyDescent="0.15">
      <c r="A30" t="s">
        <v>49</v>
      </c>
      <c r="B30" s="1">
        <v>20</v>
      </c>
    </row>
    <row r="31" spans="1:2" x14ac:dyDescent="0.15">
      <c r="A31" t="s">
        <v>50</v>
      </c>
      <c r="B31" s="1">
        <v>1</v>
      </c>
    </row>
    <row r="32" spans="1:2" x14ac:dyDescent="0.15">
      <c r="A32" t="s">
        <v>51</v>
      </c>
      <c r="B32" t="s">
        <v>52</v>
      </c>
    </row>
    <row r="33" spans="1:9" x14ac:dyDescent="0.15">
      <c r="A33" t="s">
        <v>53</v>
      </c>
      <c r="B33" t="s">
        <v>54</v>
      </c>
    </row>
    <row r="34" spans="1:9" x14ac:dyDescent="0.15">
      <c r="A34" t="s">
        <v>55</v>
      </c>
      <c r="B34" t="s">
        <v>56</v>
      </c>
    </row>
    <row r="35" spans="1:9" x14ac:dyDescent="0.15">
      <c r="A35" t="s">
        <v>57</v>
      </c>
      <c r="B35" t="s">
        <v>58</v>
      </c>
    </row>
    <row r="36" spans="1:9" x14ac:dyDescent="0.15">
      <c r="A36" t="s">
        <v>59</v>
      </c>
      <c r="B36" t="s">
        <v>60</v>
      </c>
    </row>
    <row r="37" spans="1:9" x14ac:dyDescent="0.15">
      <c r="A37" t="s">
        <v>61</v>
      </c>
      <c r="B37" t="s">
        <v>62</v>
      </c>
    </row>
    <row r="39" spans="1:9" x14ac:dyDescent="0.15">
      <c r="A39" t="s">
        <v>63</v>
      </c>
      <c r="B39" t="s">
        <v>64</v>
      </c>
      <c r="C39" t="s">
        <v>65</v>
      </c>
      <c r="D39" t="s">
        <v>66</v>
      </c>
      <c r="E39" t="s">
        <v>67</v>
      </c>
      <c r="F39" t="s">
        <v>68</v>
      </c>
      <c r="G39" t="s">
        <v>69</v>
      </c>
      <c r="H39" t="s">
        <v>70</v>
      </c>
      <c r="I39" s="8" t="s">
        <v>99</v>
      </c>
    </row>
    <row r="40" spans="1:9" x14ac:dyDescent="0.15">
      <c r="A40" s="4">
        <v>45.817999999999998</v>
      </c>
      <c r="B40" s="4">
        <v>0</v>
      </c>
      <c r="C40" s="5">
        <v>9.9849480000000004E-3</v>
      </c>
      <c r="D40" s="4">
        <v>100</v>
      </c>
      <c r="E40" s="6">
        <v>0</v>
      </c>
      <c r="F40" s="4">
        <v>100</v>
      </c>
      <c r="G40" s="4">
        <v>1</v>
      </c>
      <c r="H40" s="1">
        <v>1</v>
      </c>
    </row>
    <row r="41" spans="1:9" x14ac:dyDescent="0.15">
      <c r="A41" s="4">
        <v>46.728729999999999</v>
      </c>
      <c r="B41" s="4">
        <v>0.5</v>
      </c>
      <c r="C41" s="5">
        <v>7.7495140000000004E-2</v>
      </c>
      <c r="D41" s="4">
        <v>100.01855999999999</v>
      </c>
      <c r="E41" s="6">
        <v>0</v>
      </c>
      <c r="F41" s="4">
        <v>100</v>
      </c>
      <c r="G41" s="4">
        <v>1</v>
      </c>
      <c r="H41" s="1">
        <v>1</v>
      </c>
    </row>
    <row r="42" spans="1:9" x14ac:dyDescent="0.15">
      <c r="A42" s="4">
        <v>49.650179999999999</v>
      </c>
      <c r="B42" s="4">
        <v>1</v>
      </c>
      <c r="C42" s="4">
        <v>0.56169000000000002</v>
      </c>
      <c r="D42" s="4">
        <v>100.41753</v>
      </c>
      <c r="E42" s="6">
        <v>0</v>
      </c>
      <c r="F42" s="4">
        <v>100</v>
      </c>
      <c r="G42" s="4">
        <v>1</v>
      </c>
      <c r="H42" s="1">
        <v>1</v>
      </c>
    </row>
    <row r="43" spans="1:9" x14ac:dyDescent="0.15">
      <c r="A43" s="4">
        <v>57.174500000000002</v>
      </c>
      <c r="B43" s="4">
        <v>1.5</v>
      </c>
      <c r="C43" s="4">
        <v>1.9721</v>
      </c>
      <c r="D43" s="4">
        <v>100.39493</v>
      </c>
      <c r="E43" s="6">
        <v>0</v>
      </c>
      <c r="F43" s="4">
        <v>100</v>
      </c>
      <c r="G43" s="4">
        <v>1</v>
      </c>
      <c r="H43" s="13">
        <v>2</v>
      </c>
    </row>
    <row r="44" spans="1:9" x14ac:dyDescent="0.15">
      <c r="A44" s="4">
        <v>67.848690000000005</v>
      </c>
      <c r="B44" s="4">
        <v>2</v>
      </c>
      <c r="C44" s="4">
        <v>2.3631099999999998</v>
      </c>
      <c r="D44" s="4">
        <v>100.52348000000001</v>
      </c>
      <c r="E44" s="6">
        <v>0</v>
      </c>
      <c r="F44" s="4">
        <v>100</v>
      </c>
      <c r="G44" s="4">
        <v>1</v>
      </c>
      <c r="H44" s="1">
        <v>2</v>
      </c>
    </row>
    <row r="45" spans="1:9" x14ac:dyDescent="0.15">
      <c r="A45" s="4">
        <v>78.113339999999994</v>
      </c>
      <c r="B45" s="4">
        <v>2.5</v>
      </c>
      <c r="C45" s="4">
        <v>1.67597</v>
      </c>
      <c r="D45" s="4">
        <v>100.48936999999999</v>
      </c>
      <c r="E45" s="6">
        <v>0</v>
      </c>
      <c r="F45" s="4">
        <v>100</v>
      </c>
      <c r="G45" s="4">
        <v>1</v>
      </c>
      <c r="H45" s="1">
        <v>2</v>
      </c>
    </row>
    <row r="46" spans="1:9" x14ac:dyDescent="0.15">
      <c r="A46" s="4">
        <v>87.040589999999995</v>
      </c>
      <c r="B46" s="4">
        <v>3</v>
      </c>
      <c r="C46" s="4">
        <v>1.0345899999999999</v>
      </c>
      <c r="D46" s="4">
        <v>100.46287</v>
      </c>
      <c r="E46" s="6">
        <v>0</v>
      </c>
      <c r="F46" s="4">
        <v>100</v>
      </c>
      <c r="G46" s="4">
        <v>1</v>
      </c>
      <c r="H46" s="1">
        <v>2</v>
      </c>
    </row>
    <row r="47" spans="1:9" x14ac:dyDescent="0.15">
      <c r="A47" s="4">
        <v>94.359020000000001</v>
      </c>
      <c r="B47" s="4">
        <v>3.5</v>
      </c>
      <c r="C47" s="4">
        <v>0.60565999999999998</v>
      </c>
      <c r="D47" s="4">
        <v>100.42191</v>
      </c>
      <c r="E47" s="6">
        <v>0</v>
      </c>
      <c r="F47" s="4">
        <v>100</v>
      </c>
      <c r="G47" s="4">
        <v>1</v>
      </c>
      <c r="H47" s="1">
        <v>2</v>
      </c>
    </row>
    <row r="48" spans="1:9" x14ac:dyDescent="0.15">
      <c r="A48" s="4">
        <v>100.08458</v>
      </c>
      <c r="B48" s="4">
        <v>4</v>
      </c>
      <c r="C48" s="4">
        <v>0.33683999999999997</v>
      </c>
      <c r="D48" s="4">
        <v>100.20656</v>
      </c>
      <c r="E48" s="6">
        <v>0</v>
      </c>
      <c r="F48" s="4">
        <v>100</v>
      </c>
      <c r="G48" s="4">
        <v>1</v>
      </c>
      <c r="H48" s="1">
        <v>2</v>
      </c>
    </row>
    <row r="49" spans="1:8" x14ac:dyDescent="0.15">
      <c r="A49" s="4">
        <v>104.36458</v>
      </c>
      <c r="B49" s="4">
        <v>4.5</v>
      </c>
      <c r="C49" s="4">
        <v>0.17150000000000001</v>
      </c>
      <c r="D49" s="4">
        <v>100.03318</v>
      </c>
      <c r="E49" s="6">
        <v>0</v>
      </c>
      <c r="F49" s="4">
        <v>100</v>
      </c>
      <c r="G49" s="4">
        <v>1</v>
      </c>
      <c r="H49" s="1">
        <v>2</v>
      </c>
    </row>
    <row r="50" spans="1:8" x14ac:dyDescent="0.15">
      <c r="A50" s="4">
        <v>107.41754</v>
      </c>
      <c r="B50" s="4">
        <v>5</v>
      </c>
      <c r="C50" s="5">
        <v>7.1808869999999997E-2</v>
      </c>
      <c r="D50" s="4">
        <v>99.997169999999997</v>
      </c>
      <c r="E50" s="6">
        <v>0</v>
      </c>
      <c r="F50" s="4">
        <v>100</v>
      </c>
      <c r="G50" s="4">
        <v>1</v>
      </c>
      <c r="H50" s="1">
        <v>2</v>
      </c>
    </row>
    <row r="51" spans="1:8" x14ac:dyDescent="0.15">
      <c r="A51" s="4">
        <v>109.53846</v>
      </c>
      <c r="B51" s="4">
        <v>5.5</v>
      </c>
      <c r="C51" s="5">
        <v>3.1442440000000002E-2</v>
      </c>
      <c r="D51" s="4">
        <v>99.964519999999993</v>
      </c>
      <c r="E51" s="6">
        <v>0</v>
      </c>
      <c r="F51" s="4">
        <v>100</v>
      </c>
      <c r="G51" s="4">
        <v>1</v>
      </c>
      <c r="H51" s="1">
        <v>2</v>
      </c>
    </row>
    <row r="52" spans="1:8" x14ac:dyDescent="0.15">
      <c r="A52" s="4">
        <v>111.04961</v>
      </c>
      <c r="B52" s="4">
        <v>6</v>
      </c>
      <c r="C52" s="5">
        <v>2.4564860000000001E-2</v>
      </c>
      <c r="D52" s="4">
        <v>99.979470000000006</v>
      </c>
      <c r="E52" s="6">
        <v>0</v>
      </c>
      <c r="F52" s="4">
        <v>100</v>
      </c>
      <c r="G52" s="4">
        <v>1</v>
      </c>
      <c r="H52" s="1">
        <v>2</v>
      </c>
    </row>
    <row r="53" spans="1:8" x14ac:dyDescent="0.15">
      <c r="A53" s="4">
        <v>112.18848</v>
      </c>
      <c r="B53" s="4">
        <v>6.5</v>
      </c>
      <c r="C53" s="5">
        <v>3.1682780000000001E-2</v>
      </c>
      <c r="D53" s="4">
        <v>99.983189999999993</v>
      </c>
      <c r="E53" s="6">
        <v>0</v>
      </c>
      <c r="F53" s="4">
        <v>100</v>
      </c>
      <c r="G53" s="4">
        <v>1</v>
      </c>
      <c r="H53" s="1">
        <v>2</v>
      </c>
    </row>
    <row r="54" spans="1:8" x14ac:dyDescent="0.15">
      <c r="A54" s="4">
        <v>113.10302</v>
      </c>
      <c r="B54" s="4">
        <v>7</v>
      </c>
      <c r="C54" s="5">
        <v>3.9948369999999997E-2</v>
      </c>
      <c r="D54" s="4">
        <v>99.997609999999995</v>
      </c>
      <c r="E54" s="6">
        <v>0</v>
      </c>
      <c r="F54" s="4">
        <v>100</v>
      </c>
      <c r="G54" s="4">
        <v>1</v>
      </c>
      <c r="H54" s="1">
        <v>2</v>
      </c>
    </row>
    <row r="55" spans="1:8" x14ac:dyDescent="0.15">
      <c r="A55" s="4">
        <v>113.86445000000001</v>
      </c>
      <c r="B55" s="4">
        <v>7.5</v>
      </c>
      <c r="C55" s="5">
        <v>3.729346E-2</v>
      </c>
      <c r="D55" s="4">
        <v>99.980009999999993</v>
      </c>
      <c r="E55" s="6">
        <v>0</v>
      </c>
      <c r="F55" s="4">
        <v>100</v>
      </c>
      <c r="G55" s="4">
        <v>1</v>
      </c>
      <c r="H55" s="1">
        <v>2</v>
      </c>
    </row>
    <row r="56" spans="1:8" x14ac:dyDescent="0.15">
      <c r="A56" s="4">
        <v>114.47181999999999</v>
      </c>
      <c r="B56" s="4">
        <v>8</v>
      </c>
      <c r="C56" s="5">
        <v>2.771705E-2</v>
      </c>
      <c r="D56" s="4">
        <v>99.990290000000002</v>
      </c>
      <c r="E56" s="6">
        <v>0</v>
      </c>
      <c r="F56" s="4">
        <v>100</v>
      </c>
      <c r="G56" s="4">
        <v>1</v>
      </c>
      <c r="H56" s="1">
        <v>2</v>
      </c>
    </row>
    <row r="57" spans="1:8" x14ac:dyDescent="0.15">
      <c r="A57" s="4">
        <v>114.90085999999999</v>
      </c>
      <c r="B57" s="4">
        <v>8.5</v>
      </c>
      <c r="C57" s="5">
        <v>1.235784E-2</v>
      </c>
      <c r="D57" s="4">
        <v>99.926749999999998</v>
      </c>
      <c r="E57" s="6">
        <v>0</v>
      </c>
      <c r="F57" s="4">
        <v>100</v>
      </c>
      <c r="G57" s="4">
        <v>1</v>
      </c>
      <c r="H57" s="1">
        <v>2</v>
      </c>
    </row>
    <row r="58" spans="1:8" x14ac:dyDescent="0.15">
      <c r="A58" s="4">
        <v>115.12802000000001</v>
      </c>
      <c r="B58" s="4">
        <v>9</v>
      </c>
      <c r="C58" s="5">
        <v>-8.0211689999999999E-3</v>
      </c>
      <c r="D58" s="4">
        <v>99.962419999999995</v>
      </c>
      <c r="E58" s="6">
        <v>0</v>
      </c>
      <c r="F58" s="4">
        <v>100</v>
      </c>
      <c r="G58" s="4">
        <v>1</v>
      </c>
      <c r="H58" s="1">
        <v>2</v>
      </c>
    </row>
    <row r="59" spans="1:8" x14ac:dyDescent="0.15">
      <c r="A59" s="4">
        <v>115.14475</v>
      </c>
      <c r="B59" s="4">
        <v>9.5</v>
      </c>
      <c r="C59" s="5">
        <v>-2.486936E-2</v>
      </c>
      <c r="D59" s="4">
        <v>100.00259</v>
      </c>
      <c r="E59" s="6">
        <v>0</v>
      </c>
      <c r="F59" s="4">
        <v>100</v>
      </c>
      <c r="G59" s="4">
        <v>1</v>
      </c>
      <c r="H59" s="1">
        <v>2</v>
      </c>
    </row>
    <row r="60" spans="1:8" x14ac:dyDescent="0.15">
      <c r="A60" s="4">
        <v>114.9669</v>
      </c>
      <c r="B60" s="4">
        <v>10</v>
      </c>
      <c r="C60" s="5">
        <v>-3.5876810000000002E-2</v>
      </c>
      <c r="D60" s="4">
        <v>99.899720000000002</v>
      </c>
      <c r="E60" s="6">
        <v>0</v>
      </c>
      <c r="F60" s="4">
        <v>100</v>
      </c>
      <c r="G60" s="4">
        <v>1</v>
      </c>
      <c r="H60" s="1">
        <v>2</v>
      </c>
    </row>
    <row r="61" spans="1:8" x14ac:dyDescent="0.15">
      <c r="A61" s="4">
        <v>114.62254</v>
      </c>
      <c r="B61" s="4">
        <v>10.5</v>
      </c>
      <c r="C61" s="5">
        <v>-4.1290609999999998E-2</v>
      </c>
      <c r="D61" s="4">
        <v>99.783339999999995</v>
      </c>
      <c r="E61" s="6">
        <v>0</v>
      </c>
      <c r="F61" s="4">
        <v>100</v>
      </c>
      <c r="G61" s="4">
        <v>1</v>
      </c>
      <c r="H61" s="1">
        <v>2</v>
      </c>
    </row>
    <row r="62" spans="1:8" x14ac:dyDescent="0.15">
      <c r="A62" s="4">
        <v>114.14037999999999</v>
      </c>
      <c r="B62" s="4">
        <v>11</v>
      </c>
      <c r="C62" s="5">
        <v>-4.4846959999999998E-2</v>
      </c>
      <c r="D62" s="4">
        <v>99.779849999999996</v>
      </c>
      <c r="E62" s="6">
        <v>0</v>
      </c>
      <c r="F62" s="4">
        <v>100</v>
      </c>
      <c r="G62" s="4">
        <v>1</v>
      </c>
      <c r="H62" s="1">
        <v>2</v>
      </c>
    </row>
    <row r="63" spans="1:8" x14ac:dyDescent="0.15">
      <c r="A63" s="4">
        <v>113.56773</v>
      </c>
      <c r="B63" s="4">
        <v>11.5</v>
      </c>
      <c r="C63" s="5">
        <v>-4.312908E-2</v>
      </c>
      <c r="D63" s="4">
        <v>99.838930000000005</v>
      </c>
      <c r="E63" s="6">
        <v>0</v>
      </c>
      <c r="F63" s="4">
        <v>100</v>
      </c>
      <c r="G63" s="4">
        <v>1</v>
      </c>
      <c r="H63" s="1">
        <v>2</v>
      </c>
    </row>
    <row r="64" spans="1:8" x14ac:dyDescent="0.15">
      <c r="A64" s="4">
        <v>112.93671999999999</v>
      </c>
      <c r="B64" s="4">
        <v>12</v>
      </c>
      <c r="C64" s="5">
        <v>-3.9280809999999999E-2</v>
      </c>
      <c r="D64" s="4">
        <v>99.777540000000002</v>
      </c>
      <c r="E64" s="6">
        <v>0</v>
      </c>
      <c r="F64" s="4">
        <v>100</v>
      </c>
      <c r="G64" s="4">
        <v>1</v>
      </c>
      <c r="H64" s="1">
        <v>2</v>
      </c>
    </row>
    <row r="65" spans="1:8" x14ac:dyDescent="0.15">
      <c r="A65" s="4">
        <v>112.27587</v>
      </c>
      <c r="B65" s="4">
        <v>12.5</v>
      </c>
      <c r="C65" s="5">
        <v>-3.5856100000000002E-2</v>
      </c>
      <c r="D65" s="4">
        <v>99.781090000000006</v>
      </c>
      <c r="E65" s="6">
        <v>0</v>
      </c>
      <c r="F65" s="4">
        <v>100</v>
      </c>
      <c r="G65" s="4">
        <v>1</v>
      </c>
      <c r="H65" s="1">
        <v>2</v>
      </c>
    </row>
    <row r="66" spans="1:8" x14ac:dyDescent="0.15">
      <c r="A66" s="4">
        <v>111.61192</v>
      </c>
      <c r="B66" s="4">
        <v>13</v>
      </c>
      <c r="C66" s="5">
        <v>-2.888334E-2</v>
      </c>
      <c r="D66" s="4">
        <v>99.638109999999998</v>
      </c>
      <c r="E66" s="6">
        <v>0</v>
      </c>
      <c r="F66" s="4">
        <v>100</v>
      </c>
      <c r="G66" s="4">
        <v>1</v>
      </c>
      <c r="H66" s="1">
        <v>2</v>
      </c>
    </row>
    <row r="67" spans="1:8" x14ac:dyDescent="0.15">
      <c r="A67" s="4">
        <v>110.96119</v>
      </c>
      <c r="B67" s="4">
        <v>13.5</v>
      </c>
      <c r="C67" s="5">
        <v>-2.5613690000000001E-2</v>
      </c>
      <c r="D67" s="4">
        <v>99.755690000000001</v>
      </c>
      <c r="E67" s="6">
        <v>0</v>
      </c>
      <c r="F67" s="4">
        <v>100</v>
      </c>
      <c r="G67" s="4">
        <v>1</v>
      </c>
      <c r="H67" s="1">
        <v>2</v>
      </c>
    </row>
    <row r="68" spans="1:8" x14ac:dyDescent="0.15">
      <c r="A68" s="4">
        <v>110.3279</v>
      </c>
      <c r="B68" s="4">
        <v>14</v>
      </c>
      <c r="C68" s="5">
        <v>-1.9211659999999998E-2</v>
      </c>
      <c r="D68" s="4">
        <v>99.601219999999998</v>
      </c>
      <c r="E68" s="6">
        <v>0</v>
      </c>
      <c r="F68" s="4">
        <v>100</v>
      </c>
      <c r="G68" s="4">
        <v>1</v>
      </c>
      <c r="H68" s="1">
        <v>2</v>
      </c>
    </row>
    <row r="69" spans="1:8" x14ac:dyDescent="0.15">
      <c r="A69" s="4">
        <v>109.72197</v>
      </c>
      <c r="B69" s="4">
        <v>14.5</v>
      </c>
      <c r="C69" s="5">
        <v>-1.4980179999999999E-2</v>
      </c>
      <c r="D69" s="4">
        <v>99.69435</v>
      </c>
      <c r="E69" s="6">
        <v>0</v>
      </c>
      <c r="F69" s="4">
        <v>100</v>
      </c>
      <c r="G69" s="4">
        <v>1</v>
      </c>
      <c r="H69" s="1">
        <v>2</v>
      </c>
    </row>
    <row r="70" spans="1:8" x14ac:dyDescent="0.15">
      <c r="A70" s="4">
        <v>109.14487</v>
      </c>
      <c r="B70" s="4">
        <v>15</v>
      </c>
      <c r="C70" s="5">
        <v>-1.2441539999999999E-2</v>
      </c>
      <c r="D70" s="4">
        <v>99.673990000000003</v>
      </c>
      <c r="E70" s="6">
        <v>0</v>
      </c>
      <c r="F70" s="4">
        <v>100</v>
      </c>
      <c r="G70" s="4">
        <v>1</v>
      </c>
      <c r="H70" s="1">
        <v>2</v>
      </c>
    </row>
    <row r="71" spans="1:8" x14ac:dyDescent="0.15">
      <c r="A71" s="4">
        <v>108.60476</v>
      </c>
      <c r="B71" s="4">
        <v>15.5</v>
      </c>
      <c r="C71" s="5">
        <v>-7.4108480000000003E-3</v>
      </c>
      <c r="D71" s="4">
        <v>99.579170000000005</v>
      </c>
      <c r="E71" s="6">
        <v>0</v>
      </c>
      <c r="F71" s="4">
        <v>100</v>
      </c>
      <c r="G71" s="4">
        <v>1</v>
      </c>
      <c r="H71" s="1">
        <v>2</v>
      </c>
    </row>
    <row r="72" spans="1:8" x14ac:dyDescent="0.15">
      <c r="A72" s="4">
        <v>108.09934</v>
      </c>
      <c r="B72" s="4">
        <v>16</v>
      </c>
      <c r="C72" s="5">
        <v>-3.6219730000000001E-3</v>
      </c>
      <c r="D72" s="4">
        <v>99.697460000000007</v>
      </c>
      <c r="E72" s="6">
        <v>0</v>
      </c>
      <c r="F72" s="4">
        <v>100</v>
      </c>
      <c r="G72" s="4">
        <v>1</v>
      </c>
      <c r="H72" s="1">
        <v>2</v>
      </c>
    </row>
    <row r="73" spans="1:8" x14ac:dyDescent="0.15">
      <c r="A73" s="4">
        <v>107.63082</v>
      </c>
      <c r="B73" s="4">
        <v>16.5</v>
      </c>
      <c r="C73" s="5">
        <v>-2.3463410000000001E-4</v>
      </c>
      <c r="D73" s="4">
        <v>99.546080000000003</v>
      </c>
      <c r="E73" s="6">
        <v>0</v>
      </c>
      <c r="F73" s="4">
        <v>100</v>
      </c>
      <c r="G73" s="4">
        <v>1</v>
      </c>
      <c r="H73" s="1">
        <v>2</v>
      </c>
    </row>
    <row r="74" spans="1:8" x14ac:dyDescent="0.15">
      <c r="A74" s="4">
        <v>107.19902</v>
      </c>
      <c r="B74" s="4">
        <v>17</v>
      </c>
      <c r="C74" s="5">
        <v>2.9337949999999999E-3</v>
      </c>
      <c r="D74" s="4">
        <v>99.530709999999999</v>
      </c>
      <c r="E74" s="6">
        <v>0</v>
      </c>
      <c r="F74" s="4">
        <v>100</v>
      </c>
      <c r="G74" s="4">
        <v>1</v>
      </c>
      <c r="H74" s="1">
        <v>2</v>
      </c>
    </row>
    <row r="75" spans="1:8" x14ac:dyDescent="0.15">
      <c r="A75" s="4">
        <v>106.80731</v>
      </c>
      <c r="B75" s="4">
        <v>17.5</v>
      </c>
      <c r="C75" s="5">
        <v>7.4000309999999996E-3</v>
      </c>
      <c r="D75" s="4">
        <v>99.615690000000001</v>
      </c>
      <c r="E75" s="6">
        <v>0</v>
      </c>
      <c r="F75" s="4">
        <v>100</v>
      </c>
      <c r="G75" s="4">
        <v>1</v>
      </c>
      <c r="H75" s="1">
        <v>2</v>
      </c>
    </row>
    <row r="76" spans="1:8" x14ac:dyDescent="0.15">
      <c r="A76" s="4">
        <v>106.4547</v>
      </c>
      <c r="B76" s="4">
        <v>18</v>
      </c>
      <c r="C76" s="5">
        <v>9.2325889999999994E-3</v>
      </c>
      <c r="D76" s="4">
        <v>99.604420000000005</v>
      </c>
      <c r="E76" s="6">
        <v>0</v>
      </c>
      <c r="F76" s="4">
        <v>100</v>
      </c>
      <c r="G76" s="4">
        <v>1</v>
      </c>
      <c r="H76" s="1">
        <v>2</v>
      </c>
    </row>
    <row r="77" spans="1:8" x14ac:dyDescent="0.15">
      <c r="A77" s="4">
        <v>106.14385</v>
      </c>
      <c r="B77" s="4">
        <v>18.5</v>
      </c>
      <c r="C77" s="5">
        <v>1.228483E-2</v>
      </c>
      <c r="D77" s="4">
        <v>99.553449999999998</v>
      </c>
      <c r="E77" s="6">
        <v>0</v>
      </c>
      <c r="F77" s="4">
        <v>100</v>
      </c>
      <c r="G77" s="4">
        <v>1</v>
      </c>
      <c r="H77" s="1">
        <v>2</v>
      </c>
    </row>
    <row r="78" spans="1:8" x14ac:dyDescent="0.15">
      <c r="A78" s="4">
        <v>105.86851</v>
      </c>
      <c r="B78" s="4">
        <v>19</v>
      </c>
      <c r="C78" s="5">
        <v>1.5734100000000001E-2</v>
      </c>
      <c r="D78" s="4">
        <v>99.48845</v>
      </c>
      <c r="E78" s="6">
        <v>0</v>
      </c>
      <c r="F78" s="4">
        <v>100</v>
      </c>
      <c r="G78" s="4">
        <v>1</v>
      </c>
      <c r="H78" s="1">
        <v>2</v>
      </c>
    </row>
    <row r="79" spans="1:8" x14ac:dyDescent="0.15">
      <c r="A79" s="4">
        <v>105.62854</v>
      </c>
      <c r="B79" s="4">
        <v>19.5</v>
      </c>
      <c r="C79" s="5">
        <v>1.8636630000000001E-2</v>
      </c>
      <c r="D79" s="4">
        <v>99.607439999999997</v>
      </c>
      <c r="E79" s="6">
        <v>0</v>
      </c>
      <c r="F79" s="4">
        <v>100</v>
      </c>
      <c r="G79" s="4">
        <v>1</v>
      </c>
      <c r="H79" s="1">
        <v>2</v>
      </c>
    </row>
    <row r="80" spans="1:8" x14ac:dyDescent="0.15">
      <c r="A80" s="4">
        <v>105.42166</v>
      </c>
      <c r="B80" s="4">
        <v>20</v>
      </c>
      <c r="C80" s="5">
        <v>2.0970309999999999E-2</v>
      </c>
      <c r="D80" s="4">
        <v>99.555949999999996</v>
      </c>
      <c r="E80" s="6">
        <v>0</v>
      </c>
      <c r="F80" s="4">
        <v>100</v>
      </c>
      <c r="G80" s="4">
        <v>1</v>
      </c>
      <c r="H80" s="1">
        <v>2</v>
      </c>
    </row>
    <row r="81" spans="1:8" x14ac:dyDescent="0.15">
      <c r="A81" s="4">
        <v>105.24902</v>
      </c>
      <c r="B81" s="4">
        <v>20.5</v>
      </c>
      <c r="C81" s="5">
        <v>2.197462E-2</v>
      </c>
      <c r="D81" s="4">
        <v>99.753270000000001</v>
      </c>
      <c r="E81" s="6">
        <v>0</v>
      </c>
      <c r="F81" s="4">
        <v>100</v>
      </c>
      <c r="G81" s="4">
        <v>1</v>
      </c>
      <c r="H81" s="1">
        <v>2</v>
      </c>
    </row>
    <row r="82" spans="1:8" x14ac:dyDescent="0.15">
      <c r="A82" s="4">
        <v>105.10551</v>
      </c>
      <c r="B82" s="4">
        <v>21</v>
      </c>
      <c r="C82" s="5">
        <v>2.415136E-2</v>
      </c>
      <c r="D82" s="4">
        <v>99.491050000000001</v>
      </c>
      <c r="E82" s="6">
        <v>0</v>
      </c>
      <c r="F82" s="4">
        <v>100</v>
      </c>
      <c r="G82" s="4">
        <v>1</v>
      </c>
      <c r="H82" s="1">
        <v>2</v>
      </c>
    </row>
    <row r="83" spans="1:8" x14ac:dyDescent="0.15">
      <c r="A83" s="4">
        <v>104.98263</v>
      </c>
      <c r="B83" s="4">
        <v>21.5</v>
      </c>
      <c r="C83" s="5">
        <v>2.5632390000000001E-2</v>
      </c>
      <c r="D83" s="4">
        <v>99.561899999999994</v>
      </c>
      <c r="E83" s="6">
        <v>0</v>
      </c>
      <c r="F83" s="4">
        <v>100</v>
      </c>
      <c r="G83" s="4">
        <v>1</v>
      </c>
      <c r="H83" s="1">
        <v>2</v>
      </c>
    </row>
    <row r="84" spans="1:8" x14ac:dyDescent="0.15">
      <c r="A84" s="4">
        <v>104.88319</v>
      </c>
      <c r="B84" s="4">
        <v>22</v>
      </c>
      <c r="C84" s="5">
        <v>2.6600100000000002E-2</v>
      </c>
      <c r="D84" s="4">
        <v>99.640050000000002</v>
      </c>
      <c r="E84" s="6">
        <v>0</v>
      </c>
      <c r="F84" s="4">
        <v>100</v>
      </c>
      <c r="G84" s="4">
        <v>1</v>
      </c>
      <c r="H84" s="1">
        <v>2</v>
      </c>
    </row>
    <row r="85" spans="1:8" x14ac:dyDescent="0.15">
      <c r="A85" s="4">
        <v>104.80226999999999</v>
      </c>
      <c r="B85" s="4">
        <v>22.5</v>
      </c>
      <c r="C85" s="5">
        <v>2.7070429999999999E-2</v>
      </c>
      <c r="D85" s="4">
        <v>99.576430000000002</v>
      </c>
      <c r="E85" s="6">
        <v>0</v>
      </c>
      <c r="F85" s="4">
        <v>100</v>
      </c>
      <c r="G85" s="4">
        <v>1</v>
      </c>
      <c r="H85" s="1">
        <v>2</v>
      </c>
    </row>
    <row r="86" spans="1:8" x14ac:dyDescent="0.15">
      <c r="A86" s="4">
        <v>104.74092</v>
      </c>
      <c r="B86" s="4">
        <v>23</v>
      </c>
      <c r="C86" s="5">
        <v>2.9733840000000001E-2</v>
      </c>
      <c r="D86" s="4">
        <v>99.744659999999996</v>
      </c>
      <c r="E86" s="6">
        <v>0</v>
      </c>
      <c r="F86" s="4">
        <v>100</v>
      </c>
      <c r="G86" s="4">
        <v>1</v>
      </c>
      <c r="H86" s="1">
        <v>2</v>
      </c>
    </row>
    <row r="87" spans="1:8" x14ac:dyDescent="0.15">
      <c r="A87" s="4">
        <v>104.69996</v>
      </c>
      <c r="B87" s="4">
        <v>23.5</v>
      </c>
      <c r="C87" s="5">
        <v>3.03545E-2</v>
      </c>
      <c r="D87" s="4">
        <v>99.538110000000003</v>
      </c>
      <c r="E87" s="6">
        <v>0</v>
      </c>
      <c r="F87" s="4">
        <v>100</v>
      </c>
      <c r="G87" s="4">
        <v>1</v>
      </c>
      <c r="H87" s="1">
        <v>2</v>
      </c>
    </row>
    <row r="88" spans="1:8" x14ac:dyDescent="0.15">
      <c r="A88" s="4">
        <v>104.67393</v>
      </c>
      <c r="B88" s="4">
        <v>24</v>
      </c>
      <c r="C88" s="5">
        <v>3.083487E-2</v>
      </c>
      <c r="D88" s="4">
        <v>99.449529999999996</v>
      </c>
      <c r="E88" s="6">
        <v>0</v>
      </c>
      <c r="F88" s="4">
        <v>100</v>
      </c>
      <c r="G88" s="4">
        <v>1</v>
      </c>
      <c r="H88" s="1">
        <v>2</v>
      </c>
    </row>
    <row r="89" spans="1:8" x14ac:dyDescent="0.15">
      <c r="A89" s="4">
        <v>104.65478</v>
      </c>
      <c r="B89" s="4">
        <v>24.5</v>
      </c>
      <c r="C89" s="5">
        <v>3.1422789999999999E-2</v>
      </c>
      <c r="D89" s="4">
        <v>99.617400000000004</v>
      </c>
      <c r="E89" s="6">
        <v>0</v>
      </c>
      <c r="F89" s="4">
        <v>100</v>
      </c>
      <c r="G89" s="4">
        <v>1</v>
      </c>
      <c r="H89" s="1">
        <v>2</v>
      </c>
    </row>
    <row r="90" spans="1:8" x14ac:dyDescent="0.15">
      <c r="A90" s="4">
        <v>104.6507</v>
      </c>
      <c r="B90" s="4">
        <v>25</v>
      </c>
      <c r="C90" s="5">
        <v>3.1620549999999997E-2</v>
      </c>
      <c r="D90" s="4">
        <v>99.540840000000003</v>
      </c>
      <c r="E90" s="6">
        <v>0</v>
      </c>
      <c r="F90" s="4">
        <v>100</v>
      </c>
      <c r="G90" s="4">
        <v>1</v>
      </c>
      <c r="H90" s="1">
        <v>2</v>
      </c>
    </row>
    <row r="91" spans="1:8" x14ac:dyDescent="0.15">
      <c r="A91" s="4">
        <v>104.65535</v>
      </c>
      <c r="B91" s="4">
        <v>25.5</v>
      </c>
      <c r="C91" s="5">
        <v>3.1590649999999998E-2</v>
      </c>
      <c r="D91" s="4">
        <v>99.542630000000003</v>
      </c>
      <c r="E91" s="6">
        <v>0</v>
      </c>
      <c r="F91" s="4">
        <v>100</v>
      </c>
      <c r="G91" s="4">
        <v>1</v>
      </c>
      <c r="H91" s="1">
        <v>2</v>
      </c>
    </row>
    <row r="92" spans="1:8" x14ac:dyDescent="0.15">
      <c r="A92" s="4">
        <v>104.65857</v>
      </c>
      <c r="B92" s="4">
        <v>26</v>
      </c>
      <c r="C92" s="5">
        <v>2.9851889999999999E-2</v>
      </c>
      <c r="D92" s="4">
        <v>99.601209999999995</v>
      </c>
      <c r="E92" s="6">
        <v>0</v>
      </c>
      <c r="F92" s="4">
        <v>100</v>
      </c>
      <c r="G92" s="4">
        <v>1</v>
      </c>
      <c r="H92" s="1">
        <v>2</v>
      </c>
    </row>
    <row r="93" spans="1:8" x14ac:dyDescent="0.15">
      <c r="A93" s="4">
        <v>104.66088999999999</v>
      </c>
      <c r="B93" s="4">
        <v>26.5</v>
      </c>
      <c r="C93" s="5">
        <v>2.9250720000000001E-2</v>
      </c>
      <c r="D93" s="4">
        <v>99.507140000000007</v>
      </c>
      <c r="E93" s="6">
        <v>0</v>
      </c>
      <c r="F93" s="4">
        <v>100</v>
      </c>
      <c r="G93" s="4">
        <v>1</v>
      </c>
      <c r="H93" s="1">
        <v>2</v>
      </c>
    </row>
    <row r="94" spans="1:8" x14ac:dyDescent="0.15">
      <c r="A94" s="4">
        <v>104.66930000000001</v>
      </c>
      <c r="B94" s="4">
        <v>27</v>
      </c>
      <c r="C94" s="5">
        <v>3.0761199999999999E-2</v>
      </c>
      <c r="D94" s="4">
        <v>99.510009999999994</v>
      </c>
      <c r="E94" s="6">
        <v>0</v>
      </c>
      <c r="F94" s="4">
        <v>100</v>
      </c>
      <c r="G94" s="4">
        <v>1</v>
      </c>
      <c r="H94" s="1">
        <v>2</v>
      </c>
    </row>
    <row r="95" spans="1:8" x14ac:dyDescent="0.15">
      <c r="A95" s="4">
        <v>104.6871</v>
      </c>
      <c r="B95" s="4">
        <v>27.5</v>
      </c>
      <c r="C95" s="5">
        <v>3.4141890000000001E-2</v>
      </c>
      <c r="D95" s="4">
        <v>99.52328</v>
      </c>
      <c r="E95" s="6">
        <v>0</v>
      </c>
      <c r="F95" s="4">
        <v>100</v>
      </c>
      <c r="G95" s="4">
        <v>1</v>
      </c>
      <c r="H95" s="1">
        <v>2</v>
      </c>
    </row>
    <row r="96" spans="1:8" x14ac:dyDescent="0.15">
      <c r="A96" s="4">
        <v>104.7174</v>
      </c>
      <c r="B96" s="4">
        <v>28</v>
      </c>
      <c r="C96" s="5">
        <v>3.267863E-2</v>
      </c>
      <c r="D96" s="4">
        <v>99.494370000000004</v>
      </c>
      <c r="E96" s="6">
        <v>0</v>
      </c>
      <c r="F96" s="4">
        <v>100</v>
      </c>
      <c r="G96" s="4">
        <v>1</v>
      </c>
      <c r="H96" s="1">
        <v>2</v>
      </c>
    </row>
    <row r="97" spans="1:8" x14ac:dyDescent="0.15">
      <c r="A97" s="4">
        <v>104.74794</v>
      </c>
      <c r="B97" s="4">
        <v>28.5</v>
      </c>
      <c r="C97" s="5">
        <v>3.3494469999999998E-2</v>
      </c>
      <c r="D97" s="4">
        <v>99.532669999999996</v>
      </c>
      <c r="E97" s="6">
        <v>0</v>
      </c>
      <c r="F97" s="4">
        <v>100</v>
      </c>
      <c r="G97" s="4">
        <v>1</v>
      </c>
      <c r="H97" s="1">
        <v>2</v>
      </c>
    </row>
    <row r="98" spans="1:8" x14ac:dyDescent="0.15">
      <c r="A98" s="4">
        <v>104.77853</v>
      </c>
      <c r="B98" s="4">
        <v>29</v>
      </c>
      <c r="C98" s="5">
        <v>3.2085290000000002E-2</v>
      </c>
      <c r="D98" s="4">
        <v>99.518619999999999</v>
      </c>
      <c r="E98" s="6">
        <v>0</v>
      </c>
      <c r="F98" s="4">
        <v>100</v>
      </c>
      <c r="G98" s="4">
        <v>1</v>
      </c>
      <c r="H98" s="1">
        <v>2</v>
      </c>
    </row>
    <row r="99" spans="1:8" x14ac:dyDescent="0.15">
      <c r="A99" s="4">
        <v>104.80508</v>
      </c>
      <c r="B99" s="4">
        <v>29.5</v>
      </c>
      <c r="C99" s="5">
        <v>3.1293250000000002E-2</v>
      </c>
      <c r="D99" s="4">
        <v>99.545280000000005</v>
      </c>
      <c r="E99" s="6">
        <v>0</v>
      </c>
      <c r="F99" s="4">
        <v>100</v>
      </c>
      <c r="G99" s="4">
        <v>1</v>
      </c>
      <c r="H99" s="1">
        <v>2</v>
      </c>
    </row>
    <row r="100" spans="1:8" x14ac:dyDescent="0.15">
      <c r="A100" s="4">
        <v>104.82901</v>
      </c>
      <c r="B100" s="4">
        <v>30</v>
      </c>
      <c r="C100" s="5">
        <v>3.1318329999999998E-2</v>
      </c>
      <c r="D100" s="4">
        <v>99.528329999999997</v>
      </c>
      <c r="E100" s="6">
        <v>0</v>
      </c>
      <c r="F100" s="4">
        <v>100</v>
      </c>
      <c r="G100" s="4">
        <v>1</v>
      </c>
      <c r="H100" s="1">
        <v>2</v>
      </c>
    </row>
    <row r="101" spans="1:8" x14ac:dyDescent="0.15">
      <c r="A101" s="4">
        <v>104.84604</v>
      </c>
      <c r="B101" s="4">
        <v>30.5</v>
      </c>
      <c r="C101" s="5">
        <v>3.0225459999999999E-2</v>
      </c>
      <c r="D101" s="4">
        <v>99.548029999999997</v>
      </c>
      <c r="E101" s="6">
        <v>0</v>
      </c>
      <c r="F101" s="4">
        <v>100</v>
      </c>
      <c r="G101" s="4">
        <v>1</v>
      </c>
      <c r="H101" s="1">
        <v>2</v>
      </c>
    </row>
    <row r="102" spans="1:8" x14ac:dyDescent="0.15">
      <c r="A102" s="4">
        <v>104.85965</v>
      </c>
      <c r="B102" s="4">
        <v>31</v>
      </c>
      <c r="C102" s="5">
        <v>2.9629659999999999E-2</v>
      </c>
      <c r="D102" s="4">
        <v>99.499049999999997</v>
      </c>
      <c r="E102" s="6">
        <v>0</v>
      </c>
      <c r="F102" s="4">
        <v>100</v>
      </c>
      <c r="G102" s="4">
        <v>1</v>
      </c>
      <c r="H102" s="1">
        <v>2</v>
      </c>
    </row>
    <row r="103" spans="1:8" x14ac:dyDescent="0.15">
      <c r="A103" s="4">
        <v>104.87397</v>
      </c>
      <c r="B103" s="4">
        <v>31.5</v>
      </c>
      <c r="C103" s="5">
        <v>3.0199360000000001E-2</v>
      </c>
      <c r="D103" s="4">
        <v>99.665199999999999</v>
      </c>
      <c r="E103" s="6">
        <v>0</v>
      </c>
      <c r="F103" s="4">
        <v>100</v>
      </c>
      <c r="G103" s="4">
        <v>1</v>
      </c>
      <c r="H103" s="13">
        <v>3</v>
      </c>
    </row>
    <row r="104" spans="1:8" x14ac:dyDescent="0.15">
      <c r="A104" s="4">
        <v>104.98227</v>
      </c>
      <c r="B104" s="4">
        <v>32</v>
      </c>
      <c r="C104" s="5">
        <v>5.7595510000000003E-2</v>
      </c>
      <c r="D104" s="4">
        <v>99.548599999999993</v>
      </c>
      <c r="E104" s="6">
        <v>0</v>
      </c>
      <c r="F104" s="4">
        <v>100</v>
      </c>
      <c r="G104" s="4">
        <v>1</v>
      </c>
      <c r="H104" s="1">
        <v>3</v>
      </c>
    </row>
    <row r="105" spans="1:8" x14ac:dyDescent="0.15">
      <c r="A105" s="4">
        <v>105.36469</v>
      </c>
      <c r="B105" s="4">
        <v>32.5</v>
      </c>
      <c r="C105" s="4">
        <v>0.10946</v>
      </c>
      <c r="D105" s="4">
        <v>99.489189999999994</v>
      </c>
      <c r="E105" s="6">
        <v>0</v>
      </c>
      <c r="F105" s="4">
        <v>100</v>
      </c>
      <c r="G105" s="4">
        <v>1</v>
      </c>
      <c r="H105" s="1">
        <v>3</v>
      </c>
    </row>
    <row r="106" spans="1:8" x14ac:dyDescent="0.15">
      <c r="A106" s="4">
        <v>106.1455</v>
      </c>
      <c r="B106" s="4">
        <v>33</v>
      </c>
      <c r="C106" s="4">
        <v>0.17743</v>
      </c>
      <c r="D106" s="4">
        <v>99.606009999999998</v>
      </c>
      <c r="E106" s="6">
        <v>0</v>
      </c>
      <c r="F106" s="4">
        <v>100</v>
      </c>
      <c r="G106" s="4">
        <v>1</v>
      </c>
      <c r="H106" s="1">
        <v>3</v>
      </c>
    </row>
    <row r="107" spans="1:8" x14ac:dyDescent="0.15">
      <c r="A107" s="4">
        <v>107.4066</v>
      </c>
      <c r="B107" s="4">
        <v>33.5</v>
      </c>
      <c r="C107" s="4">
        <v>0.24839</v>
      </c>
      <c r="D107" s="4">
        <v>99.401269999999997</v>
      </c>
      <c r="E107" s="6">
        <v>0</v>
      </c>
      <c r="F107" s="4">
        <v>100</v>
      </c>
      <c r="G107" s="4">
        <v>1</v>
      </c>
      <c r="H107" s="1">
        <v>3</v>
      </c>
    </row>
    <row r="108" spans="1:8" x14ac:dyDescent="0.15">
      <c r="A108" s="4">
        <v>109.1181</v>
      </c>
      <c r="B108" s="4">
        <v>34</v>
      </c>
      <c r="C108" s="4">
        <v>0.31722</v>
      </c>
      <c r="D108" s="4">
        <v>99.594059999999999</v>
      </c>
      <c r="E108" s="6">
        <v>0</v>
      </c>
      <c r="F108" s="4">
        <v>100</v>
      </c>
      <c r="G108" s="4">
        <v>1</v>
      </c>
      <c r="H108" s="1">
        <v>3</v>
      </c>
    </row>
    <row r="109" spans="1:8" x14ac:dyDescent="0.15">
      <c r="A109" s="4">
        <v>111.20704000000001</v>
      </c>
      <c r="B109" s="4">
        <v>34.5</v>
      </c>
      <c r="C109" s="4">
        <v>0.35988999999999999</v>
      </c>
      <c r="D109" s="4">
        <v>99.531469999999999</v>
      </c>
      <c r="E109" s="6">
        <v>0</v>
      </c>
      <c r="F109" s="4">
        <v>100</v>
      </c>
      <c r="G109" s="4">
        <v>1</v>
      </c>
      <c r="H109" s="1">
        <v>3</v>
      </c>
    </row>
    <row r="110" spans="1:8" x14ac:dyDescent="0.15">
      <c r="A110" s="4">
        <v>113.55463</v>
      </c>
      <c r="B110" s="4">
        <v>35</v>
      </c>
      <c r="C110" s="4">
        <v>0.38968999999999998</v>
      </c>
      <c r="D110" s="4">
        <v>99.474130000000002</v>
      </c>
      <c r="E110" s="6">
        <v>0</v>
      </c>
      <c r="F110" s="4">
        <v>100</v>
      </c>
      <c r="G110" s="4">
        <v>1</v>
      </c>
      <c r="H110" s="1">
        <v>3</v>
      </c>
    </row>
    <row r="111" spans="1:8" x14ac:dyDescent="0.15">
      <c r="A111" s="4">
        <v>116.09004</v>
      </c>
      <c r="B111" s="4">
        <v>35.5</v>
      </c>
      <c r="C111" s="4">
        <v>0.41282000000000002</v>
      </c>
      <c r="D111" s="4">
        <v>99.532340000000005</v>
      </c>
      <c r="E111" s="6">
        <v>0</v>
      </c>
      <c r="F111" s="4">
        <v>100</v>
      </c>
      <c r="G111" s="4">
        <v>1</v>
      </c>
      <c r="H111" s="1">
        <v>3</v>
      </c>
    </row>
    <row r="112" spans="1:8" x14ac:dyDescent="0.15">
      <c r="A112" s="4">
        <v>118.74473999999999</v>
      </c>
      <c r="B112" s="4">
        <v>36</v>
      </c>
      <c r="C112" s="4">
        <v>0.43663999999999997</v>
      </c>
      <c r="D112" s="4">
        <v>99.521420000000006</v>
      </c>
      <c r="E112" s="6">
        <v>0</v>
      </c>
      <c r="F112" s="4">
        <v>100</v>
      </c>
      <c r="G112" s="4">
        <v>1</v>
      </c>
      <c r="H112" s="1">
        <v>3</v>
      </c>
    </row>
    <row r="113" spans="1:8" x14ac:dyDescent="0.15">
      <c r="A113" s="4">
        <v>121.50163000000001</v>
      </c>
      <c r="B113" s="4">
        <v>36.5</v>
      </c>
      <c r="C113" s="4">
        <v>0.45943000000000001</v>
      </c>
      <c r="D113" s="4">
        <v>99.629859999999994</v>
      </c>
      <c r="E113" s="6">
        <v>0</v>
      </c>
      <c r="F113" s="4">
        <v>100</v>
      </c>
      <c r="G113" s="4">
        <v>1</v>
      </c>
      <c r="H113" s="1">
        <v>3</v>
      </c>
    </row>
    <row r="114" spans="1:8" x14ac:dyDescent="0.15">
      <c r="A114" s="4">
        <v>124.39266000000001</v>
      </c>
      <c r="B114" s="4">
        <v>37</v>
      </c>
      <c r="C114" s="4">
        <v>0.50831999999999999</v>
      </c>
      <c r="D114" s="4">
        <v>99.530760000000001</v>
      </c>
      <c r="E114" s="6">
        <v>0</v>
      </c>
      <c r="F114" s="4">
        <v>100</v>
      </c>
      <c r="G114" s="4">
        <v>1</v>
      </c>
      <c r="H114" s="1">
        <v>3</v>
      </c>
    </row>
    <row r="115" spans="1:8" x14ac:dyDescent="0.15">
      <c r="A115" s="4">
        <v>127.43886000000001</v>
      </c>
      <c r="B115" s="4">
        <v>37.5</v>
      </c>
      <c r="C115" s="4">
        <v>0.56010000000000004</v>
      </c>
      <c r="D115" s="4">
        <v>99.621690000000001</v>
      </c>
      <c r="E115" s="6">
        <v>0</v>
      </c>
      <c r="F115" s="4">
        <v>100</v>
      </c>
      <c r="G115" s="4">
        <v>1</v>
      </c>
      <c r="H115" s="1">
        <v>3</v>
      </c>
    </row>
    <row r="116" spans="1:8" x14ac:dyDescent="0.15">
      <c r="A116" s="4">
        <v>130.60420999999999</v>
      </c>
      <c r="B116" s="4">
        <v>38</v>
      </c>
      <c r="C116" s="4">
        <v>0.5887</v>
      </c>
      <c r="D116" s="4">
        <v>99.512929999999997</v>
      </c>
      <c r="E116" s="6">
        <v>0</v>
      </c>
      <c r="F116" s="4">
        <v>100</v>
      </c>
      <c r="G116" s="4">
        <v>1</v>
      </c>
      <c r="H116" s="1">
        <v>3</v>
      </c>
    </row>
    <row r="117" spans="1:8" x14ac:dyDescent="0.15">
      <c r="A117" s="4">
        <v>133.80991</v>
      </c>
      <c r="B117" s="4">
        <v>38.5</v>
      </c>
      <c r="C117" s="4">
        <v>0.59994999999999998</v>
      </c>
      <c r="D117" s="4">
        <v>99.584140000000005</v>
      </c>
      <c r="E117" s="6">
        <v>0</v>
      </c>
      <c r="F117" s="4">
        <v>100</v>
      </c>
      <c r="G117" s="4">
        <v>1</v>
      </c>
      <c r="H117" s="1">
        <v>3</v>
      </c>
    </row>
    <row r="118" spans="1:8" x14ac:dyDescent="0.15">
      <c r="A118" s="4">
        <v>136.97778</v>
      </c>
      <c r="B118" s="4">
        <v>39</v>
      </c>
      <c r="C118" s="4">
        <v>0.60228999999999999</v>
      </c>
      <c r="D118" s="4">
        <v>99.488190000000003</v>
      </c>
      <c r="E118" s="6">
        <v>0</v>
      </c>
      <c r="F118" s="4">
        <v>100</v>
      </c>
      <c r="G118" s="4">
        <v>1</v>
      </c>
      <c r="H118" s="1">
        <v>3</v>
      </c>
    </row>
    <row r="119" spans="1:8" x14ac:dyDescent="0.15">
      <c r="A119" s="4">
        <v>140.09766999999999</v>
      </c>
      <c r="B119" s="4">
        <v>39.5</v>
      </c>
      <c r="C119" s="4">
        <v>0.61341000000000001</v>
      </c>
      <c r="D119" s="4">
        <v>99.567920000000001</v>
      </c>
      <c r="E119" s="6">
        <v>0</v>
      </c>
      <c r="F119" s="4">
        <v>100</v>
      </c>
      <c r="G119" s="4">
        <v>1</v>
      </c>
      <c r="H119" s="1">
        <v>3</v>
      </c>
    </row>
    <row r="120" spans="1:8" x14ac:dyDescent="0.15">
      <c r="A120" s="4">
        <v>143.17149000000001</v>
      </c>
      <c r="B120" s="4">
        <v>40</v>
      </c>
      <c r="C120" s="4">
        <v>0.62627999999999995</v>
      </c>
      <c r="D120" s="4">
        <v>99.504729999999995</v>
      </c>
      <c r="E120" s="6">
        <v>0</v>
      </c>
      <c r="F120" s="4">
        <v>100</v>
      </c>
      <c r="G120" s="4">
        <v>1</v>
      </c>
      <c r="H120" s="1">
        <v>3</v>
      </c>
    </row>
    <row r="121" spans="1:8" x14ac:dyDescent="0.15">
      <c r="A121" s="4">
        <v>146.19922</v>
      </c>
      <c r="B121" s="4">
        <v>40.5</v>
      </c>
      <c r="C121" s="4">
        <v>0.64102000000000003</v>
      </c>
      <c r="D121" s="4">
        <v>99.394279999999995</v>
      </c>
      <c r="E121" s="6">
        <v>0</v>
      </c>
      <c r="F121" s="4">
        <v>100</v>
      </c>
      <c r="G121" s="4">
        <v>1</v>
      </c>
      <c r="H121" s="1">
        <v>3</v>
      </c>
    </row>
    <row r="122" spans="1:8" x14ac:dyDescent="0.15">
      <c r="A122" s="4">
        <v>149.18599</v>
      </c>
      <c r="B122" s="4">
        <v>41</v>
      </c>
      <c r="C122" s="4">
        <v>0.65803999999999996</v>
      </c>
      <c r="D122" s="4">
        <v>99.428929999999994</v>
      </c>
      <c r="E122" s="6">
        <v>0</v>
      </c>
      <c r="F122" s="4">
        <v>100</v>
      </c>
      <c r="G122" s="4">
        <v>1</v>
      </c>
      <c r="H122" s="1">
        <v>3</v>
      </c>
    </row>
    <row r="123" spans="1:8" x14ac:dyDescent="0.15">
      <c r="A123" s="4">
        <v>152.13853</v>
      </c>
      <c r="B123" s="4">
        <v>41.5</v>
      </c>
      <c r="C123" s="4">
        <v>0.67689999999999995</v>
      </c>
      <c r="D123" s="4">
        <v>99.312790000000007</v>
      </c>
      <c r="E123" s="6">
        <v>0</v>
      </c>
      <c r="F123" s="4">
        <v>100</v>
      </c>
      <c r="G123" s="4">
        <v>1</v>
      </c>
      <c r="H123" s="1">
        <v>3</v>
      </c>
    </row>
    <row r="124" spans="1:8" x14ac:dyDescent="0.15">
      <c r="A124" s="4">
        <v>155.05627999999999</v>
      </c>
      <c r="B124" s="4">
        <v>42</v>
      </c>
      <c r="C124" s="4">
        <v>0.69411</v>
      </c>
      <c r="D124" s="4">
        <v>99.448980000000006</v>
      </c>
      <c r="E124" s="6">
        <v>0</v>
      </c>
      <c r="F124" s="4">
        <v>100</v>
      </c>
      <c r="G124" s="4">
        <v>1</v>
      </c>
      <c r="H124" s="1">
        <v>3</v>
      </c>
    </row>
    <row r="125" spans="1:8" x14ac:dyDescent="0.15">
      <c r="A125" s="4">
        <v>157.93432000000001</v>
      </c>
      <c r="B125" s="4">
        <v>42.5</v>
      </c>
      <c r="C125" s="4">
        <v>0.70730999999999999</v>
      </c>
      <c r="D125" s="4">
        <v>99.153949999999995</v>
      </c>
      <c r="E125" s="6">
        <v>0</v>
      </c>
      <c r="F125" s="4">
        <v>100</v>
      </c>
      <c r="G125" s="4">
        <v>1</v>
      </c>
      <c r="H125" s="1">
        <v>3</v>
      </c>
    </row>
    <row r="126" spans="1:8" x14ac:dyDescent="0.15">
      <c r="A126" s="4">
        <v>160.77377000000001</v>
      </c>
      <c r="B126" s="4">
        <v>43</v>
      </c>
      <c r="C126" s="4">
        <v>0.72114999999999996</v>
      </c>
      <c r="D126" s="4">
        <v>99.260080000000002</v>
      </c>
      <c r="E126" s="5">
        <v>0</v>
      </c>
      <c r="F126" s="4">
        <v>100</v>
      </c>
      <c r="G126" s="4">
        <v>1</v>
      </c>
      <c r="H126" s="1">
        <v>3</v>
      </c>
    </row>
    <row r="127" spans="1:8" x14ac:dyDescent="0.15">
      <c r="A127" s="4">
        <v>163.56755999999999</v>
      </c>
      <c r="B127" s="4">
        <v>43.5</v>
      </c>
      <c r="C127" s="4">
        <v>0.73221000000000003</v>
      </c>
      <c r="D127" s="4">
        <v>99.277919999999995</v>
      </c>
      <c r="E127" s="5">
        <v>6.6028119999999999E-296</v>
      </c>
      <c r="F127" s="4">
        <v>100</v>
      </c>
      <c r="G127" s="4">
        <v>1</v>
      </c>
      <c r="H127" s="1">
        <v>3</v>
      </c>
    </row>
    <row r="128" spans="1:8" x14ac:dyDescent="0.15">
      <c r="A128" s="4">
        <v>166.31934999999999</v>
      </c>
      <c r="B128" s="4">
        <v>44</v>
      </c>
      <c r="C128" s="4">
        <v>0.74538000000000004</v>
      </c>
      <c r="D128" s="4">
        <v>99.226990000000001</v>
      </c>
      <c r="E128" s="5">
        <v>1.3333069999999999E-274</v>
      </c>
      <c r="F128" s="4">
        <v>100</v>
      </c>
      <c r="G128" s="4">
        <v>1</v>
      </c>
      <c r="H128" s="1">
        <v>3</v>
      </c>
    </row>
    <row r="129" spans="1:8" x14ac:dyDescent="0.15">
      <c r="A129" s="4">
        <v>169.03728000000001</v>
      </c>
      <c r="B129" s="4">
        <v>44.5</v>
      </c>
      <c r="C129" s="4">
        <v>0.76193</v>
      </c>
      <c r="D129" s="4">
        <v>99.191239999999993</v>
      </c>
      <c r="E129" s="5">
        <v>-5.1975060000000002E-253</v>
      </c>
      <c r="F129" s="4">
        <v>100</v>
      </c>
      <c r="G129" s="4">
        <v>1</v>
      </c>
      <c r="H129" s="1">
        <v>3</v>
      </c>
    </row>
    <row r="130" spans="1:8" x14ac:dyDescent="0.15">
      <c r="A130" s="4">
        <v>171.72389000000001</v>
      </c>
      <c r="B130" s="4">
        <v>45</v>
      </c>
      <c r="C130" s="4">
        <v>0.77788999999999997</v>
      </c>
      <c r="D130" s="4">
        <v>99.171980000000005</v>
      </c>
      <c r="E130" s="5">
        <v>-1.049533E-231</v>
      </c>
      <c r="F130" s="4">
        <v>100</v>
      </c>
      <c r="G130" s="4">
        <v>1</v>
      </c>
      <c r="H130" s="1">
        <v>3</v>
      </c>
    </row>
    <row r="131" spans="1:8" x14ac:dyDescent="0.15">
      <c r="A131" s="4">
        <v>174.38267999999999</v>
      </c>
      <c r="B131" s="4">
        <v>45.5</v>
      </c>
      <c r="C131" s="4">
        <v>0.79693999999999998</v>
      </c>
      <c r="D131" s="4">
        <v>99.065830000000005</v>
      </c>
      <c r="E131" s="5">
        <v>4.0912979999999997E-210</v>
      </c>
      <c r="F131" s="4">
        <v>100</v>
      </c>
      <c r="G131" s="4">
        <v>1</v>
      </c>
      <c r="H131" s="1">
        <v>3</v>
      </c>
    </row>
    <row r="132" spans="1:8" x14ac:dyDescent="0.15">
      <c r="A132" s="4">
        <v>177.04486</v>
      </c>
      <c r="B132" s="4">
        <v>46</v>
      </c>
      <c r="C132" s="4">
        <v>0.82198000000000004</v>
      </c>
      <c r="D132" s="4">
        <v>99.119500000000002</v>
      </c>
      <c r="E132" s="5">
        <v>8.2615650000000002E-189</v>
      </c>
      <c r="F132" s="4">
        <v>100</v>
      </c>
      <c r="G132" s="4">
        <v>1</v>
      </c>
      <c r="H132" s="1">
        <v>3</v>
      </c>
    </row>
    <row r="133" spans="1:8" x14ac:dyDescent="0.15">
      <c r="A133" s="4">
        <v>179.69649999999999</v>
      </c>
      <c r="B133" s="4">
        <v>46.5</v>
      </c>
      <c r="C133" s="4">
        <v>0.84175999999999995</v>
      </c>
      <c r="D133" s="4">
        <v>99.261499999999998</v>
      </c>
      <c r="E133" s="5">
        <v>-3.2205280000000002E-167</v>
      </c>
      <c r="F133" s="4">
        <v>100</v>
      </c>
      <c r="G133" s="4">
        <v>1</v>
      </c>
      <c r="H133" s="1">
        <v>3</v>
      </c>
    </row>
    <row r="134" spans="1:8" x14ac:dyDescent="0.15">
      <c r="A134" s="4">
        <v>182.33308</v>
      </c>
      <c r="B134" s="4">
        <v>47</v>
      </c>
      <c r="C134" s="4">
        <v>0.85670999999999997</v>
      </c>
      <c r="D134" s="4">
        <v>99.056470000000004</v>
      </c>
      <c r="E134" s="5">
        <v>-6.5032199999999996E-146</v>
      </c>
      <c r="F134" s="4">
        <v>100</v>
      </c>
      <c r="G134" s="4">
        <v>1</v>
      </c>
      <c r="H134" s="1">
        <v>3</v>
      </c>
    </row>
    <row r="135" spans="1:8" x14ac:dyDescent="0.15">
      <c r="A135" s="4">
        <v>184.93888999999999</v>
      </c>
      <c r="B135" s="4">
        <v>47.5</v>
      </c>
      <c r="C135" s="4">
        <v>0.86212</v>
      </c>
      <c r="D135" s="4">
        <v>99.003600000000006</v>
      </c>
      <c r="E135" s="5">
        <v>2.535089E-124</v>
      </c>
      <c r="F135" s="4">
        <v>100</v>
      </c>
      <c r="G135" s="4">
        <v>1</v>
      </c>
      <c r="H135" s="1">
        <v>3</v>
      </c>
    </row>
    <row r="136" spans="1:8" x14ac:dyDescent="0.15">
      <c r="A136" s="4">
        <v>187.49861000000001</v>
      </c>
      <c r="B136" s="4">
        <v>48</v>
      </c>
      <c r="C136" s="4">
        <v>0.87275000000000003</v>
      </c>
      <c r="D136" s="4">
        <v>99.07253</v>
      </c>
      <c r="E136" s="5">
        <v>5.1191100000000005E-103</v>
      </c>
      <c r="F136" s="4">
        <v>100</v>
      </c>
      <c r="G136" s="4">
        <v>1</v>
      </c>
      <c r="H136" s="1">
        <v>3</v>
      </c>
    </row>
    <row r="137" spans="1:8" x14ac:dyDescent="0.15">
      <c r="A137" s="4">
        <v>190.03314</v>
      </c>
      <c r="B137" s="4">
        <v>48.5</v>
      </c>
      <c r="C137" s="4">
        <v>0.88599000000000006</v>
      </c>
      <c r="D137" s="4">
        <v>99.108279999999993</v>
      </c>
      <c r="E137" s="5">
        <v>-1.9955350000000001E-81</v>
      </c>
      <c r="F137" s="4">
        <v>100</v>
      </c>
      <c r="G137" s="4">
        <v>1</v>
      </c>
      <c r="H137" s="1">
        <v>3</v>
      </c>
    </row>
    <row r="138" spans="1:8" x14ac:dyDescent="0.15">
      <c r="A138" s="4">
        <v>192.54796999999999</v>
      </c>
      <c r="B138" s="4">
        <v>49</v>
      </c>
      <c r="C138" s="4">
        <v>0.90922999999999998</v>
      </c>
      <c r="D138" s="4">
        <v>99.077830000000006</v>
      </c>
      <c r="E138" s="5">
        <v>-4.0295870000000002E-60</v>
      </c>
      <c r="F138" s="4">
        <v>100</v>
      </c>
      <c r="G138" s="4">
        <v>1</v>
      </c>
      <c r="H138" s="1">
        <v>3</v>
      </c>
    </row>
    <row r="139" spans="1:8" x14ac:dyDescent="0.15">
      <c r="A139" s="4">
        <v>195.06948</v>
      </c>
      <c r="B139" s="4">
        <v>49.5</v>
      </c>
      <c r="C139" s="4">
        <v>0.93588000000000005</v>
      </c>
      <c r="D139" s="4">
        <v>99.01379</v>
      </c>
      <c r="E139" s="5">
        <v>1.570816E-38</v>
      </c>
      <c r="F139" s="4">
        <v>100</v>
      </c>
      <c r="G139" s="4">
        <v>1</v>
      </c>
      <c r="H139" s="1">
        <v>3</v>
      </c>
    </row>
    <row r="140" spans="1:8" x14ac:dyDescent="0.15">
      <c r="A140" s="4">
        <v>197.60033999999999</v>
      </c>
      <c r="B140" s="4">
        <v>50</v>
      </c>
      <c r="C140" s="4">
        <v>0.95918999999999999</v>
      </c>
      <c r="D140" s="4">
        <v>98.878870000000006</v>
      </c>
      <c r="E140" s="5">
        <v>3.1719520000000001E-17</v>
      </c>
      <c r="F140" s="4">
        <v>100</v>
      </c>
      <c r="G140" s="4">
        <v>1</v>
      </c>
      <c r="H140" s="1">
        <v>3</v>
      </c>
    </row>
    <row r="141" spans="1:8" x14ac:dyDescent="0.15">
      <c r="A141" s="4">
        <v>200.11103</v>
      </c>
      <c r="B141" s="4">
        <v>50.5</v>
      </c>
      <c r="C141" s="4">
        <v>0.97113000000000005</v>
      </c>
      <c r="D141" s="4">
        <v>98.873559999999998</v>
      </c>
      <c r="E141" s="4">
        <v>19.45346</v>
      </c>
      <c r="F141" s="4">
        <v>80.546539999999993</v>
      </c>
      <c r="G141" s="4">
        <v>1</v>
      </c>
      <c r="H141" s="13">
        <v>4</v>
      </c>
    </row>
    <row r="142" spans="1:8" x14ac:dyDescent="0.15">
      <c r="A142" s="4">
        <v>202.31092000000001</v>
      </c>
      <c r="B142" s="4">
        <v>51</v>
      </c>
      <c r="C142" s="4">
        <v>0.98551</v>
      </c>
      <c r="D142" s="4">
        <v>98.940370000000001</v>
      </c>
      <c r="E142" s="4">
        <v>20</v>
      </c>
      <c r="F142" s="4">
        <v>80</v>
      </c>
      <c r="G142" s="4">
        <v>1</v>
      </c>
      <c r="H142" s="1">
        <v>4</v>
      </c>
    </row>
    <row r="143" spans="1:8" x14ac:dyDescent="0.15">
      <c r="A143" s="4">
        <v>204.03914</v>
      </c>
      <c r="B143" s="4">
        <v>51.5</v>
      </c>
      <c r="C143" s="4">
        <v>1.4032899999999999</v>
      </c>
      <c r="D143" s="4">
        <v>99.043530000000004</v>
      </c>
      <c r="E143" s="4">
        <v>20</v>
      </c>
      <c r="F143" s="4">
        <v>80</v>
      </c>
      <c r="G143" s="4">
        <v>1</v>
      </c>
      <c r="H143" s="1">
        <v>4</v>
      </c>
    </row>
    <row r="144" spans="1:8" x14ac:dyDescent="0.15">
      <c r="A144" s="4">
        <v>205.16368</v>
      </c>
      <c r="B144" s="4">
        <v>52</v>
      </c>
      <c r="C144" s="4">
        <v>1.2282599999999999</v>
      </c>
      <c r="D144" s="4">
        <v>99.101200000000006</v>
      </c>
      <c r="E144" s="4">
        <v>20</v>
      </c>
      <c r="F144" s="4">
        <v>80</v>
      </c>
      <c r="G144" s="4">
        <v>1</v>
      </c>
      <c r="H144" s="1">
        <v>4</v>
      </c>
    </row>
    <row r="145" spans="1:8" x14ac:dyDescent="0.15">
      <c r="A145" s="4">
        <v>205.76915</v>
      </c>
      <c r="B145" s="4">
        <v>52.5</v>
      </c>
      <c r="C145" s="4">
        <v>0.99638000000000004</v>
      </c>
      <c r="D145" s="4">
        <v>99.165700000000001</v>
      </c>
      <c r="E145" s="4">
        <v>20</v>
      </c>
      <c r="F145" s="4">
        <v>80</v>
      </c>
      <c r="G145" s="4">
        <v>1</v>
      </c>
      <c r="H145" s="1">
        <v>4</v>
      </c>
    </row>
    <row r="146" spans="1:8" x14ac:dyDescent="0.15">
      <c r="A146" s="4">
        <v>206.02691999999999</v>
      </c>
      <c r="B146" s="4">
        <v>53</v>
      </c>
      <c r="C146" s="4">
        <v>0.84872999999999998</v>
      </c>
      <c r="D146" s="4">
        <v>99.207440000000005</v>
      </c>
      <c r="E146" s="4">
        <v>20</v>
      </c>
      <c r="F146" s="4">
        <v>80</v>
      </c>
      <c r="G146" s="4">
        <v>1</v>
      </c>
      <c r="H146" s="1">
        <v>4</v>
      </c>
    </row>
    <row r="147" spans="1:8" x14ac:dyDescent="0.15">
      <c r="A147" s="4">
        <v>206.08526000000001</v>
      </c>
      <c r="B147" s="4">
        <v>53.5</v>
      </c>
      <c r="C147" s="4">
        <v>0.76404000000000005</v>
      </c>
      <c r="D147" s="4">
        <v>99.292959999999994</v>
      </c>
      <c r="E147" s="4">
        <v>20</v>
      </c>
      <c r="F147" s="4">
        <v>80</v>
      </c>
      <c r="G147" s="4">
        <v>1</v>
      </c>
      <c r="H147" s="14">
        <v>4</v>
      </c>
    </row>
    <row r="148" spans="1:8" x14ac:dyDescent="0.15">
      <c r="A148" s="4">
        <v>206.03245999999999</v>
      </c>
      <c r="B148" s="4">
        <v>54</v>
      </c>
      <c r="C148" s="4">
        <v>0.71011000000000002</v>
      </c>
      <c r="D148" s="4">
        <v>99.256929999999997</v>
      </c>
      <c r="E148" s="4">
        <v>20</v>
      </c>
      <c r="F148" s="4">
        <v>80</v>
      </c>
      <c r="G148" s="4">
        <v>1</v>
      </c>
      <c r="H148" s="1">
        <v>4</v>
      </c>
    </row>
    <row r="149" spans="1:8" x14ac:dyDescent="0.15">
      <c r="A149" s="4">
        <v>205.90749</v>
      </c>
      <c r="B149" s="4">
        <v>54.5</v>
      </c>
      <c r="C149" s="4">
        <v>0.66235999999999995</v>
      </c>
      <c r="D149" s="4">
        <v>99.285420000000002</v>
      </c>
      <c r="E149" s="4">
        <v>20</v>
      </c>
      <c r="F149" s="4">
        <v>80</v>
      </c>
      <c r="G149" s="4">
        <v>1</v>
      </c>
      <c r="H149" s="1">
        <v>4</v>
      </c>
    </row>
    <row r="150" spans="1:8" x14ac:dyDescent="0.15">
      <c r="A150" s="4">
        <v>205.72273000000001</v>
      </c>
      <c r="B150" s="4">
        <v>55</v>
      </c>
      <c r="C150" s="4">
        <v>0.61616000000000004</v>
      </c>
      <c r="D150" s="4">
        <v>99.211240000000004</v>
      </c>
      <c r="E150" s="4">
        <v>20</v>
      </c>
      <c r="F150" s="4">
        <v>80</v>
      </c>
      <c r="G150" s="4">
        <v>1</v>
      </c>
      <c r="H150" s="1">
        <v>4</v>
      </c>
    </row>
    <row r="151" spans="1:8" x14ac:dyDescent="0.15">
      <c r="A151" s="4">
        <v>205.48319000000001</v>
      </c>
      <c r="B151" s="4">
        <v>55.5</v>
      </c>
      <c r="C151" s="4">
        <v>0.57442000000000004</v>
      </c>
      <c r="D151" s="4">
        <v>99.246899999999997</v>
      </c>
      <c r="E151" s="4">
        <v>20</v>
      </c>
      <c r="F151" s="4">
        <v>80</v>
      </c>
      <c r="G151" s="4">
        <v>1</v>
      </c>
      <c r="H151" s="1">
        <v>4</v>
      </c>
    </row>
    <row r="152" spans="1:8" x14ac:dyDescent="0.15">
      <c r="A152" s="4">
        <v>205.18277</v>
      </c>
      <c r="B152" s="4">
        <v>56</v>
      </c>
      <c r="C152" s="4">
        <v>0.53324000000000005</v>
      </c>
      <c r="D152" s="4">
        <v>99.179010000000005</v>
      </c>
      <c r="E152" s="4">
        <v>20</v>
      </c>
      <c r="F152" s="4">
        <v>80</v>
      </c>
      <c r="G152" s="4">
        <v>1</v>
      </c>
      <c r="H152" s="1">
        <v>4</v>
      </c>
    </row>
    <row r="153" spans="1:8" x14ac:dyDescent="0.15">
      <c r="A153" s="4">
        <v>204.8312</v>
      </c>
      <c r="B153" s="4">
        <v>56.5</v>
      </c>
      <c r="C153" s="4">
        <v>0.49880999999999998</v>
      </c>
      <c r="D153" s="4">
        <v>99.221379999999996</v>
      </c>
      <c r="E153" s="4">
        <v>20</v>
      </c>
      <c r="F153" s="4">
        <v>80</v>
      </c>
      <c r="G153" s="4">
        <v>1</v>
      </c>
      <c r="H153" s="1">
        <v>4</v>
      </c>
    </row>
    <row r="154" spans="1:8" x14ac:dyDescent="0.15">
      <c r="A154" s="4">
        <v>204.44404</v>
      </c>
      <c r="B154" s="4">
        <v>57</v>
      </c>
      <c r="C154" s="4">
        <v>0.47133000000000003</v>
      </c>
      <c r="D154" s="4">
        <v>99.278469999999999</v>
      </c>
      <c r="E154" s="4">
        <v>20</v>
      </c>
      <c r="F154" s="4">
        <v>80</v>
      </c>
      <c r="G154" s="4">
        <v>1</v>
      </c>
      <c r="H154" s="1">
        <v>4</v>
      </c>
    </row>
    <row r="155" spans="1:8" x14ac:dyDescent="0.15">
      <c r="A155" s="4">
        <v>204.04245</v>
      </c>
      <c r="B155" s="4">
        <v>57.5</v>
      </c>
      <c r="C155" s="4">
        <v>0.45304</v>
      </c>
      <c r="D155" s="4">
        <v>99.30095</v>
      </c>
      <c r="E155" s="4">
        <v>20</v>
      </c>
      <c r="F155" s="4">
        <v>80</v>
      </c>
      <c r="G155" s="4">
        <v>1</v>
      </c>
      <c r="H155" s="1">
        <v>4</v>
      </c>
    </row>
    <row r="156" spans="1:8" x14ac:dyDescent="0.15">
      <c r="A156" s="4">
        <v>203.64420000000001</v>
      </c>
      <c r="B156" s="4">
        <v>58</v>
      </c>
      <c r="C156" s="4">
        <v>0.44026999999999999</v>
      </c>
      <c r="D156" s="4">
        <v>99.320269999999994</v>
      </c>
      <c r="E156" s="4">
        <v>20</v>
      </c>
      <c r="F156" s="4">
        <v>80</v>
      </c>
      <c r="G156" s="4">
        <v>1</v>
      </c>
      <c r="H156" s="1">
        <v>4</v>
      </c>
    </row>
    <row r="157" spans="1:8" x14ac:dyDescent="0.15">
      <c r="A157" s="4">
        <v>203.27386000000001</v>
      </c>
      <c r="B157" s="4">
        <v>58.5</v>
      </c>
      <c r="C157" s="4">
        <v>0.43912000000000001</v>
      </c>
      <c r="D157" s="4">
        <v>99.373320000000007</v>
      </c>
      <c r="E157" s="4">
        <v>20</v>
      </c>
      <c r="F157" s="4">
        <v>80</v>
      </c>
      <c r="G157" s="4">
        <v>1</v>
      </c>
      <c r="H157" s="1">
        <v>4</v>
      </c>
    </row>
    <row r="158" spans="1:8" x14ac:dyDescent="0.15">
      <c r="A158" s="4">
        <v>202.93733</v>
      </c>
      <c r="B158" s="4">
        <v>59</v>
      </c>
      <c r="C158" s="4">
        <v>0.43658000000000002</v>
      </c>
      <c r="D158" s="4">
        <v>99.367339999999999</v>
      </c>
      <c r="E158" s="4">
        <v>20</v>
      </c>
      <c r="F158" s="4">
        <v>80</v>
      </c>
      <c r="G158" s="4">
        <v>1</v>
      </c>
      <c r="H158" s="1">
        <v>4</v>
      </c>
    </row>
    <row r="159" spans="1:8" x14ac:dyDescent="0.15">
      <c r="A159" s="4">
        <v>202.62302</v>
      </c>
      <c r="B159" s="4">
        <v>59.5</v>
      </c>
      <c r="C159" s="4">
        <v>0.42507</v>
      </c>
      <c r="D159" s="4">
        <v>99.299300000000002</v>
      </c>
      <c r="E159" s="4">
        <v>20</v>
      </c>
      <c r="F159" s="4">
        <v>80</v>
      </c>
      <c r="G159" s="4">
        <v>1</v>
      </c>
      <c r="H159" s="1">
        <v>4</v>
      </c>
    </row>
    <row r="160" spans="1:8" x14ac:dyDescent="0.15">
      <c r="A160" s="4">
        <v>202.31540000000001</v>
      </c>
      <c r="B160" s="4">
        <v>60</v>
      </c>
      <c r="C160" s="4">
        <v>0.41027999999999998</v>
      </c>
      <c r="D160" s="4">
        <v>99.348929999999996</v>
      </c>
      <c r="E160" s="4">
        <v>20</v>
      </c>
      <c r="F160" s="4">
        <v>80</v>
      </c>
      <c r="G160" s="4">
        <v>1</v>
      </c>
      <c r="H160" s="1">
        <v>4</v>
      </c>
    </row>
    <row r="161" spans="1:10" x14ac:dyDescent="0.15">
      <c r="A161" s="4">
        <v>202.00353999999999</v>
      </c>
      <c r="B161" s="4">
        <v>60.5</v>
      </c>
      <c r="C161" s="4">
        <v>0.39828999999999998</v>
      </c>
      <c r="D161" s="4">
        <v>99.337310000000002</v>
      </c>
      <c r="E161" s="4">
        <v>20</v>
      </c>
      <c r="F161" s="4">
        <v>80</v>
      </c>
      <c r="G161" s="4">
        <v>1</v>
      </c>
      <c r="H161" s="1">
        <v>4</v>
      </c>
    </row>
    <row r="162" spans="1:10" x14ac:dyDescent="0.15">
      <c r="A162" s="4">
        <v>201.69973999999999</v>
      </c>
      <c r="B162" s="4">
        <v>61</v>
      </c>
      <c r="C162" s="4">
        <v>0.39290000000000003</v>
      </c>
      <c r="D162" s="4">
        <v>99.421509999999998</v>
      </c>
      <c r="E162" s="4">
        <v>20</v>
      </c>
      <c r="F162" s="4">
        <v>80</v>
      </c>
      <c r="G162" s="4">
        <v>1</v>
      </c>
      <c r="H162" s="1">
        <v>4</v>
      </c>
    </row>
    <row r="163" spans="1:10" x14ac:dyDescent="0.15">
      <c r="A163" s="4">
        <v>201.42119</v>
      </c>
      <c r="B163" s="4">
        <v>61.5</v>
      </c>
      <c r="C163" s="4">
        <v>0.39356999999999998</v>
      </c>
      <c r="D163" s="4">
        <v>99.443849999999998</v>
      </c>
      <c r="E163" s="4">
        <v>20</v>
      </c>
      <c r="F163" s="4">
        <v>80</v>
      </c>
      <c r="G163" s="4">
        <v>1</v>
      </c>
      <c r="H163" s="1">
        <v>4</v>
      </c>
    </row>
    <row r="164" spans="1:10" x14ac:dyDescent="0.15">
      <c r="A164" s="4">
        <v>201.18457000000001</v>
      </c>
      <c r="B164" s="4">
        <v>62</v>
      </c>
      <c r="C164" s="4">
        <v>0.40075</v>
      </c>
      <c r="D164" s="4">
        <v>99.485110000000006</v>
      </c>
      <c r="E164" s="4">
        <v>20</v>
      </c>
      <c r="F164" s="4">
        <v>80</v>
      </c>
      <c r="G164" s="4">
        <v>1</v>
      </c>
      <c r="H164" s="1">
        <v>4</v>
      </c>
    </row>
    <row r="165" spans="1:10" x14ac:dyDescent="0.15">
      <c r="A165" s="4">
        <v>200.98356999999999</v>
      </c>
      <c r="B165" s="4">
        <v>62.5</v>
      </c>
      <c r="C165" s="4">
        <v>0.40128999999999998</v>
      </c>
      <c r="D165" s="4">
        <v>99.271209999999996</v>
      </c>
      <c r="E165" s="4">
        <v>20</v>
      </c>
      <c r="F165" s="4">
        <v>80</v>
      </c>
      <c r="G165" s="4">
        <v>1</v>
      </c>
      <c r="H165" s="1">
        <v>4</v>
      </c>
    </row>
    <row r="166" spans="1:10" x14ac:dyDescent="0.15">
      <c r="A166" s="4">
        <v>200.80101999999999</v>
      </c>
      <c r="B166" s="4">
        <v>63</v>
      </c>
      <c r="C166" s="4">
        <v>0.39145000000000002</v>
      </c>
      <c r="D166" s="4">
        <v>99.395870000000002</v>
      </c>
      <c r="E166" s="4">
        <v>20</v>
      </c>
      <c r="F166" s="4">
        <v>80</v>
      </c>
      <c r="G166" s="4">
        <v>1</v>
      </c>
      <c r="H166" s="1">
        <v>4</v>
      </c>
    </row>
    <row r="167" spans="1:10" x14ac:dyDescent="0.15">
      <c r="A167" s="4">
        <v>200.63310999999999</v>
      </c>
      <c r="B167" s="4">
        <v>63.5</v>
      </c>
      <c r="C167" s="4">
        <v>0.38829000000000002</v>
      </c>
      <c r="D167" s="4">
        <v>99.416079999999994</v>
      </c>
      <c r="E167" s="4">
        <v>20</v>
      </c>
      <c r="F167" s="4">
        <v>80</v>
      </c>
      <c r="G167" s="4">
        <v>1</v>
      </c>
      <c r="H167" s="1">
        <v>4</v>
      </c>
    </row>
    <row r="168" spans="1:10" x14ac:dyDescent="0.15">
      <c r="A168" s="4">
        <v>200.49079</v>
      </c>
      <c r="B168" s="4">
        <v>64</v>
      </c>
      <c r="C168" s="4">
        <v>0.39350000000000002</v>
      </c>
      <c r="D168" s="4">
        <v>99.38409</v>
      </c>
      <c r="E168" s="4">
        <v>20</v>
      </c>
      <c r="F168" s="4">
        <v>80</v>
      </c>
      <c r="G168" s="4">
        <v>1</v>
      </c>
      <c r="H168" s="1">
        <v>4</v>
      </c>
    </row>
    <row r="169" spans="1:10" x14ac:dyDescent="0.15">
      <c r="A169" s="4">
        <v>200.37730999999999</v>
      </c>
      <c r="B169" s="4">
        <v>64.5</v>
      </c>
      <c r="C169" s="4">
        <v>0.39661000000000002</v>
      </c>
      <c r="D169" s="4">
        <v>99.375500000000002</v>
      </c>
      <c r="E169" s="4">
        <v>20</v>
      </c>
      <c r="F169" s="4">
        <v>80</v>
      </c>
      <c r="G169" s="4">
        <v>1</v>
      </c>
      <c r="H169" s="1">
        <v>4</v>
      </c>
    </row>
    <row r="170" spans="1:10" x14ac:dyDescent="0.15">
      <c r="A170" s="4">
        <v>200.30010999999999</v>
      </c>
      <c r="B170" s="4">
        <v>65</v>
      </c>
      <c r="C170" s="4">
        <v>0.39795999999999998</v>
      </c>
      <c r="D170" s="4">
        <v>99.478369999999998</v>
      </c>
      <c r="E170" s="4">
        <v>20</v>
      </c>
      <c r="F170" s="4">
        <v>80</v>
      </c>
      <c r="G170" s="4">
        <v>1</v>
      </c>
      <c r="H170" s="1">
        <v>4</v>
      </c>
    </row>
    <row r="171" spans="1:10" x14ac:dyDescent="0.15">
      <c r="A171" s="4">
        <v>200.24753000000001</v>
      </c>
      <c r="B171" s="4">
        <v>65.5</v>
      </c>
      <c r="C171" s="4">
        <v>0.39839000000000002</v>
      </c>
      <c r="D171" s="4">
        <v>99.404790000000006</v>
      </c>
      <c r="E171" s="4">
        <v>20</v>
      </c>
      <c r="F171" s="4">
        <v>80</v>
      </c>
      <c r="G171" s="4">
        <v>1</v>
      </c>
      <c r="H171" s="1">
        <v>4</v>
      </c>
    </row>
    <row r="172" spans="1:10" x14ac:dyDescent="0.15">
      <c r="A172" s="4">
        <v>200.20774</v>
      </c>
      <c r="B172" s="4">
        <v>66</v>
      </c>
      <c r="C172" s="4">
        <v>0.39549000000000001</v>
      </c>
      <c r="D172" s="4">
        <v>99.537229999999994</v>
      </c>
      <c r="E172" s="4">
        <v>20</v>
      </c>
      <c r="F172" s="4">
        <v>80</v>
      </c>
      <c r="G172" s="4">
        <v>1</v>
      </c>
      <c r="H172" s="1">
        <v>4</v>
      </c>
    </row>
    <row r="173" spans="1:10" x14ac:dyDescent="0.15">
      <c r="A173" s="4">
        <v>200.17178000000001</v>
      </c>
      <c r="B173" s="4">
        <v>66.5</v>
      </c>
      <c r="C173" s="4">
        <v>0.39195999999999998</v>
      </c>
      <c r="D173" s="4">
        <v>99.388419999999996</v>
      </c>
      <c r="E173" s="4">
        <v>20</v>
      </c>
      <c r="F173" s="4">
        <v>80</v>
      </c>
      <c r="G173" s="4">
        <v>1</v>
      </c>
      <c r="H173" s="1">
        <v>4</v>
      </c>
    </row>
    <row r="174" spans="1:10" x14ac:dyDescent="0.15">
      <c r="A174" s="4">
        <v>200.14080999999999</v>
      </c>
      <c r="B174" s="4">
        <v>67</v>
      </c>
      <c r="C174" s="4">
        <v>0.38999</v>
      </c>
      <c r="D174" s="4">
        <v>99.483360000000005</v>
      </c>
      <c r="E174" s="4">
        <v>20</v>
      </c>
      <c r="F174" s="4">
        <v>80</v>
      </c>
      <c r="G174" s="4">
        <v>1</v>
      </c>
      <c r="H174" s="1">
        <v>4</v>
      </c>
    </row>
    <row r="175" spans="1:10" x14ac:dyDescent="0.15">
      <c r="A175" s="4">
        <v>200.11722</v>
      </c>
      <c r="B175" s="4">
        <v>67.5</v>
      </c>
      <c r="C175" s="4">
        <v>0.38912999999999998</v>
      </c>
      <c r="D175" s="4">
        <v>99.396680000000003</v>
      </c>
      <c r="E175" s="4">
        <v>20</v>
      </c>
      <c r="F175" s="4">
        <v>80</v>
      </c>
      <c r="G175" s="4">
        <v>1</v>
      </c>
      <c r="H175" s="1">
        <v>4</v>
      </c>
    </row>
    <row r="176" spans="1:10" x14ac:dyDescent="0.15">
      <c r="A176" s="4">
        <v>200.09100000000001</v>
      </c>
      <c r="B176" s="4">
        <v>68</v>
      </c>
      <c r="C176" s="4">
        <v>0.38746999999999998</v>
      </c>
      <c r="D176" s="4">
        <v>99.271640000000005</v>
      </c>
      <c r="E176" s="4">
        <v>20</v>
      </c>
      <c r="F176" s="4">
        <v>80</v>
      </c>
      <c r="G176" s="4">
        <v>1</v>
      </c>
      <c r="H176" s="1">
        <v>4</v>
      </c>
      <c r="I176" s="12"/>
      <c r="J176" s="8" t="s">
        <v>106</v>
      </c>
    </row>
    <row r="177" spans="1:8" x14ac:dyDescent="0.15">
      <c r="A177" s="4">
        <v>200.07266000000001</v>
      </c>
      <c r="B177" s="4">
        <v>68.5</v>
      </c>
      <c r="C177" s="4">
        <v>0.38743</v>
      </c>
      <c r="D177" s="4">
        <v>99.431740000000005</v>
      </c>
      <c r="E177" s="4">
        <v>20</v>
      </c>
      <c r="F177" s="4">
        <v>80</v>
      </c>
      <c r="G177" s="4">
        <v>1</v>
      </c>
      <c r="H177" s="1">
        <v>4</v>
      </c>
    </row>
    <row r="178" spans="1:8" x14ac:dyDescent="0.15">
      <c r="A178" s="4">
        <v>200.06287</v>
      </c>
      <c r="B178" s="4">
        <v>69</v>
      </c>
      <c r="C178" s="4">
        <v>0.38828000000000001</v>
      </c>
      <c r="D178" s="4">
        <v>99.449659999999994</v>
      </c>
      <c r="E178" s="4">
        <v>20</v>
      </c>
      <c r="F178" s="4">
        <v>80</v>
      </c>
      <c r="G178" s="4">
        <v>1</v>
      </c>
      <c r="H178" s="1">
        <v>4</v>
      </c>
    </row>
    <row r="179" spans="1:8" x14ac:dyDescent="0.15">
      <c r="A179" s="4">
        <v>200.04934</v>
      </c>
      <c r="B179" s="4">
        <v>69.5</v>
      </c>
      <c r="C179" s="4">
        <v>0.38499</v>
      </c>
      <c r="D179" s="4">
        <v>99.423739999999995</v>
      </c>
      <c r="E179" s="4">
        <v>20</v>
      </c>
      <c r="F179" s="4">
        <v>80</v>
      </c>
      <c r="G179" s="4">
        <v>1</v>
      </c>
      <c r="H179" s="1">
        <v>4</v>
      </c>
    </row>
    <row r="180" spans="1:8" x14ac:dyDescent="0.15">
      <c r="A180" s="4">
        <v>200.03645</v>
      </c>
      <c r="B180" s="4">
        <v>70</v>
      </c>
      <c r="C180" s="4">
        <v>0.37908999999999998</v>
      </c>
      <c r="D180" s="4">
        <v>99.284270000000006</v>
      </c>
      <c r="E180" s="4">
        <v>20</v>
      </c>
      <c r="F180" s="4">
        <v>80</v>
      </c>
      <c r="G180" s="4">
        <v>1</v>
      </c>
      <c r="H180" s="1">
        <v>4</v>
      </c>
    </row>
    <row r="181" spans="1:8" x14ac:dyDescent="0.15">
      <c r="A181" s="4">
        <v>200.02247</v>
      </c>
      <c r="B181" s="4">
        <v>70.5</v>
      </c>
      <c r="C181" s="4">
        <v>0.37665999999999999</v>
      </c>
      <c r="D181" s="4">
        <v>99.401240000000001</v>
      </c>
      <c r="E181" s="4">
        <v>20</v>
      </c>
      <c r="F181" s="4">
        <v>80</v>
      </c>
      <c r="G181" s="4">
        <v>1</v>
      </c>
      <c r="H181" s="1">
        <v>4</v>
      </c>
    </row>
    <row r="182" spans="1:8" x14ac:dyDescent="0.15">
      <c r="A182" s="4">
        <v>200.00360000000001</v>
      </c>
      <c r="B182" s="4">
        <v>71</v>
      </c>
      <c r="C182" s="4">
        <v>0.37681999999999999</v>
      </c>
      <c r="D182" s="4">
        <v>99.482439999999997</v>
      </c>
      <c r="E182" s="4">
        <v>20</v>
      </c>
      <c r="F182" s="4">
        <v>80</v>
      </c>
      <c r="G182" s="4">
        <v>1</v>
      </c>
      <c r="H182" s="1">
        <v>4</v>
      </c>
    </row>
    <row r="183" spans="1:8" x14ac:dyDescent="0.15">
      <c r="A183" s="4">
        <v>199.97774999999999</v>
      </c>
      <c r="B183" s="4">
        <v>71.5</v>
      </c>
      <c r="C183" s="4">
        <v>0.37084</v>
      </c>
      <c r="D183" s="4">
        <v>99.429040000000001</v>
      </c>
      <c r="E183" s="4">
        <v>20</v>
      </c>
      <c r="F183" s="4">
        <v>80</v>
      </c>
      <c r="G183" s="4">
        <v>1</v>
      </c>
      <c r="H183" s="1">
        <v>4</v>
      </c>
    </row>
    <row r="184" spans="1:8" x14ac:dyDescent="0.15">
      <c r="A184" s="4">
        <v>199.94002</v>
      </c>
      <c r="B184" s="4">
        <v>72</v>
      </c>
      <c r="C184" s="4">
        <v>0.36570000000000003</v>
      </c>
      <c r="D184" s="4">
        <v>99.379130000000004</v>
      </c>
      <c r="E184" s="4">
        <v>20</v>
      </c>
      <c r="F184" s="4">
        <v>80</v>
      </c>
      <c r="G184" s="4">
        <v>1</v>
      </c>
      <c r="H184" s="1">
        <v>4</v>
      </c>
    </row>
    <row r="185" spans="1:8" x14ac:dyDescent="0.15">
      <c r="A185" s="4">
        <v>199.90665000000001</v>
      </c>
      <c r="B185" s="4">
        <v>72.5</v>
      </c>
      <c r="C185" s="4">
        <v>0.3705</v>
      </c>
      <c r="D185" s="4">
        <v>99.32302</v>
      </c>
      <c r="E185" s="4">
        <v>20</v>
      </c>
      <c r="F185" s="4">
        <v>80</v>
      </c>
      <c r="G185" s="4">
        <v>1</v>
      </c>
      <c r="H185" s="1">
        <v>4</v>
      </c>
    </row>
    <row r="186" spans="1:8" x14ac:dyDescent="0.15">
      <c r="A186" s="4">
        <v>199.88918000000001</v>
      </c>
      <c r="B186" s="4">
        <v>73</v>
      </c>
      <c r="C186" s="4">
        <v>0.37290000000000001</v>
      </c>
      <c r="D186" s="4">
        <v>99.475300000000004</v>
      </c>
      <c r="E186" s="4">
        <v>20</v>
      </c>
      <c r="F186" s="4">
        <v>80</v>
      </c>
      <c r="G186" s="4">
        <v>1</v>
      </c>
      <c r="H186" s="1">
        <v>4</v>
      </c>
    </row>
    <row r="187" spans="1:8" x14ac:dyDescent="0.15">
      <c r="A187" s="4">
        <v>199.89019999999999</v>
      </c>
      <c r="B187" s="4">
        <v>73.5</v>
      </c>
      <c r="C187" s="4">
        <v>0.37491999999999998</v>
      </c>
      <c r="D187" s="4">
        <v>99.480810000000005</v>
      </c>
      <c r="E187" s="4">
        <v>20</v>
      </c>
      <c r="F187" s="4">
        <v>80</v>
      </c>
      <c r="G187" s="4">
        <v>1</v>
      </c>
      <c r="H187" s="1">
        <v>4</v>
      </c>
    </row>
    <row r="188" spans="1:8" x14ac:dyDescent="0.15">
      <c r="A188" s="4">
        <v>199.90530000000001</v>
      </c>
      <c r="B188" s="4">
        <v>74</v>
      </c>
      <c r="C188" s="4">
        <v>0.37547000000000003</v>
      </c>
      <c r="D188" s="4">
        <v>99.369590000000002</v>
      </c>
      <c r="E188" s="4">
        <v>20</v>
      </c>
      <c r="F188" s="4">
        <v>80</v>
      </c>
      <c r="G188" s="4">
        <v>1</v>
      </c>
      <c r="H188" s="1">
        <v>4</v>
      </c>
    </row>
    <row r="189" spans="1:8" x14ac:dyDescent="0.15">
      <c r="A189" s="4">
        <v>199.93181000000001</v>
      </c>
      <c r="B189" s="4">
        <v>74.5</v>
      </c>
      <c r="C189" s="4">
        <v>0.37713000000000002</v>
      </c>
      <c r="D189" s="4">
        <v>99.364469999999997</v>
      </c>
      <c r="E189" s="4">
        <v>20</v>
      </c>
      <c r="F189" s="4">
        <v>80</v>
      </c>
      <c r="G189" s="4">
        <v>1</v>
      </c>
      <c r="H189" s="1">
        <v>4</v>
      </c>
    </row>
    <row r="190" spans="1:8" x14ac:dyDescent="0.15">
      <c r="A190" s="4">
        <v>199.96362999999999</v>
      </c>
      <c r="B190" s="4">
        <v>75</v>
      </c>
      <c r="C190" s="4">
        <v>0.37128</v>
      </c>
      <c r="D190" s="4">
        <v>99.417060000000006</v>
      </c>
      <c r="E190" s="4">
        <v>20</v>
      </c>
      <c r="F190" s="4">
        <v>80</v>
      </c>
      <c r="G190" s="4">
        <v>1</v>
      </c>
      <c r="H190" s="1">
        <v>4</v>
      </c>
    </row>
    <row r="191" spans="1:8" x14ac:dyDescent="0.15">
      <c r="A191" s="4">
        <v>199.97596999999999</v>
      </c>
      <c r="B191" s="4">
        <v>75.5</v>
      </c>
      <c r="C191" s="4">
        <v>0.36255999999999999</v>
      </c>
      <c r="D191" s="4">
        <v>99.536199999999994</v>
      </c>
      <c r="E191" s="4">
        <v>20</v>
      </c>
      <c r="F191" s="4">
        <v>80</v>
      </c>
      <c r="G191" s="4">
        <v>1</v>
      </c>
      <c r="H191" s="1">
        <v>4</v>
      </c>
    </row>
    <row r="192" spans="1:8" x14ac:dyDescent="0.15">
      <c r="A192" s="4">
        <v>199.95774</v>
      </c>
      <c r="B192" s="4">
        <v>76</v>
      </c>
      <c r="C192" s="4">
        <v>0.34977000000000003</v>
      </c>
      <c r="D192" s="4">
        <v>99.45675</v>
      </c>
      <c r="E192" s="4">
        <v>20</v>
      </c>
      <c r="F192" s="4">
        <v>80</v>
      </c>
      <c r="G192" s="4">
        <v>1</v>
      </c>
      <c r="H192" s="1">
        <v>4</v>
      </c>
    </row>
    <row r="193" spans="1:8" x14ac:dyDescent="0.15">
      <c r="A193" s="4">
        <v>199.91352000000001</v>
      </c>
      <c r="B193" s="4">
        <v>76.5</v>
      </c>
      <c r="C193" s="4">
        <v>0.34567999999999999</v>
      </c>
      <c r="D193" s="4">
        <v>99.393190000000004</v>
      </c>
      <c r="E193" s="4">
        <v>20</v>
      </c>
      <c r="F193" s="4">
        <v>80</v>
      </c>
      <c r="G193" s="4">
        <v>1</v>
      </c>
      <c r="H193" s="1">
        <v>4</v>
      </c>
    </row>
    <row r="194" spans="1:8" x14ac:dyDescent="0.15">
      <c r="A194" s="4">
        <v>199.86389</v>
      </c>
      <c r="B194" s="4">
        <v>77</v>
      </c>
      <c r="C194" s="4">
        <v>0.35009000000000001</v>
      </c>
      <c r="D194" s="4">
        <v>99.453360000000004</v>
      </c>
      <c r="E194" s="4">
        <v>20</v>
      </c>
      <c r="F194" s="4">
        <v>80</v>
      </c>
      <c r="G194" s="4">
        <v>1</v>
      </c>
      <c r="H194" s="1">
        <v>4</v>
      </c>
    </row>
    <row r="195" spans="1:8" x14ac:dyDescent="0.15">
      <c r="A195" s="4">
        <v>199.82795999999999</v>
      </c>
      <c r="B195" s="4">
        <v>77.5</v>
      </c>
      <c r="C195" s="4">
        <v>0.35663</v>
      </c>
      <c r="D195" s="4">
        <v>99.453519999999997</v>
      </c>
      <c r="E195" s="4">
        <v>20</v>
      </c>
      <c r="F195" s="4">
        <v>80</v>
      </c>
      <c r="G195" s="4">
        <v>1</v>
      </c>
      <c r="H195" s="1">
        <v>4</v>
      </c>
    </row>
    <row r="196" spans="1:8" x14ac:dyDescent="0.15">
      <c r="A196" s="4">
        <v>199.83024</v>
      </c>
      <c r="B196" s="4">
        <v>78</v>
      </c>
      <c r="C196" s="4">
        <v>0.36842000000000003</v>
      </c>
      <c r="D196" s="4">
        <v>99.453969999999998</v>
      </c>
      <c r="E196" s="4">
        <v>20</v>
      </c>
      <c r="F196" s="4">
        <v>80</v>
      </c>
      <c r="G196" s="4">
        <v>1</v>
      </c>
      <c r="H196" s="1">
        <v>4</v>
      </c>
    </row>
    <row r="197" spans="1:8" x14ac:dyDescent="0.15">
      <c r="A197" s="4">
        <v>199.88507000000001</v>
      </c>
      <c r="B197" s="4">
        <v>78.5</v>
      </c>
      <c r="C197" s="4">
        <v>0.38123000000000001</v>
      </c>
      <c r="D197" s="4">
        <v>99.339479999999995</v>
      </c>
      <c r="E197" s="4">
        <v>20</v>
      </c>
      <c r="F197" s="4">
        <v>80</v>
      </c>
      <c r="G197" s="4">
        <v>1</v>
      </c>
      <c r="H197" s="1">
        <v>4</v>
      </c>
    </row>
    <row r="198" spans="1:8" x14ac:dyDescent="0.15">
      <c r="A198" s="4">
        <v>199.96812</v>
      </c>
      <c r="B198" s="4">
        <v>79</v>
      </c>
      <c r="C198" s="4">
        <v>0.38086999999999999</v>
      </c>
      <c r="D198" s="4">
        <v>99.441640000000007</v>
      </c>
      <c r="E198" s="4">
        <v>20</v>
      </c>
      <c r="F198" s="4">
        <v>80</v>
      </c>
      <c r="G198" s="4">
        <v>1</v>
      </c>
      <c r="H198" s="1">
        <v>4</v>
      </c>
    </row>
    <row r="199" spans="1:8" x14ac:dyDescent="0.15">
      <c r="A199" s="4">
        <v>200.04366999999999</v>
      </c>
      <c r="B199" s="4">
        <v>79.5</v>
      </c>
      <c r="C199" s="4">
        <v>0.36991000000000002</v>
      </c>
      <c r="D199" s="4">
        <v>99.335449999999994</v>
      </c>
      <c r="E199" s="4">
        <v>20</v>
      </c>
      <c r="F199" s="4">
        <v>80</v>
      </c>
      <c r="G199" s="4">
        <v>1</v>
      </c>
      <c r="H199" s="1">
        <v>4</v>
      </c>
    </row>
    <row r="200" spans="1:8" x14ac:dyDescent="0.15">
      <c r="A200" s="4">
        <v>200.08932999999999</v>
      </c>
      <c r="B200" s="4">
        <v>80</v>
      </c>
      <c r="C200" s="4">
        <v>0.35721999999999998</v>
      </c>
      <c r="D200" s="4">
        <v>99.461690000000004</v>
      </c>
      <c r="E200" s="4">
        <v>20</v>
      </c>
      <c r="F200" s="4">
        <v>80</v>
      </c>
      <c r="G200" s="4">
        <v>1</v>
      </c>
      <c r="H200" s="1">
        <v>4</v>
      </c>
    </row>
    <row r="201" spans="1:8" x14ac:dyDescent="0.15">
      <c r="A201" s="4">
        <v>200.1052</v>
      </c>
      <c r="B201" s="4">
        <v>80.5</v>
      </c>
      <c r="C201" s="4">
        <v>0.34870000000000001</v>
      </c>
      <c r="D201" s="4">
        <v>99.494169999999997</v>
      </c>
      <c r="E201" s="4">
        <v>20</v>
      </c>
      <c r="F201" s="4">
        <v>80</v>
      </c>
      <c r="G201" s="4">
        <v>1</v>
      </c>
      <c r="H201" s="1">
        <v>4</v>
      </c>
    </row>
    <row r="202" spans="1:8" x14ac:dyDescent="0.15">
      <c r="A202" s="4">
        <v>200.11276000000001</v>
      </c>
      <c r="B202" s="4">
        <v>81</v>
      </c>
      <c r="C202" s="4">
        <v>0.35255999999999998</v>
      </c>
      <c r="D202" s="4">
        <v>99.365790000000004</v>
      </c>
      <c r="E202" s="4">
        <v>20</v>
      </c>
      <c r="F202" s="4">
        <v>80</v>
      </c>
      <c r="G202" s="4">
        <v>1</v>
      </c>
      <c r="H202" s="1">
        <v>4</v>
      </c>
    </row>
    <row r="203" spans="1:8" x14ac:dyDescent="0.15">
      <c r="A203" s="4">
        <v>200.11704</v>
      </c>
      <c r="B203" s="4">
        <v>81.5</v>
      </c>
      <c r="C203" s="4">
        <v>0.35561999999999999</v>
      </c>
      <c r="D203" s="4">
        <v>99.417649999999995</v>
      </c>
      <c r="E203" s="4">
        <v>20</v>
      </c>
      <c r="F203" s="4">
        <v>80</v>
      </c>
      <c r="G203" s="4">
        <v>1</v>
      </c>
      <c r="H203" s="1">
        <v>4</v>
      </c>
    </row>
    <row r="204" spans="1:8" x14ac:dyDescent="0.15">
      <c r="A204" s="4">
        <v>200.11874</v>
      </c>
      <c r="B204" s="4">
        <v>82</v>
      </c>
      <c r="C204" s="4">
        <v>0.35058</v>
      </c>
      <c r="D204" s="4">
        <v>99.358109999999996</v>
      </c>
      <c r="E204" s="4">
        <v>20</v>
      </c>
      <c r="F204" s="4">
        <v>80</v>
      </c>
      <c r="G204" s="4">
        <v>1</v>
      </c>
      <c r="H204" s="1">
        <v>4</v>
      </c>
    </row>
    <row r="205" spans="1:8" x14ac:dyDescent="0.15">
      <c r="A205" s="4">
        <v>200.11364</v>
      </c>
      <c r="B205" s="4">
        <v>82.5</v>
      </c>
      <c r="C205" s="4">
        <v>0.34797</v>
      </c>
      <c r="D205" s="4">
        <v>99.391760000000005</v>
      </c>
      <c r="E205" s="4">
        <v>20</v>
      </c>
      <c r="F205" s="4">
        <v>80</v>
      </c>
      <c r="G205" s="4">
        <v>1</v>
      </c>
      <c r="H205" s="1">
        <v>4</v>
      </c>
    </row>
    <row r="206" spans="1:8" x14ac:dyDescent="0.15">
      <c r="A206" s="4">
        <v>200.09604999999999</v>
      </c>
      <c r="B206" s="4">
        <v>83</v>
      </c>
      <c r="C206" s="4">
        <v>0.34321000000000002</v>
      </c>
      <c r="D206" s="4">
        <v>99.473569999999995</v>
      </c>
      <c r="E206" s="4">
        <v>20</v>
      </c>
      <c r="F206" s="4">
        <v>80</v>
      </c>
      <c r="G206" s="4">
        <v>1</v>
      </c>
      <c r="H206" s="1">
        <v>4</v>
      </c>
    </row>
    <row r="207" spans="1:8" x14ac:dyDescent="0.15">
      <c r="A207" s="4">
        <v>200.06558999999999</v>
      </c>
      <c r="B207" s="4">
        <v>83.5</v>
      </c>
      <c r="C207" s="4">
        <v>0.34072000000000002</v>
      </c>
      <c r="D207" s="4">
        <v>99.408860000000004</v>
      </c>
      <c r="E207" s="4">
        <v>20</v>
      </c>
      <c r="F207" s="4">
        <v>80</v>
      </c>
      <c r="G207" s="4">
        <v>1</v>
      </c>
      <c r="H207" s="1">
        <v>4</v>
      </c>
    </row>
    <row r="208" spans="1:8" x14ac:dyDescent="0.15">
      <c r="A208" s="4">
        <v>200.02741</v>
      </c>
      <c r="B208" s="4">
        <v>84</v>
      </c>
      <c r="C208" s="4">
        <v>0.33821000000000001</v>
      </c>
      <c r="D208" s="4">
        <v>99.466130000000007</v>
      </c>
      <c r="E208" s="4">
        <v>20</v>
      </c>
      <c r="F208" s="4">
        <v>80</v>
      </c>
      <c r="G208" s="4">
        <v>1</v>
      </c>
      <c r="H208" s="1">
        <v>4</v>
      </c>
    </row>
    <row r="209" spans="1:8" x14ac:dyDescent="0.15">
      <c r="A209" s="4">
        <v>199.99572000000001</v>
      </c>
      <c r="B209" s="4">
        <v>84.5</v>
      </c>
      <c r="C209" s="4">
        <v>0.34022000000000002</v>
      </c>
      <c r="D209" s="4">
        <v>99.426569999999998</v>
      </c>
      <c r="E209" s="4">
        <v>20</v>
      </c>
      <c r="F209" s="4">
        <v>80</v>
      </c>
      <c r="G209" s="4">
        <v>1</v>
      </c>
      <c r="H209" s="1">
        <v>4</v>
      </c>
    </row>
    <row r="210" spans="1:8" x14ac:dyDescent="0.15">
      <c r="A210" s="4">
        <v>199.97241</v>
      </c>
      <c r="B210" s="4">
        <v>85</v>
      </c>
      <c r="C210" s="4">
        <v>0.34227999999999997</v>
      </c>
      <c r="D210" s="4">
        <v>99.456940000000003</v>
      </c>
      <c r="E210" s="4">
        <v>20</v>
      </c>
      <c r="F210" s="4">
        <v>80</v>
      </c>
      <c r="G210" s="4">
        <v>1</v>
      </c>
      <c r="H210" s="1">
        <v>4</v>
      </c>
    </row>
    <row r="211" spans="1:8" x14ac:dyDescent="0.15">
      <c r="A211" s="4">
        <v>199.95903999999999</v>
      </c>
      <c r="B211" s="4">
        <v>85.5</v>
      </c>
      <c r="C211" s="4">
        <v>0.34314</v>
      </c>
      <c r="D211" s="4">
        <v>99.452269999999999</v>
      </c>
      <c r="E211" s="4">
        <v>20</v>
      </c>
      <c r="F211" s="4">
        <v>80</v>
      </c>
      <c r="G211" s="4">
        <v>1</v>
      </c>
      <c r="H211" s="1">
        <v>4</v>
      </c>
    </row>
    <row r="212" spans="1:8" x14ac:dyDescent="0.15">
      <c r="A212" s="4">
        <v>199.94823</v>
      </c>
      <c r="B212" s="4">
        <v>86</v>
      </c>
      <c r="C212" s="4">
        <v>0.34128999999999998</v>
      </c>
      <c r="D212" s="4">
        <v>99.375829999999993</v>
      </c>
      <c r="E212" s="4">
        <v>20</v>
      </c>
      <c r="F212" s="4">
        <v>80</v>
      </c>
      <c r="G212" s="4">
        <v>1</v>
      </c>
      <c r="H212" s="1">
        <v>4</v>
      </c>
    </row>
    <row r="213" spans="1:8" x14ac:dyDescent="0.15">
      <c r="A213" s="4">
        <v>199.93788000000001</v>
      </c>
      <c r="B213" s="4">
        <v>86.5</v>
      </c>
      <c r="C213" s="4">
        <v>0.34017999999999998</v>
      </c>
      <c r="D213" s="4">
        <v>99.437420000000003</v>
      </c>
      <c r="E213" s="4">
        <v>20</v>
      </c>
      <c r="F213" s="4">
        <v>80</v>
      </c>
      <c r="G213" s="4">
        <v>1</v>
      </c>
      <c r="H213" s="1">
        <v>4</v>
      </c>
    </row>
    <row r="214" spans="1:8" x14ac:dyDescent="0.15">
      <c r="A214" s="4">
        <v>199.93573000000001</v>
      </c>
      <c r="B214" s="4">
        <v>87</v>
      </c>
      <c r="C214" s="4">
        <v>0.34151999999999999</v>
      </c>
      <c r="D214" s="4">
        <v>99.336740000000006</v>
      </c>
      <c r="E214" s="4">
        <v>20</v>
      </c>
      <c r="F214" s="4">
        <v>80</v>
      </c>
      <c r="G214" s="4">
        <v>1</v>
      </c>
      <c r="H214" s="1">
        <v>4</v>
      </c>
    </row>
    <row r="215" spans="1:8" x14ac:dyDescent="0.15">
      <c r="A215" s="4">
        <v>199.93636000000001</v>
      </c>
      <c r="B215" s="4">
        <v>87.5</v>
      </c>
      <c r="C215" s="4">
        <v>0.33656999999999998</v>
      </c>
      <c r="D215" s="4">
        <v>99.345140000000001</v>
      </c>
      <c r="E215" s="4">
        <v>20</v>
      </c>
      <c r="F215" s="4">
        <v>80</v>
      </c>
      <c r="G215" s="4">
        <v>1</v>
      </c>
      <c r="H215" s="1">
        <v>4</v>
      </c>
    </row>
    <row r="216" spans="1:8" x14ac:dyDescent="0.15">
      <c r="A216" s="4">
        <v>199.93786</v>
      </c>
      <c r="B216" s="4">
        <v>88</v>
      </c>
      <c r="C216" s="4">
        <v>0.33810000000000001</v>
      </c>
      <c r="D216" s="4">
        <v>99.411469999999994</v>
      </c>
      <c r="E216" s="4">
        <v>20</v>
      </c>
      <c r="F216" s="4">
        <v>80</v>
      </c>
      <c r="G216" s="4">
        <v>1</v>
      </c>
      <c r="H216" s="1">
        <v>4</v>
      </c>
    </row>
    <row r="217" spans="1:8" x14ac:dyDescent="0.15">
      <c r="A217" s="4">
        <v>199.94238999999999</v>
      </c>
      <c r="B217" s="4">
        <v>88.5</v>
      </c>
      <c r="C217" s="4">
        <v>0.33739000000000002</v>
      </c>
      <c r="D217" s="4">
        <v>99.416340000000005</v>
      </c>
      <c r="E217" s="4">
        <v>20</v>
      </c>
      <c r="F217" s="4">
        <v>80</v>
      </c>
      <c r="G217" s="4">
        <v>1</v>
      </c>
      <c r="H217" s="1">
        <v>4</v>
      </c>
    </row>
    <row r="218" spans="1:8" x14ac:dyDescent="0.15">
      <c r="A218" s="4">
        <v>199.94986</v>
      </c>
      <c r="B218" s="4">
        <v>89</v>
      </c>
      <c r="C218" s="4">
        <v>0.33626</v>
      </c>
      <c r="D218" s="4">
        <v>99.595060000000004</v>
      </c>
      <c r="E218" s="4">
        <v>20</v>
      </c>
      <c r="F218" s="4">
        <v>80</v>
      </c>
      <c r="G218" s="4">
        <v>1</v>
      </c>
      <c r="H218" s="1">
        <v>4</v>
      </c>
    </row>
    <row r="219" spans="1:8" x14ac:dyDescent="0.15">
      <c r="A219" s="4">
        <v>199.94709</v>
      </c>
      <c r="B219" s="4">
        <v>89.5</v>
      </c>
      <c r="C219" s="4">
        <v>0.33329999999999999</v>
      </c>
      <c r="D219" s="4">
        <v>99.395780000000002</v>
      </c>
      <c r="E219" s="4">
        <v>20</v>
      </c>
      <c r="F219" s="4">
        <v>80</v>
      </c>
      <c r="G219" s="4">
        <v>1</v>
      </c>
      <c r="H219" s="1">
        <v>4</v>
      </c>
    </row>
    <row r="220" spans="1:8" x14ac:dyDescent="0.15">
      <c r="A220" s="4">
        <v>199.93655000000001</v>
      </c>
      <c r="B220" s="4">
        <v>90</v>
      </c>
      <c r="C220" s="4">
        <v>0.33084000000000002</v>
      </c>
      <c r="D220" s="4">
        <v>99.457549999999998</v>
      </c>
      <c r="E220" s="4">
        <v>20</v>
      </c>
      <c r="F220" s="4">
        <v>80</v>
      </c>
      <c r="G220" s="4">
        <v>1</v>
      </c>
      <c r="H220" s="1">
        <v>4</v>
      </c>
    </row>
    <row r="221" spans="1:8" x14ac:dyDescent="0.15">
      <c r="A221" s="4">
        <v>199.92549</v>
      </c>
      <c r="B221" s="4">
        <v>90.5</v>
      </c>
      <c r="C221" s="4">
        <v>0.33140999999999998</v>
      </c>
      <c r="D221" s="4">
        <v>99.515910000000005</v>
      </c>
      <c r="E221" s="4">
        <v>20</v>
      </c>
      <c r="F221" s="4">
        <v>80</v>
      </c>
      <c r="G221" s="4">
        <v>1</v>
      </c>
      <c r="H221" s="1">
        <v>4</v>
      </c>
    </row>
    <row r="222" spans="1:8" x14ac:dyDescent="0.15">
      <c r="A222" s="4">
        <v>199.9162</v>
      </c>
      <c r="B222" s="4">
        <v>91</v>
      </c>
      <c r="C222" s="4">
        <v>0.33044000000000001</v>
      </c>
      <c r="D222" s="4">
        <v>99.529300000000006</v>
      </c>
      <c r="E222" s="4">
        <v>20</v>
      </c>
      <c r="F222" s="4">
        <v>80</v>
      </c>
      <c r="G222" s="4">
        <v>1</v>
      </c>
      <c r="H222" s="1">
        <v>4</v>
      </c>
    </row>
    <row r="223" spans="1:8" x14ac:dyDescent="0.15">
      <c r="A223" s="4">
        <v>199.91752</v>
      </c>
      <c r="B223" s="4">
        <v>91.5</v>
      </c>
      <c r="C223" s="4">
        <v>0.33679999999999999</v>
      </c>
      <c r="D223" s="4">
        <v>99.469380000000001</v>
      </c>
      <c r="E223" s="4">
        <v>20</v>
      </c>
      <c r="F223" s="4">
        <v>80</v>
      </c>
      <c r="G223" s="4">
        <v>1</v>
      </c>
      <c r="H223" s="1">
        <v>4</v>
      </c>
    </row>
    <row r="224" spans="1:8" x14ac:dyDescent="0.15">
      <c r="A224" s="4">
        <v>199.93911</v>
      </c>
      <c r="B224" s="4">
        <v>92</v>
      </c>
      <c r="C224" s="4">
        <v>0.34348000000000001</v>
      </c>
      <c r="D224" s="4">
        <v>99.46208</v>
      </c>
      <c r="E224" s="4">
        <v>20</v>
      </c>
      <c r="F224" s="4">
        <v>80</v>
      </c>
      <c r="G224" s="4">
        <v>1</v>
      </c>
      <c r="H224" s="1">
        <v>4</v>
      </c>
    </row>
    <row r="225" spans="1:8" x14ac:dyDescent="0.15">
      <c r="A225" s="4">
        <v>199.98310000000001</v>
      </c>
      <c r="B225" s="4">
        <v>92.5</v>
      </c>
      <c r="C225" s="4">
        <v>0.34858</v>
      </c>
      <c r="D225" s="4">
        <v>99.427390000000003</v>
      </c>
      <c r="E225" s="4">
        <v>20</v>
      </c>
      <c r="F225" s="4">
        <v>80</v>
      </c>
      <c r="G225" s="4">
        <v>1</v>
      </c>
      <c r="H225" s="1">
        <v>4</v>
      </c>
    </row>
    <row r="226" spans="1:8" x14ac:dyDescent="0.15">
      <c r="A226" s="4">
        <v>200.03607</v>
      </c>
      <c r="B226" s="4">
        <v>93</v>
      </c>
      <c r="C226" s="4">
        <v>0.34611999999999998</v>
      </c>
      <c r="D226" s="4">
        <v>99.382739999999998</v>
      </c>
      <c r="E226" s="4">
        <v>20</v>
      </c>
      <c r="F226" s="4">
        <v>80</v>
      </c>
      <c r="G226" s="4">
        <v>1</v>
      </c>
      <c r="H226" s="1">
        <v>4</v>
      </c>
    </row>
    <row r="227" spans="1:8" x14ac:dyDescent="0.15">
      <c r="A227" s="4">
        <v>200.07974999999999</v>
      </c>
      <c r="B227" s="4">
        <v>93.5</v>
      </c>
      <c r="C227" s="4">
        <v>0.33706999999999998</v>
      </c>
      <c r="D227" s="4">
        <v>99.5227</v>
      </c>
      <c r="E227" s="4">
        <v>20</v>
      </c>
      <c r="F227" s="4">
        <v>80</v>
      </c>
      <c r="G227" s="4">
        <v>1</v>
      </c>
      <c r="H227" s="1">
        <v>4</v>
      </c>
    </row>
    <row r="228" spans="1:8" x14ac:dyDescent="0.15">
      <c r="A228" s="4">
        <v>200.10410999999999</v>
      </c>
      <c r="B228" s="4">
        <v>94</v>
      </c>
      <c r="C228" s="4">
        <v>0.32887</v>
      </c>
      <c r="D228" s="4">
        <v>99.261070000000004</v>
      </c>
      <c r="E228" s="4">
        <v>20</v>
      </c>
      <c r="F228" s="4">
        <v>80</v>
      </c>
      <c r="G228" s="4">
        <v>1</v>
      </c>
      <c r="H228" s="1">
        <v>4</v>
      </c>
    </row>
    <row r="229" spans="1:8" x14ac:dyDescent="0.15">
      <c r="A229" s="4">
        <v>200.10308000000001</v>
      </c>
      <c r="B229" s="4">
        <v>94.5</v>
      </c>
      <c r="C229" s="4">
        <v>0.32444000000000001</v>
      </c>
      <c r="D229" s="4">
        <v>99.528009999999995</v>
      </c>
      <c r="E229" s="4">
        <v>20</v>
      </c>
      <c r="F229" s="4">
        <v>80</v>
      </c>
      <c r="G229" s="4">
        <v>1</v>
      </c>
      <c r="H229" s="1">
        <v>4</v>
      </c>
    </row>
    <row r="230" spans="1:8" x14ac:dyDescent="0.15">
      <c r="A230" s="4">
        <v>200.08676</v>
      </c>
      <c r="B230" s="4">
        <v>95</v>
      </c>
      <c r="C230" s="4">
        <v>0.32020999999999999</v>
      </c>
      <c r="D230" s="4">
        <v>99.486329999999995</v>
      </c>
      <c r="E230" s="4">
        <v>20</v>
      </c>
      <c r="F230" s="4">
        <v>80</v>
      </c>
      <c r="G230" s="4">
        <v>1</v>
      </c>
      <c r="H230" s="1">
        <v>4</v>
      </c>
    </row>
    <row r="231" spans="1:8" x14ac:dyDescent="0.15">
      <c r="A231" s="4">
        <v>200.06370999999999</v>
      </c>
      <c r="B231" s="4">
        <v>95.5</v>
      </c>
      <c r="C231" s="4">
        <v>0.32018999999999997</v>
      </c>
      <c r="D231" s="4">
        <v>99.426649999999995</v>
      </c>
      <c r="E231" s="4">
        <v>20</v>
      </c>
      <c r="F231" s="4">
        <v>80</v>
      </c>
      <c r="G231" s="4">
        <v>1</v>
      </c>
      <c r="H231" s="1">
        <v>4</v>
      </c>
    </row>
    <row r="232" spans="1:8" x14ac:dyDescent="0.15">
      <c r="A232" s="4">
        <v>200.03886</v>
      </c>
      <c r="B232" s="4">
        <v>96</v>
      </c>
      <c r="C232" s="4">
        <v>0.32061000000000001</v>
      </c>
      <c r="D232" s="4">
        <v>99.499449999999996</v>
      </c>
      <c r="E232" s="4">
        <v>20</v>
      </c>
      <c r="F232" s="4">
        <v>80</v>
      </c>
      <c r="G232" s="4">
        <v>1</v>
      </c>
      <c r="H232" s="1">
        <v>4</v>
      </c>
    </row>
    <row r="233" spans="1:8" x14ac:dyDescent="0.15">
      <c r="A233" s="4">
        <v>200.02345</v>
      </c>
      <c r="B233" s="4">
        <v>96.5</v>
      </c>
      <c r="C233" s="4">
        <v>0.32314999999999999</v>
      </c>
      <c r="D233" s="4">
        <v>99.424760000000006</v>
      </c>
      <c r="E233" s="4">
        <v>20</v>
      </c>
      <c r="F233" s="4">
        <v>80</v>
      </c>
      <c r="G233" s="4">
        <v>1</v>
      </c>
      <c r="H233" s="1">
        <v>4</v>
      </c>
    </row>
    <row r="234" spans="1:8" x14ac:dyDescent="0.15">
      <c r="A234" s="4">
        <v>200.00876</v>
      </c>
      <c r="B234" s="4">
        <v>97</v>
      </c>
      <c r="C234" s="4">
        <v>0.32216</v>
      </c>
      <c r="D234" s="4">
        <v>99.509929999999997</v>
      </c>
      <c r="E234" s="4">
        <v>20</v>
      </c>
      <c r="F234" s="4">
        <v>80</v>
      </c>
      <c r="G234" s="4">
        <v>1</v>
      </c>
      <c r="H234" s="1">
        <v>4</v>
      </c>
    </row>
    <row r="235" spans="1:8" x14ac:dyDescent="0.15">
      <c r="A235" s="4">
        <v>199.99112</v>
      </c>
      <c r="B235" s="4">
        <v>97.5</v>
      </c>
      <c r="C235" s="4">
        <v>0.31801000000000001</v>
      </c>
      <c r="D235" s="4">
        <v>99.491010000000003</v>
      </c>
      <c r="E235" s="4">
        <v>20</v>
      </c>
      <c r="F235" s="4">
        <v>80</v>
      </c>
      <c r="G235" s="4">
        <v>1</v>
      </c>
      <c r="H235" s="1">
        <v>4</v>
      </c>
    </row>
    <row r="236" spans="1:8" x14ac:dyDescent="0.15">
      <c r="A236" s="4">
        <v>199.96964</v>
      </c>
      <c r="B236" s="4">
        <v>98</v>
      </c>
      <c r="C236" s="4">
        <v>0.31918999999999997</v>
      </c>
      <c r="D236" s="4">
        <v>99.388080000000002</v>
      </c>
      <c r="E236" s="4">
        <v>20</v>
      </c>
      <c r="F236" s="4">
        <v>80</v>
      </c>
      <c r="G236" s="4">
        <v>1</v>
      </c>
      <c r="H236" s="1">
        <v>4</v>
      </c>
    </row>
    <row r="237" spans="1:8" x14ac:dyDescent="0.15">
      <c r="A237" s="4">
        <v>199.94871000000001</v>
      </c>
      <c r="B237" s="4">
        <v>98.5</v>
      </c>
      <c r="C237" s="4">
        <v>0.31909999999999999</v>
      </c>
      <c r="D237" s="4">
        <v>99.452129999999997</v>
      </c>
      <c r="E237" s="4">
        <v>20</v>
      </c>
      <c r="F237" s="4">
        <v>80</v>
      </c>
      <c r="G237" s="4">
        <v>1</v>
      </c>
      <c r="H237" s="1">
        <v>4</v>
      </c>
    </row>
    <row r="238" spans="1:8" x14ac:dyDescent="0.15">
      <c r="A238" s="4">
        <v>199.94092000000001</v>
      </c>
      <c r="B238" s="4">
        <v>99</v>
      </c>
      <c r="C238" s="4">
        <v>0.32223000000000002</v>
      </c>
      <c r="D238" s="4">
        <v>99.318299999999994</v>
      </c>
      <c r="E238" s="4">
        <v>20</v>
      </c>
      <c r="F238" s="4">
        <v>80</v>
      </c>
      <c r="G238" s="4">
        <v>1</v>
      </c>
      <c r="H238" s="1">
        <v>4</v>
      </c>
    </row>
    <row r="239" spans="1:8" x14ac:dyDescent="0.15">
      <c r="A239" s="4">
        <v>199.95097000000001</v>
      </c>
      <c r="B239" s="4">
        <v>99.5</v>
      </c>
      <c r="C239" s="4">
        <v>0.32819999999999999</v>
      </c>
      <c r="D239" s="4">
        <v>99.499319999999997</v>
      </c>
      <c r="E239" s="4">
        <v>20</v>
      </c>
      <c r="F239" s="4">
        <v>80</v>
      </c>
      <c r="G239" s="4">
        <v>1</v>
      </c>
      <c r="H239" s="1">
        <v>4</v>
      </c>
    </row>
    <row r="240" spans="1:8" x14ac:dyDescent="0.15">
      <c r="A240" s="4">
        <v>199.96312</v>
      </c>
      <c r="B240" s="4">
        <v>100</v>
      </c>
      <c r="C240" s="4">
        <v>0.32534000000000002</v>
      </c>
      <c r="D240" s="4">
        <v>99.448679999999996</v>
      </c>
      <c r="E240" s="4">
        <v>20</v>
      </c>
      <c r="F240" s="4">
        <v>80</v>
      </c>
      <c r="G240" s="4">
        <v>1</v>
      </c>
      <c r="H240" s="1">
        <v>4</v>
      </c>
    </row>
    <row r="241" spans="1:8" x14ac:dyDescent="0.15">
      <c r="A241" s="4">
        <v>199.98047</v>
      </c>
      <c r="B241" s="4">
        <v>100.5</v>
      </c>
      <c r="C241" s="4">
        <v>0.32840000000000003</v>
      </c>
      <c r="D241" s="4">
        <v>99.554609999999997</v>
      </c>
      <c r="E241" s="4">
        <v>20</v>
      </c>
      <c r="F241" s="4">
        <v>80</v>
      </c>
      <c r="G241" s="4">
        <v>1</v>
      </c>
      <c r="H241" s="1">
        <v>4</v>
      </c>
    </row>
    <row r="242" spans="1:8" x14ac:dyDescent="0.15">
      <c r="A242" s="4">
        <v>200.01059000000001</v>
      </c>
      <c r="B242" s="4">
        <v>101</v>
      </c>
      <c r="C242" s="4">
        <v>0.33045999999999998</v>
      </c>
      <c r="D242" s="4">
        <v>99.367869999999996</v>
      </c>
      <c r="E242" s="4">
        <v>20</v>
      </c>
      <c r="F242" s="4">
        <v>80</v>
      </c>
      <c r="G242" s="4">
        <v>1</v>
      </c>
      <c r="H242" s="1">
        <v>4</v>
      </c>
    </row>
    <row r="243" spans="1:8" x14ac:dyDescent="0.15">
      <c r="A243" s="4">
        <v>200.04139000000001</v>
      </c>
      <c r="B243" s="4">
        <v>101.5</v>
      </c>
      <c r="C243" s="4">
        <v>0.32666000000000001</v>
      </c>
      <c r="D243" s="4">
        <v>99.432689999999994</v>
      </c>
      <c r="E243" s="4">
        <v>20</v>
      </c>
      <c r="F243" s="4">
        <v>80</v>
      </c>
      <c r="G243" s="4">
        <v>1</v>
      </c>
      <c r="H243" s="1">
        <v>4</v>
      </c>
    </row>
    <row r="244" spans="1:8" x14ac:dyDescent="0.15">
      <c r="A244" s="4">
        <v>200.06037000000001</v>
      </c>
      <c r="B244" s="4">
        <v>102</v>
      </c>
      <c r="C244" s="4">
        <v>0.32114999999999999</v>
      </c>
      <c r="D244" s="4">
        <v>99.457139999999995</v>
      </c>
      <c r="E244" s="4">
        <v>20</v>
      </c>
      <c r="F244" s="4">
        <v>80</v>
      </c>
      <c r="G244" s="4">
        <v>1</v>
      </c>
      <c r="H244" s="1">
        <v>4</v>
      </c>
    </row>
    <row r="245" spans="1:8" x14ac:dyDescent="0.15">
      <c r="A245" s="4">
        <v>200.06356</v>
      </c>
      <c r="B245" s="4">
        <v>102.5</v>
      </c>
      <c r="C245" s="4">
        <v>0.31561</v>
      </c>
      <c r="D245" s="4">
        <v>99.367040000000003</v>
      </c>
      <c r="E245" s="4">
        <v>20</v>
      </c>
      <c r="F245" s="4">
        <v>80</v>
      </c>
      <c r="G245" s="4">
        <v>1</v>
      </c>
      <c r="H245" s="1">
        <v>4</v>
      </c>
    </row>
    <row r="246" spans="1:8" x14ac:dyDescent="0.15">
      <c r="A246" s="4">
        <v>200.04763</v>
      </c>
      <c r="B246" s="4">
        <v>103</v>
      </c>
      <c r="C246" s="4">
        <v>0.31313999999999997</v>
      </c>
      <c r="D246" s="4">
        <v>99.568740000000005</v>
      </c>
      <c r="E246" s="4">
        <v>20</v>
      </c>
      <c r="F246" s="4">
        <v>80</v>
      </c>
      <c r="G246" s="4">
        <v>1</v>
      </c>
      <c r="H246" s="1">
        <v>4</v>
      </c>
    </row>
    <row r="247" spans="1:8" x14ac:dyDescent="0.15">
      <c r="A247" s="4">
        <v>200.03021000000001</v>
      </c>
      <c r="B247" s="4">
        <v>103.5</v>
      </c>
      <c r="C247" s="4">
        <v>0.31333</v>
      </c>
      <c r="D247" s="4">
        <v>99.574960000000004</v>
      </c>
      <c r="E247" s="4">
        <v>20</v>
      </c>
      <c r="F247" s="4">
        <v>80</v>
      </c>
      <c r="G247" s="4">
        <v>1</v>
      </c>
      <c r="H247" s="1">
        <v>4</v>
      </c>
    </row>
    <row r="248" spans="1:8" x14ac:dyDescent="0.15">
      <c r="A248" s="4">
        <v>200.01327000000001</v>
      </c>
      <c r="B248" s="4">
        <v>104</v>
      </c>
      <c r="C248" s="4">
        <v>0.31383</v>
      </c>
      <c r="D248" s="4">
        <v>99.346810000000005</v>
      </c>
      <c r="E248" s="4">
        <v>20</v>
      </c>
      <c r="F248" s="4">
        <v>80</v>
      </c>
      <c r="G248" s="4">
        <v>1</v>
      </c>
      <c r="H248" s="1">
        <v>4</v>
      </c>
    </row>
    <row r="249" spans="1:8" x14ac:dyDescent="0.15">
      <c r="A249" s="4">
        <v>199.99847</v>
      </c>
      <c r="B249" s="4">
        <v>104.5</v>
      </c>
      <c r="C249" s="4">
        <v>0.31946000000000002</v>
      </c>
      <c r="D249" s="4">
        <v>99.488600000000005</v>
      </c>
      <c r="E249" s="4">
        <v>20</v>
      </c>
      <c r="F249" s="4">
        <v>80</v>
      </c>
      <c r="G249" s="4">
        <v>1</v>
      </c>
      <c r="H249" s="1">
        <v>4</v>
      </c>
    </row>
    <row r="250" spans="1:8" x14ac:dyDescent="0.15">
      <c r="A250" s="4">
        <v>200.00205</v>
      </c>
      <c r="B250" s="4">
        <v>105</v>
      </c>
      <c r="C250" s="4">
        <v>0.32338</v>
      </c>
      <c r="D250" s="4">
        <v>99.416920000000005</v>
      </c>
      <c r="E250" s="4">
        <v>20</v>
      </c>
      <c r="F250" s="4">
        <v>80</v>
      </c>
      <c r="G250" s="4">
        <v>1</v>
      </c>
      <c r="H250" s="1">
        <v>4</v>
      </c>
    </row>
    <row r="251" spans="1:8" x14ac:dyDescent="0.15">
      <c r="A251" s="4">
        <v>200.01846</v>
      </c>
      <c r="B251" s="4">
        <v>105.5</v>
      </c>
      <c r="C251" s="4">
        <v>0.32317000000000001</v>
      </c>
      <c r="D251" s="4">
        <v>99.432929999999999</v>
      </c>
      <c r="E251" s="4">
        <v>20</v>
      </c>
      <c r="F251" s="4">
        <v>80</v>
      </c>
      <c r="G251" s="4">
        <v>1</v>
      </c>
      <c r="H251" s="1">
        <v>4</v>
      </c>
    </row>
    <row r="252" spans="1:8" x14ac:dyDescent="0.15">
      <c r="A252" s="4">
        <v>200.03921</v>
      </c>
      <c r="B252" s="4">
        <v>106</v>
      </c>
      <c r="C252" s="4">
        <v>0.3221</v>
      </c>
      <c r="D252" s="4">
        <v>99.412210000000002</v>
      </c>
      <c r="E252" s="4">
        <v>20</v>
      </c>
      <c r="F252" s="4">
        <v>80</v>
      </c>
      <c r="G252" s="4">
        <v>1</v>
      </c>
      <c r="H252" s="1">
        <v>4</v>
      </c>
    </row>
    <row r="253" spans="1:8" x14ac:dyDescent="0.15">
      <c r="A253" s="4">
        <v>200.06591</v>
      </c>
      <c r="B253" s="4">
        <v>106.5</v>
      </c>
      <c r="C253" s="4">
        <v>0.32363999999999998</v>
      </c>
      <c r="D253" s="4">
        <v>99.421040000000005</v>
      </c>
      <c r="E253" s="4">
        <v>20</v>
      </c>
      <c r="F253" s="4">
        <v>80</v>
      </c>
      <c r="G253" s="4">
        <v>1</v>
      </c>
      <c r="H253" s="1">
        <v>4</v>
      </c>
    </row>
    <row r="254" spans="1:8" x14ac:dyDescent="0.15">
      <c r="A254" s="4">
        <v>200.08393000000001</v>
      </c>
      <c r="B254" s="4">
        <v>107</v>
      </c>
      <c r="C254" s="4">
        <v>0.31747999999999998</v>
      </c>
      <c r="D254" s="4">
        <v>99.471010000000007</v>
      </c>
      <c r="E254" s="4">
        <v>20</v>
      </c>
      <c r="F254" s="4">
        <v>80</v>
      </c>
      <c r="G254" s="4">
        <v>1</v>
      </c>
      <c r="H254" s="1">
        <v>4</v>
      </c>
    </row>
    <row r="255" spans="1:8" x14ac:dyDescent="0.15">
      <c r="A255" s="4">
        <v>200.08772999999999</v>
      </c>
      <c r="B255" s="4">
        <v>107.5</v>
      </c>
      <c r="C255" s="4">
        <v>0.31028</v>
      </c>
      <c r="D255" s="4">
        <v>99.452860000000001</v>
      </c>
      <c r="E255" s="4">
        <v>20</v>
      </c>
      <c r="F255" s="4">
        <v>80</v>
      </c>
      <c r="G255" s="4">
        <v>1</v>
      </c>
      <c r="H255" s="1">
        <v>4</v>
      </c>
    </row>
    <row r="256" spans="1:8" x14ac:dyDescent="0.15">
      <c r="A256" s="4">
        <v>200.07603</v>
      </c>
      <c r="B256" s="4">
        <v>108</v>
      </c>
      <c r="C256" s="4">
        <v>0.30692999999999998</v>
      </c>
      <c r="D256" s="4">
        <v>99.598100000000002</v>
      </c>
      <c r="E256" s="4">
        <v>20</v>
      </c>
      <c r="F256" s="4">
        <v>80</v>
      </c>
      <c r="G256" s="4">
        <v>1</v>
      </c>
      <c r="H256" s="1">
        <v>4</v>
      </c>
    </row>
    <row r="257" spans="1:8" x14ac:dyDescent="0.15">
      <c r="A257" s="4">
        <v>200.05831000000001</v>
      </c>
      <c r="B257" s="4">
        <v>108.5</v>
      </c>
      <c r="C257" s="4">
        <v>0.30796000000000001</v>
      </c>
      <c r="D257" s="4">
        <v>99.405060000000006</v>
      </c>
      <c r="E257" s="4">
        <v>20</v>
      </c>
      <c r="F257" s="4">
        <v>80</v>
      </c>
      <c r="G257" s="4">
        <v>1</v>
      </c>
      <c r="H257" s="1">
        <v>4</v>
      </c>
    </row>
    <row r="258" spans="1:8" x14ac:dyDescent="0.15">
      <c r="A258" s="4">
        <v>200.03953000000001</v>
      </c>
      <c r="B258" s="4">
        <v>109</v>
      </c>
      <c r="C258" s="4">
        <v>0.30875000000000002</v>
      </c>
      <c r="D258" s="4">
        <v>99.538139999999999</v>
      </c>
      <c r="E258" s="4">
        <v>20</v>
      </c>
      <c r="F258" s="4">
        <v>80</v>
      </c>
      <c r="G258" s="4">
        <v>1</v>
      </c>
      <c r="H258" s="1">
        <v>4</v>
      </c>
    </row>
    <row r="259" spans="1:8" x14ac:dyDescent="0.15">
      <c r="A259" s="4">
        <v>200.02089000000001</v>
      </c>
      <c r="B259" s="4">
        <v>109.5</v>
      </c>
      <c r="C259" s="4">
        <v>0.31089</v>
      </c>
      <c r="D259" s="4">
        <v>99.44932</v>
      </c>
      <c r="E259" s="4">
        <v>20</v>
      </c>
      <c r="F259" s="4">
        <v>80</v>
      </c>
      <c r="G259" s="4">
        <v>1</v>
      </c>
      <c r="H259" s="1">
        <v>4</v>
      </c>
    </row>
    <row r="260" spans="1:8" x14ac:dyDescent="0.15">
      <c r="A260" s="4">
        <v>200.01052999999999</v>
      </c>
      <c r="B260" s="4">
        <v>110</v>
      </c>
      <c r="C260" s="4">
        <v>0.30979000000000001</v>
      </c>
      <c r="D260" s="4">
        <v>99.435130000000001</v>
      </c>
      <c r="E260" s="4">
        <v>20</v>
      </c>
      <c r="F260" s="4">
        <v>80</v>
      </c>
      <c r="G260" s="4">
        <v>1</v>
      </c>
      <c r="H260" s="1">
        <v>4</v>
      </c>
    </row>
    <row r="261" spans="1:8" x14ac:dyDescent="0.15">
      <c r="A261" s="4">
        <v>199.99806000000001</v>
      </c>
      <c r="B261" s="4">
        <v>110.5</v>
      </c>
      <c r="C261" s="4">
        <v>0.30856</v>
      </c>
      <c r="D261" s="4">
        <v>99.371200000000002</v>
      </c>
      <c r="E261" s="4">
        <v>20</v>
      </c>
      <c r="F261" s="4">
        <v>80</v>
      </c>
      <c r="G261" s="4">
        <v>1</v>
      </c>
      <c r="H261" s="1">
        <v>4</v>
      </c>
    </row>
    <row r="262" spans="1:8" x14ac:dyDescent="0.15">
      <c r="A262" s="4">
        <v>199.98267000000001</v>
      </c>
      <c r="B262" s="4">
        <v>111</v>
      </c>
      <c r="C262" s="4">
        <v>0.30642999999999998</v>
      </c>
      <c r="D262" s="4">
        <v>99.440899999999999</v>
      </c>
      <c r="E262" s="4">
        <v>20</v>
      </c>
      <c r="F262" s="4">
        <v>80</v>
      </c>
      <c r="G262" s="4">
        <v>1</v>
      </c>
      <c r="H262" s="1">
        <v>4</v>
      </c>
    </row>
    <row r="263" spans="1:8" x14ac:dyDescent="0.15">
      <c r="A263" s="4">
        <v>199.96880999999999</v>
      </c>
      <c r="B263" s="4">
        <v>111.5</v>
      </c>
      <c r="C263" s="4">
        <v>0.30835000000000001</v>
      </c>
      <c r="D263" s="4">
        <v>99.499219999999994</v>
      </c>
      <c r="E263" s="4">
        <v>20</v>
      </c>
      <c r="F263" s="4">
        <v>80</v>
      </c>
      <c r="G263" s="4">
        <v>1</v>
      </c>
      <c r="H263" s="1">
        <v>4</v>
      </c>
    </row>
    <row r="264" spans="1:8" x14ac:dyDescent="0.15">
      <c r="A264" s="4">
        <v>199.95649</v>
      </c>
      <c r="B264" s="4">
        <v>112</v>
      </c>
      <c r="C264" s="4">
        <v>0.30992999999999998</v>
      </c>
      <c r="D264" s="4">
        <v>99.443349999999995</v>
      </c>
      <c r="E264" s="4">
        <v>20</v>
      </c>
      <c r="F264" s="4">
        <v>80</v>
      </c>
      <c r="G264" s="4">
        <v>1</v>
      </c>
      <c r="H264" s="1">
        <v>4</v>
      </c>
    </row>
    <row r="265" spans="1:8" x14ac:dyDescent="0.15">
      <c r="A265" s="4">
        <v>199.95067</v>
      </c>
      <c r="B265" s="4">
        <v>112.5</v>
      </c>
      <c r="C265" s="4">
        <v>0.30973000000000001</v>
      </c>
      <c r="D265" s="4">
        <v>99.501919999999998</v>
      </c>
      <c r="E265" s="4">
        <v>20</v>
      </c>
      <c r="F265" s="4">
        <v>80</v>
      </c>
      <c r="G265" s="4">
        <v>1</v>
      </c>
      <c r="H265" s="1">
        <v>4</v>
      </c>
    </row>
    <row r="266" spans="1:8" x14ac:dyDescent="0.15">
      <c r="A266" s="4">
        <v>199.95032</v>
      </c>
      <c r="B266" s="4">
        <v>113</v>
      </c>
      <c r="C266" s="4">
        <v>0.31172</v>
      </c>
      <c r="D266" s="4">
        <v>99.316000000000003</v>
      </c>
      <c r="E266" s="4">
        <v>20</v>
      </c>
      <c r="F266" s="4">
        <v>80</v>
      </c>
      <c r="G266" s="4">
        <v>1</v>
      </c>
      <c r="H266" s="1">
        <v>4</v>
      </c>
    </row>
    <row r="267" spans="1:8" x14ac:dyDescent="0.15">
      <c r="A267" s="4">
        <v>199.95867999999999</v>
      </c>
      <c r="B267" s="4">
        <v>113.5</v>
      </c>
      <c r="C267" s="4">
        <v>0.31075999999999998</v>
      </c>
      <c r="D267" s="4">
        <v>99.456469999999996</v>
      </c>
      <c r="E267" s="4">
        <v>20</v>
      </c>
      <c r="F267" s="4">
        <v>80</v>
      </c>
      <c r="G267" s="4">
        <v>1</v>
      </c>
      <c r="H267" s="1">
        <v>4</v>
      </c>
    </row>
    <row r="268" spans="1:8" x14ac:dyDescent="0.15">
      <c r="A268" s="4">
        <v>199.96795</v>
      </c>
      <c r="B268" s="4">
        <v>114</v>
      </c>
      <c r="C268" s="4">
        <v>0.30908000000000002</v>
      </c>
      <c r="D268" s="4">
        <v>99.415949999999995</v>
      </c>
      <c r="E268" s="4">
        <v>20</v>
      </c>
      <c r="F268" s="4">
        <v>80</v>
      </c>
      <c r="G268" s="4">
        <v>1</v>
      </c>
      <c r="H268" s="1">
        <v>4</v>
      </c>
    </row>
    <row r="269" spans="1:8" x14ac:dyDescent="0.15">
      <c r="A269" s="4">
        <v>199.98096000000001</v>
      </c>
      <c r="B269" s="4">
        <v>114.5</v>
      </c>
      <c r="C269" s="4">
        <v>0.31006</v>
      </c>
      <c r="D269" s="4">
        <v>99.441720000000004</v>
      </c>
      <c r="E269" s="4">
        <v>20</v>
      </c>
      <c r="F269" s="4">
        <v>80</v>
      </c>
      <c r="G269" s="4">
        <v>1</v>
      </c>
      <c r="H269" s="1">
        <v>4</v>
      </c>
    </row>
    <row r="270" spans="1:8" x14ac:dyDescent="0.15">
      <c r="A270" s="4">
        <v>199.99565999999999</v>
      </c>
      <c r="B270" s="4">
        <v>115</v>
      </c>
      <c r="C270" s="4">
        <v>0.31230000000000002</v>
      </c>
      <c r="D270" s="4">
        <v>99.362979999999993</v>
      </c>
      <c r="E270" s="4">
        <v>20</v>
      </c>
      <c r="F270" s="4">
        <v>80</v>
      </c>
      <c r="G270" s="4">
        <v>1</v>
      </c>
      <c r="H270" s="1">
        <v>4</v>
      </c>
    </row>
    <row r="271" spans="1:8" x14ac:dyDescent="0.15">
      <c r="A271" s="4">
        <v>200.00665000000001</v>
      </c>
      <c r="B271" s="4">
        <v>115.5</v>
      </c>
      <c r="C271" s="4">
        <v>0.31013000000000002</v>
      </c>
      <c r="D271" s="4">
        <v>99.327359999999999</v>
      </c>
      <c r="E271" s="4">
        <v>20</v>
      </c>
      <c r="F271" s="4">
        <v>80</v>
      </c>
      <c r="G271" s="4">
        <v>1</v>
      </c>
      <c r="H271" s="1">
        <v>4</v>
      </c>
    </row>
    <row r="272" spans="1:8" x14ac:dyDescent="0.15">
      <c r="A272" s="4">
        <v>200.01414</v>
      </c>
      <c r="B272" s="4">
        <v>116</v>
      </c>
      <c r="C272" s="4">
        <v>0.30901000000000001</v>
      </c>
      <c r="D272" s="4">
        <v>99.5334</v>
      </c>
      <c r="E272" s="4">
        <v>20</v>
      </c>
      <c r="F272" s="4">
        <v>80</v>
      </c>
      <c r="G272" s="4">
        <v>1</v>
      </c>
      <c r="H272" s="1">
        <v>4</v>
      </c>
    </row>
    <row r="273" spans="1:8" x14ac:dyDescent="0.15">
      <c r="A273" s="4">
        <v>200.02218999999999</v>
      </c>
      <c r="B273" s="4">
        <v>116.5</v>
      </c>
      <c r="C273" s="4">
        <v>0.30907000000000001</v>
      </c>
      <c r="D273" s="4">
        <v>99.508780000000002</v>
      </c>
      <c r="E273" s="4">
        <v>20</v>
      </c>
      <c r="F273" s="4">
        <v>80</v>
      </c>
      <c r="G273" s="4">
        <v>1</v>
      </c>
      <c r="H273" s="1">
        <v>4</v>
      </c>
    </row>
    <row r="274" spans="1:8" x14ac:dyDescent="0.15">
      <c r="A274" s="4">
        <v>200.03205</v>
      </c>
      <c r="B274" s="4">
        <v>117</v>
      </c>
      <c r="C274" s="4">
        <v>0.31051000000000001</v>
      </c>
      <c r="D274" s="4">
        <v>99.240719999999996</v>
      </c>
      <c r="E274" s="4">
        <v>20</v>
      </c>
      <c r="F274" s="4">
        <v>80</v>
      </c>
      <c r="G274" s="4">
        <v>1</v>
      </c>
      <c r="H274" s="1">
        <v>4</v>
      </c>
    </row>
    <row r="275" spans="1:8" x14ac:dyDescent="0.15">
      <c r="A275" s="4">
        <v>200.03925000000001</v>
      </c>
      <c r="B275" s="4">
        <v>117.5</v>
      </c>
      <c r="C275" s="4">
        <v>0.30940000000000001</v>
      </c>
      <c r="D275" s="4">
        <v>99.466290000000001</v>
      </c>
      <c r="E275" s="4">
        <v>20</v>
      </c>
      <c r="F275" s="4">
        <v>80</v>
      </c>
      <c r="G275" s="4">
        <v>1</v>
      </c>
      <c r="H275" s="1">
        <v>4</v>
      </c>
    </row>
    <row r="276" spans="1:8" x14ac:dyDescent="0.15">
      <c r="A276" s="4">
        <v>200.03817000000001</v>
      </c>
      <c r="B276" s="4">
        <v>118</v>
      </c>
      <c r="C276" s="4">
        <v>0.30820999999999998</v>
      </c>
      <c r="D276" s="4">
        <v>99.35284</v>
      </c>
      <c r="E276" s="4">
        <v>20</v>
      </c>
      <c r="F276" s="4">
        <v>80</v>
      </c>
      <c r="G276" s="4">
        <v>1</v>
      </c>
      <c r="H276" s="1">
        <v>4</v>
      </c>
    </row>
    <row r="277" spans="1:8" x14ac:dyDescent="0.15">
      <c r="A277" s="4">
        <v>200.03555</v>
      </c>
      <c r="B277" s="4">
        <v>118.5</v>
      </c>
      <c r="C277" s="4">
        <v>0.30687999999999999</v>
      </c>
      <c r="D277" s="4">
        <v>99.484319999999997</v>
      </c>
      <c r="E277" s="4">
        <v>20</v>
      </c>
      <c r="F277" s="4">
        <v>80</v>
      </c>
      <c r="G277" s="4">
        <v>1</v>
      </c>
      <c r="H277" s="1">
        <v>4</v>
      </c>
    </row>
    <row r="278" spans="1:8" x14ac:dyDescent="0.15">
      <c r="A278" s="4">
        <v>200.0326</v>
      </c>
      <c r="B278" s="4">
        <v>119</v>
      </c>
      <c r="C278" s="4">
        <v>0.30474000000000001</v>
      </c>
      <c r="D278" s="4">
        <v>99.391040000000004</v>
      </c>
      <c r="E278" s="4">
        <v>20</v>
      </c>
      <c r="F278" s="4">
        <v>80</v>
      </c>
      <c r="G278" s="4">
        <v>1</v>
      </c>
      <c r="H278" s="1">
        <v>4</v>
      </c>
    </row>
    <row r="279" spans="1:8" x14ac:dyDescent="0.15">
      <c r="A279" s="4">
        <v>200.02374</v>
      </c>
      <c r="B279" s="4">
        <v>119.5</v>
      </c>
      <c r="C279" s="4">
        <v>0.30395</v>
      </c>
      <c r="D279" s="4">
        <v>99.440119999999993</v>
      </c>
      <c r="E279" s="4">
        <v>20</v>
      </c>
      <c r="F279" s="4">
        <v>80</v>
      </c>
      <c r="G279" s="4">
        <v>1</v>
      </c>
      <c r="H279" s="1">
        <v>4</v>
      </c>
    </row>
    <row r="280" spans="1:8" x14ac:dyDescent="0.15">
      <c r="A280" s="4">
        <v>200.01461</v>
      </c>
      <c r="B280" s="4">
        <v>120</v>
      </c>
      <c r="C280" s="4">
        <v>0.30628</v>
      </c>
      <c r="D280" s="4">
        <v>99.333830000000006</v>
      </c>
      <c r="E280" s="4">
        <v>20</v>
      </c>
      <c r="F280" s="4">
        <v>80</v>
      </c>
      <c r="G280" s="4">
        <v>1</v>
      </c>
      <c r="H280" s="1">
        <v>4</v>
      </c>
    </row>
    <row r="281" spans="1:8" x14ac:dyDescent="0.15">
      <c r="A281" s="4">
        <v>200.00743</v>
      </c>
      <c r="B281" s="4">
        <v>120.5</v>
      </c>
      <c r="C281" s="4">
        <v>0.30920999999999998</v>
      </c>
      <c r="D281" s="4">
        <v>99.520529999999994</v>
      </c>
      <c r="E281" s="4">
        <v>20</v>
      </c>
      <c r="F281" s="4">
        <v>80</v>
      </c>
      <c r="G281" s="4">
        <v>1</v>
      </c>
      <c r="H281" s="1">
        <v>4</v>
      </c>
    </row>
    <row r="282" spans="1:8" x14ac:dyDescent="0.15">
      <c r="A282" s="4">
        <v>200.00731999999999</v>
      </c>
      <c r="B282" s="4">
        <v>121</v>
      </c>
      <c r="C282" s="4">
        <v>0.31075999999999998</v>
      </c>
      <c r="D282" s="4">
        <v>99.385670000000005</v>
      </c>
      <c r="E282" s="4">
        <v>20</v>
      </c>
      <c r="F282" s="4">
        <v>80</v>
      </c>
      <c r="G282" s="4">
        <v>1</v>
      </c>
      <c r="H282" s="1">
        <v>4</v>
      </c>
    </row>
    <row r="283" spans="1:8" x14ac:dyDescent="0.15">
      <c r="A283" s="4">
        <v>200.01301000000001</v>
      </c>
      <c r="B283" s="4">
        <v>121.5</v>
      </c>
      <c r="C283" s="4">
        <v>0.30734</v>
      </c>
      <c r="D283" s="4">
        <v>99.264570000000006</v>
      </c>
      <c r="E283" s="4">
        <v>20</v>
      </c>
      <c r="F283" s="4">
        <v>80</v>
      </c>
      <c r="G283" s="4">
        <v>1</v>
      </c>
      <c r="H283" s="1">
        <v>4</v>
      </c>
    </row>
    <row r="284" spans="1:8" x14ac:dyDescent="0.15">
      <c r="A284" s="4">
        <v>200.01859999999999</v>
      </c>
      <c r="B284" s="4">
        <v>122</v>
      </c>
      <c r="C284" s="4">
        <v>0.30434</v>
      </c>
      <c r="D284" s="4">
        <v>99.464680000000001</v>
      </c>
      <c r="E284" s="4">
        <v>20</v>
      </c>
      <c r="F284" s="4">
        <v>80</v>
      </c>
      <c r="G284" s="4">
        <v>1</v>
      </c>
      <c r="H284" s="1">
        <v>4</v>
      </c>
    </row>
    <row r="285" spans="1:8" x14ac:dyDescent="0.15">
      <c r="A285" s="4">
        <v>200.01899</v>
      </c>
      <c r="B285" s="4">
        <v>122.5</v>
      </c>
      <c r="C285" s="4">
        <v>0.29897000000000001</v>
      </c>
      <c r="D285" s="4">
        <v>99.418629999999993</v>
      </c>
      <c r="E285" s="4">
        <v>20</v>
      </c>
      <c r="F285" s="4">
        <v>80</v>
      </c>
      <c r="G285" s="4">
        <v>1</v>
      </c>
      <c r="H285" s="1">
        <v>4</v>
      </c>
    </row>
    <row r="286" spans="1:8" x14ac:dyDescent="0.15">
      <c r="A286" s="4">
        <v>200.01349999999999</v>
      </c>
      <c r="B286" s="4">
        <v>123</v>
      </c>
      <c r="C286" s="4">
        <v>0.29716999999999999</v>
      </c>
      <c r="D286" s="4">
        <v>99.350290000000001</v>
      </c>
      <c r="E286" s="4">
        <v>20</v>
      </c>
      <c r="F286" s="4">
        <v>80</v>
      </c>
      <c r="G286" s="4">
        <v>1</v>
      </c>
      <c r="H286" s="1">
        <v>4</v>
      </c>
    </row>
    <row r="287" spans="1:8" x14ac:dyDescent="0.15">
      <c r="A287" s="4">
        <v>200.01330999999999</v>
      </c>
      <c r="B287" s="4">
        <v>123.5</v>
      </c>
      <c r="C287" s="4">
        <v>0.2994</v>
      </c>
      <c r="D287" s="4">
        <v>99.480459999999994</v>
      </c>
      <c r="E287" s="4">
        <v>20</v>
      </c>
      <c r="F287" s="4">
        <v>80</v>
      </c>
      <c r="G287" s="4">
        <v>1</v>
      </c>
      <c r="H287" s="1">
        <v>4</v>
      </c>
    </row>
    <row r="288" spans="1:8" x14ac:dyDescent="0.15">
      <c r="A288" s="4">
        <v>200.03753</v>
      </c>
      <c r="B288" s="4">
        <v>124</v>
      </c>
      <c r="C288" s="4">
        <v>0.31157000000000001</v>
      </c>
      <c r="D288" s="4">
        <v>99.533779999999993</v>
      </c>
      <c r="E288" s="4">
        <v>20</v>
      </c>
      <c r="F288" s="4">
        <v>80</v>
      </c>
      <c r="G288" s="4">
        <v>1</v>
      </c>
      <c r="H288" s="1">
        <v>4</v>
      </c>
    </row>
    <row r="289" spans="1:8" x14ac:dyDescent="0.15">
      <c r="A289" s="4">
        <v>200.07830000000001</v>
      </c>
      <c r="B289" s="4">
        <v>124.5</v>
      </c>
      <c r="C289" s="4">
        <v>0.31281999999999999</v>
      </c>
      <c r="D289" s="4">
        <v>99.477729999999994</v>
      </c>
      <c r="E289" s="4">
        <v>20</v>
      </c>
      <c r="F289" s="4">
        <v>80</v>
      </c>
      <c r="G289" s="4">
        <v>1</v>
      </c>
      <c r="H289" s="1">
        <v>4</v>
      </c>
    </row>
    <row r="290" spans="1:8" x14ac:dyDescent="0.15">
      <c r="A290" s="4">
        <v>200.11425</v>
      </c>
      <c r="B290" s="4">
        <v>125</v>
      </c>
      <c r="C290" s="4">
        <v>0.30553000000000002</v>
      </c>
      <c r="D290" s="4">
        <v>99.368600000000001</v>
      </c>
      <c r="E290" s="4">
        <v>20</v>
      </c>
      <c r="F290" s="4">
        <v>80</v>
      </c>
      <c r="G290" s="4">
        <v>1</v>
      </c>
      <c r="H290" s="1">
        <v>4</v>
      </c>
    </row>
    <row r="291" spans="1:8" x14ac:dyDescent="0.15">
      <c r="A291" s="4">
        <v>200.13558</v>
      </c>
      <c r="B291" s="4">
        <v>125.5</v>
      </c>
      <c r="C291" s="4">
        <v>0.30104999999999998</v>
      </c>
      <c r="D291" s="4">
        <v>99.348489999999998</v>
      </c>
      <c r="E291" s="4">
        <v>20</v>
      </c>
      <c r="F291" s="4">
        <v>80</v>
      </c>
      <c r="G291" s="4">
        <v>1</v>
      </c>
      <c r="H291" s="1">
        <v>4</v>
      </c>
    </row>
    <row r="292" spans="1:8" x14ac:dyDescent="0.15">
      <c r="A292" s="4">
        <v>200.13667000000001</v>
      </c>
      <c r="B292" s="4">
        <v>126</v>
      </c>
      <c r="C292" s="4">
        <v>0.29260999999999998</v>
      </c>
      <c r="D292" s="4">
        <v>99.371110000000002</v>
      </c>
      <c r="E292" s="4">
        <v>20</v>
      </c>
      <c r="F292" s="4">
        <v>80</v>
      </c>
      <c r="G292" s="4">
        <v>1</v>
      </c>
      <c r="H292" s="1">
        <v>4</v>
      </c>
    </row>
    <row r="293" spans="1:8" x14ac:dyDescent="0.15">
      <c r="A293" s="4">
        <v>200.11429999999999</v>
      </c>
      <c r="B293" s="4">
        <v>126.5</v>
      </c>
      <c r="C293" s="4">
        <v>0.28573999999999999</v>
      </c>
      <c r="D293" s="4">
        <v>99.505250000000004</v>
      </c>
      <c r="E293" s="4">
        <v>20</v>
      </c>
      <c r="F293" s="4">
        <v>80</v>
      </c>
      <c r="G293" s="4">
        <v>1</v>
      </c>
      <c r="H293" s="1">
        <v>4</v>
      </c>
    </row>
    <row r="294" spans="1:8" x14ac:dyDescent="0.15">
      <c r="A294" s="4">
        <v>200.07680999999999</v>
      </c>
      <c r="B294" s="4">
        <v>127</v>
      </c>
      <c r="C294" s="4">
        <v>0.28658</v>
      </c>
      <c r="D294" s="4">
        <v>99.355400000000003</v>
      </c>
      <c r="E294" s="4">
        <v>20</v>
      </c>
      <c r="F294" s="4">
        <v>80</v>
      </c>
      <c r="G294" s="4">
        <v>1</v>
      </c>
      <c r="H294" s="1">
        <v>4</v>
      </c>
    </row>
    <row r="295" spans="1:8" x14ac:dyDescent="0.15">
      <c r="A295" s="4">
        <v>200.03979000000001</v>
      </c>
      <c r="B295" s="4">
        <v>127.5</v>
      </c>
      <c r="C295" s="4">
        <v>0.28814000000000001</v>
      </c>
      <c r="D295" s="4">
        <v>99.273989999999998</v>
      </c>
      <c r="E295" s="4">
        <v>20</v>
      </c>
      <c r="F295" s="4">
        <v>80</v>
      </c>
      <c r="G295" s="4">
        <v>1</v>
      </c>
      <c r="H295" s="1">
        <v>4</v>
      </c>
    </row>
    <row r="296" spans="1:8" x14ac:dyDescent="0.15">
      <c r="A296" s="4">
        <v>200.01085</v>
      </c>
      <c r="B296" s="4">
        <v>128</v>
      </c>
      <c r="C296" s="4">
        <v>0.28917999999999999</v>
      </c>
      <c r="D296" s="4">
        <v>99.279719999999998</v>
      </c>
      <c r="E296" s="4">
        <v>20</v>
      </c>
      <c r="F296" s="4">
        <v>80</v>
      </c>
      <c r="G296" s="4">
        <v>1</v>
      </c>
      <c r="H296" s="1">
        <v>4</v>
      </c>
    </row>
    <row r="297" spans="1:8" x14ac:dyDescent="0.15">
      <c r="A297" s="4">
        <v>200.03054</v>
      </c>
      <c r="B297" s="4">
        <v>128.5</v>
      </c>
      <c r="C297" s="4">
        <v>0.31412000000000001</v>
      </c>
      <c r="D297" s="4">
        <v>99.469589999999997</v>
      </c>
      <c r="E297" s="4">
        <v>20</v>
      </c>
      <c r="F297" s="4">
        <v>80</v>
      </c>
      <c r="G297" s="4">
        <v>1</v>
      </c>
      <c r="H297" s="1">
        <v>4</v>
      </c>
    </row>
    <row r="298" spans="1:8" x14ac:dyDescent="0.15">
      <c r="A298" s="4">
        <v>200.11544000000001</v>
      </c>
      <c r="B298" s="4">
        <v>129</v>
      </c>
      <c r="C298" s="4">
        <v>0.33017999999999997</v>
      </c>
      <c r="D298" s="4">
        <v>99.397790000000001</v>
      </c>
      <c r="E298" s="4">
        <v>20</v>
      </c>
      <c r="F298" s="4">
        <v>80</v>
      </c>
      <c r="G298" s="4">
        <v>1</v>
      </c>
      <c r="H298" s="1">
        <v>4</v>
      </c>
    </row>
    <row r="299" spans="1:8" x14ac:dyDescent="0.15">
      <c r="A299" s="4">
        <v>200.21648999999999</v>
      </c>
      <c r="B299" s="4">
        <v>129.5</v>
      </c>
      <c r="C299" s="4">
        <v>0.32357999999999998</v>
      </c>
      <c r="D299" s="4">
        <v>99.416340000000005</v>
      </c>
      <c r="E299" s="4">
        <v>20</v>
      </c>
      <c r="F299" s="4">
        <v>80</v>
      </c>
      <c r="G299" s="4">
        <v>1</v>
      </c>
      <c r="H299" s="1">
        <v>4</v>
      </c>
    </row>
    <row r="300" spans="1:8" x14ac:dyDescent="0.15">
      <c r="A300" s="4">
        <v>200.29198</v>
      </c>
      <c r="B300" s="4">
        <v>130</v>
      </c>
      <c r="C300" s="4">
        <v>0.30218</v>
      </c>
      <c r="D300" s="4">
        <v>99.519829999999999</v>
      </c>
      <c r="E300" s="4">
        <v>20</v>
      </c>
      <c r="F300" s="4">
        <v>80</v>
      </c>
      <c r="G300" s="4">
        <v>1</v>
      </c>
      <c r="H300" s="1">
        <v>4</v>
      </c>
    </row>
    <row r="301" spans="1:8" x14ac:dyDescent="0.15">
      <c r="A301" s="4">
        <v>200.31068999999999</v>
      </c>
      <c r="B301" s="4">
        <v>130.5</v>
      </c>
      <c r="C301" s="4">
        <v>0.28298000000000001</v>
      </c>
      <c r="D301" s="4">
        <v>99.318209999999993</v>
      </c>
      <c r="E301" s="4">
        <v>20</v>
      </c>
      <c r="F301" s="4">
        <v>80</v>
      </c>
      <c r="G301" s="4">
        <v>1</v>
      </c>
      <c r="H301" s="1">
        <v>4</v>
      </c>
    </row>
    <row r="302" spans="1:8" x14ac:dyDescent="0.15">
      <c r="A302" s="4">
        <v>200.27090999999999</v>
      </c>
      <c r="B302" s="4">
        <v>131</v>
      </c>
      <c r="C302" s="4">
        <v>0.27160000000000001</v>
      </c>
      <c r="D302" s="4">
        <v>99.379199999999997</v>
      </c>
      <c r="E302" s="4">
        <v>20</v>
      </c>
      <c r="F302" s="4">
        <v>80</v>
      </c>
      <c r="G302" s="4">
        <v>1</v>
      </c>
      <c r="H302" s="1">
        <v>4</v>
      </c>
    </row>
    <row r="303" spans="1:8" x14ac:dyDescent="0.15">
      <c r="A303" s="4">
        <v>200.20401000000001</v>
      </c>
      <c r="B303" s="4">
        <v>131.5</v>
      </c>
      <c r="C303" s="4">
        <v>0.27228999999999998</v>
      </c>
      <c r="D303" s="4">
        <v>99.306650000000005</v>
      </c>
      <c r="E303" s="4">
        <v>20</v>
      </c>
      <c r="F303" s="4">
        <v>80</v>
      </c>
      <c r="G303" s="4">
        <v>1</v>
      </c>
      <c r="H303" s="1">
        <v>4</v>
      </c>
    </row>
    <row r="304" spans="1:8" x14ac:dyDescent="0.15">
      <c r="A304" s="4">
        <v>200.13284999999999</v>
      </c>
      <c r="B304" s="4">
        <v>132</v>
      </c>
      <c r="C304" s="4">
        <v>0.27850000000000003</v>
      </c>
      <c r="D304" s="4">
        <v>99.276110000000003</v>
      </c>
      <c r="E304" s="4">
        <v>20</v>
      </c>
      <c r="F304" s="4">
        <v>80</v>
      </c>
      <c r="G304" s="4">
        <v>1</v>
      </c>
      <c r="H304" s="1">
        <v>4</v>
      </c>
    </row>
    <row r="305" spans="1:8" x14ac:dyDescent="0.15">
      <c r="A305" s="4">
        <v>200.07400000000001</v>
      </c>
      <c r="B305" s="4">
        <v>132.5</v>
      </c>
      <c r="C305" s="4">
        <v>0.28671000000000002</v>
      </c>
      <c r="D305" s="4">
        <v>99.393659999999997</v>
      </c>
      <c r="E305" s="4">
        <v>20</v>
      </c>
      <c r="F305" s="4">
        <v>80</v>
      </c>
      <c r="G305" s="4">
        <v>1</v>
      </c>
      <c r="H305" s="1">
        <v>4</v>
      </c>
    </row>
    <row r="306" spans="1:8" x14ac:dyDescent="0.15">
      <c r="A306" s="4">
        <v>200.03972999999999</v>
      </c>
      <c r="B306" s="4">
        <v>133</v>
      </c>
      <c r="C306" s="4">
        <v>0.29192000000000001</v>
      </c>
      <c r="D306" s="4">
        <v>99.391720000000007</v>
      </c>
      <c r="E306" s="4">
        <v>20</v>
      </c>
      <c r="F306" s="4">
        <v>80</v>
      </c>
      <c r="G306" s="4">
        <v>1</v>
      </c>
      <c r="H306" s="1">
        <v>4</v>
      </c>
    </row>
    <row r="307" spans="1:8" x14ac:dyDescent="0.15">
      <c r="A307" s="4">
        <v>200.03227999999999</v>
      </c>
      <c r="B307" s="4">
        <v>133.5</v>
      </c>
      <c r="C307" s="4">
        <v>0.29611999999999999</v>
      </c>
      <c r="D307" s="4">
        <v>99.32647</v>
      </c>
      <c r="E307" s="4">
        <v>20</v>
      </c>
      <c r="F307" s="4">
        <v>80</v>
      </c>
      <c r="G307" s="4">
        <v>1</v>
      </c>
      <c r="H307" s="1">
        <v>4</v>
      </c>
    </row>
    <row r="308" spans="1:8" x14ac:dyDescent="0.15">
      <c r="A308" s="4">
        <v>200.03933000000001</v>
      </c>
      <c r="B308" s="4">
        <v>134</v>
      </c>
      <c r="C308" s="4">
        <v>0.29680000000000001</v>
      </c>
      <c r="D308" s="4">
        <v>99.477720000000005</v>
      </c>
      <c r="E308" s="4">
        <v>20</v>
      </c>
      <c r="F308" s="4">
        <v>80</v>
      </c>
      <c r="G308" s="4">
        <v>1</v>
      </c>
      <c r="H308" s="1">
        <v>4</v>
      </c>
    </row>
    <row r="309" spans="1:8" x14ac:dyDescent="0.15">
      <c r="A309" s="4">
        <v>200.05081999999999</v>
      </c>
      <c r="B309" s="4">
        <v>134.5</v>
      </c>
      <c r="C309" s="4">
        <v>0.29581000000000002</v>
      </c>
      <c r="D309" s="4">
        <v>99.255200000000002</v>
      </c>
      <c r="E309" s="4">
        <v>20</v>
      </c>
      <c r="F309" s="4">
        <v>80</v>
      </c>
      <c r="G309" s="4">
        <v>1</v>
      </c>
      <c r="H309" s="1">
        <v>4</v>
      </c>
    </row>
    <row r="310" spans="1:8" x14ac:dyDescent="0.15">
      <c r="A310" s="4">
        <v>200.06577999999999</v>
      </c>
      <c r="B310" s="4">
        <v>135</v>
      </c>
      <c r="C310" s="4">
        <v>0.29299999999999998</v>
      </c>
      <c r="D310" s="4">
        <v>99.345849999999999</v>
      </c>
      <c r="E310" s="4">
        <v>20</v>
      </c>
      <c r="F310" s="4">
        <v>80</v>
      </c>
      <c r="G310" s="4">
        <v>1</v>
      </c>
      <c r="H310" s="1">
        <v>4</v>
      </c>
    </row>
    <row r="311" spans="1:8" x14ac:dyDescent="0.15">
      <c r="A311" s="4">
        <v>200.07711</v>
      </c>
      <c r="B311" s="4">
        <v>135.5</v>
      </c>
      <c r="C311" s="4">
        <v>0.29141</v>
      </c>
      <c r="D311" s="4">
        <v>99.225099999999998</v>
      </c>
      <c r="E311" s="4">
        <v>20</v>
      </c>
      <c r="F311" s="4">
        <v>80</v>
      </c>
      <c r="G311" s="4">
        <v>1</v>
      </c>
      <c r="H311" s="1">
        <v>4</v>
      </c>
    </row>
    <row r="312" spans="1:8" x14ac:dyDescent="0.15">
      <c r="A312" s="4">
        <v>200.08485999999999</v>
      </c>
      <c r="B312" s="4">
        <v>136</v>
      </c>
      <c r="C312" s="4">
        <v>0.29215999999999998</v>
      </c>
      <c r="D312" s="4">
        <v>99.356669999999994</v>
      </c>
      <c r="E312" s="4">
        <v>20</v>
      </c>
      <c r="F312" s="4">
        <v>80</v>
      </c>
      <c r="G312" s="4">
        <v>1</v>
      </c>
      <c r="H312" s="1">
        <v>4</v>
      </c>
    </row>
    <row r="313" spans="1:8" x14ac:dyDescent="0.15">
      <c r="A313" s="4">
        <v>200.08894000000001</v>
      </c>
      <c r="B313" s="4">
        <v>136.5</v>
      </c>
      <c r="C313" s="4">
        <v>0.29024</v>
      </c>
      <c r="D313" s="4">
        <v>99.451549999999997</v>
      </c>
      <c r="E313" s="4">
        <v>20</v>
      </c>
      <c r="F313" s="4">
        <v>80</v>
      </c>
      <c r="G313" s="4">
        <v>1</v>
      </c>
      <c r="H313" s="1">
        <v>4</v>
      </c>
    </row>
    <row r="314" spans="1:8" x14ac:dyDescent="0.15">
      <c r="A314" s="4">
        <v>200.09338</v>
      </c>
      <c r="B314" s="4">
        <v>137</v>
      </c>
      <c r="C314" s="4">
        <v>0.29094999999999999</v>
      </c>
      <c r="D314" s="4">
        <v>99.343389999999999</v>
      </c>
      <c r="E314" s="4">
        <v>20</v>
      </c>
      <c r="F314" s="4">
        <v>80</v>
      </c>
      <c r="G314" s="4">
        <v>1</v>
      </c>
      <c r="H314" s="1">
        <v>4</v>
      </c>
    </row>
    <row r="315" spans="1:8" x14ac:dyDescent="0.15">
      <c r="A315" s="4">
        <v>200.10256000000001</v>
      </c>
      <c r="B315" s="4">
        <v>137.5</v>
      </c>
      <c r="C315" s="4">
        <v>0.29116999999999998</v>
      </c>
      <c r="D315" s="4">
        <v>99.352639999999994</v>
      </c>
      <c r="E315" s="4">
        <v>20</v>
      </c>
      <c r="F315" s="4">
        <v>80</v>
      </c>
      <c r="G315" s="4">
        <v>1</v>
      </c>
      <c r="H315" s="1">
        <v>4</v>
      </c>
    </row>
    <row r="316" spans="1:8" x14ac:dyDescent="0.15">
      <c r="A316" s="4">
        <v>200.11194</v>
      </c>
      <c r="B316" s="4">
        <v>138</v>
      </c>
      <c r="C316" s="4">
        <v>0.29208000000000001</v>
      </c>
      <c r="D316" s="4">
        <v>99.329710000000006</v>
      </c>
      <c r="E316" s="4">
        <v>20</v>
      </c>
      <c r="F316" s="4">
        <v>80</v>
      </c>
      <c r="G316" s="4">
        <v>1</v>
      </c>
      <c r="H316" s="1">
        <v>4</v>
      </c>
    </row>
    <row r="317" spans="1:8" x14ac:dyDescent="0.15">
      <c r="A317" s="4">
        <v>200.12051</v>
      </c>
      <c r="B317" s="4">
        <v>138.5</v>
      </c>
      <c r="C317" s="4">
        <v>0.29038000000000003</v>
      </c>
      <c r="D317" s="4">
        <v>99.400260000000003</v>
      </c>
      <c r="E317" s="4">
        <v>20</v>
      </c>
      <c r="F317" s="4">
        <v>80</v>
      </c>
      <c r="G317" s="4">
        <v>1</v>
      </c>
      <c r="H317" s="1">
        <v>4</v>
      </c>
    </row>
    <row r="318" spans="1:8" x14ac:dyDescent="0.15">
      <c r="A318" s="4">
        <v>200.12656000000001</v>
      </c>
      <c r="B318" s="4">
        <v>139</v>
      </c>
      <c r="C318" s="4">
        <v>0.29055999999999998</v>
      </c>
      <c r="D318" s="4">
        <v>99.387360000000001</v>
      </c>
      <c r="E318" s="4">
        <v>20</v>
      </c>
      <c r="F318" s="4">
        <v>80</v>
      </c>
      <c r="G318" s="4">
        <v>1</v>
      </c>
      <c r="H318" s="1">
        <v>4</v>
      </c>
    </row>
    <row r="319" spans="1:8" x14ac:dyDescent="0.15">
      <c r="A319" s="4">
        <v>200.13069999999999</v>
      </c>
      <c r="B319" s="4">
        <v>139.5</v>
      </c>
      <c r="C319" s="4">
        <v>0.28993000000000002</v>
      </c>
      <c r="D319" s="4">
        <v>99.41619</v>
      </c>
      <c r="E319" s="4">
        <v>20</v>
      </c>
      <c r="F319" s="4">
        <v>80</v>
      </c>
      <c r="G319" s="4">
        <v>1</v>
      </c>
      <c r="H319" s="1">
        <v>4</v>
      </c>
    </row>
    <row r="320" spans="1:8" x14ac:dyDescent="0.15">
      <c r="A320" s="4">
        <v>200.13312999999999</v>
      </c>
      <c r="B320" s="4">
        <v>140</v>
      </c>
      <c r="C320" s="4">
        <v>0.28915999999999997</v>
      </c>
      <c r="D320" s="4">
        <v>99.441800000000001</v>
      </c>
      <c r="E320" s="4">
        <v>20</v>
      </c>
      <c r="F320" s="4">
        <v>80</v>
      </c>
      <c r="G320" s="4">
        <v>1</v>
      </c>
      <c r="H320" s="1">
        <v>4</v>
      </c>
    </row>
    <row r="321" spans="1:8" x14ac:dyDescent="0.15">
      <c r="A321" s="4">
        <v>200.13305</v>
      </c>
      <c r="B321" s="4">
        <v>140.5</v>
      </c>
      <c r="C321" s="4">
        <v>0.28947000000000001</v>
      </c>
      <c r="D321" s="4">
        <v>99.332939999999994</v>
      </c>
      <c r="E321" s="4">
        <v>20</v>
      </c>
      <c r="F321" s="4">
        <v>80</v>
      </c>
      <c r="G321" s="4">
        <v>1</v>
      </c>
      <c r="H321" s="1">
        <v>4</v>
      </c>
    </row>
    <row r="322" spans="1:8" x14ac:dyDescent="0.15">
      <c r="A322" s="4">
        <v>200.13570999999999</v>
      </c>
      <c r="B322" s="4">
        <v>141</v>
      </c>
      <c r="C322" s="4">
        <v>0.28942000000000001</v>
      </c>
      <c r="D322" s="4">
        <v>99.339359999999999</v>
      </c>
      <c r="E322" s="4">
        <v>20</v>
      </c>
      <c r="F322" s="4">
        <v>80</v>
      </c>
      <c r="G322" s="4">
        <v>1</v>
      </c>
      <c r="H322" s="1">
        <v>4</v>
      </c>
    </row>
    <row r="323" spans="1:8" x14ac:dyDescent="0.15">
      <c r="A323" s="4">
        <v>200.13591</v>
      </c>
      <c r="B323" s="4">
        <v>141.5</v>
      </c>
      <c r="C323" s="4">
        <v>0.28904999999999997</v>
      </c>
      <c r="D323" s="4">
        <v>99.329700000000003</v>
      </c>
      <c r="E323" s="4">
        <v>20</v>
      </c>
      <c r="F323" s="4">
        <v>80</v>
      </c>
      <c r="G323" s="4">
        <v>1</v>
      </c>
      <c r="H323" s="1">
        <v>4</v>
      </c>
    </row>
    <row r="324" spans="1:8" x14ac:dyDescent="0.15">
      <c r="A324" s="4">
        <v>200.13065</v>
      </c>
      <c r="B324" s="4">
        <v>142</v>
      </c>
      <c r="C324" s="4">
        <v>0.28689999999999999</v>
      </c>
      <c r="D324" s="4">
        <v>99.392880000000005</v>
      </c>
      <c r="E324" s="4">
        <v>20</v>
      </c>
      <c r="F324" s="4">
        <v>80</v>
      </c>
      <c r="G324" s="4">
        <v>1</v>
      </c>
      <c r="H324" s="1">
        <v>4</v>
      </c>
    </row>
    <row r="325" spans="1:8" x14ac:dyDescent="0.15">
      <c r="A325" s="4">
        <v>200.11534</v>
      </c>
      <c r="B325" s="4">
        <v>142.5</v>
      </c>
      <c r="C325" s="4">
        <v>0.28481000000000001</v>
      </c>
      <c r="D325" s="4">
        <v>99.352980000000002</v>
      </c>
      <c r="E325" s="4">
        <v>20</v>
      </c>
      <c r="F325" s="4">
        <v>80</v>
      </c>
      <c r="G325" s="4">
        <v>1</v>
      </c>
      <c r="H325" s="1">
        <v>4</v>
      </c>
    </row>
    <row r="326" spans="1:8" x14ac:dyDescent="0.15">
      <c r="A326" s="4">
        <v>200.10140999999999</v>
      </c>
      <c r="B326" s="4">
        <v>143</v>
      </c>
      <c r="C326" s="4">
        <v>0.28466000000000002</v>
      </c>
      <c r="D326" s="4">
        <v>99.417580000000001</v>
      </c>
      <c r="E326" s="4">
        <v>20</v>
      </c>
      <c r="F326" s="4">
        <v>80</v>
      </c>
      <c r="G326" s="4">
        <v>1</v>
      </c>
      <c r="H326" s="1">
        <v>4</v>
      </c>
    </row>
    <row r="327" spans="1:8" x14ac:dyDescent="0.15">
      <c r="A327" s="4">
        <v>200.09157999999999</v>
      </c>
      <c r="B327" s="4">
        <v>143.5</v>
      </c>
      <c r="C327" s="4">
        <v>0.28599000000000002</v>
      </c>
      <c r="D327" s="4">
        <v>99.383409999999998</v>
      </c>
      <c r="E327" s="4">
        <v>20</v>
      </c>
      <c r="F327" s="4">
        <v>80</v>
      </c>
      <c r="G327" s="4">
        <v>1</v>
      </c>
      <c r="H327" s="1">
        <v>4</v>
      </c>
    </row>
    <row r="328" spans="1:8" x14ac:dyDescent="0.15">
      <c r="A328" s="4">
        <v>200.09075000000001</v>
      </c>
      <c r="B328" s="4">
        <v>144</v>
      </c>
      <c r="C328" s="4">
        <v>0.28756999999999999</v>
      </c>
      <c r="D328" s="4">
        <v>99.311809999999994</v>
      </c>
      <c r="E328" s="4">
        <v>20</v>
      </c>
      <c r="F328" s="4">
        <v>80</v>
      </c>
      <c r="G328" s="4">
        <v>1</v>
      </c>
      <c r="H328" s="1">
        <v>4</v>
      </c>
    </row>
    <row r="329" spans="1:8" x14ac:dyDescent="0.15">
      <c r="A329" s="4">
        <v>200.09372999999999</v>
      </c>
      <c r="B329" s="4">
        <v>144.5</v>
      </c>
      <c r="C329" s="4">
        <v>0.28933999999999999</v>
      </c>
      <c r="D329" s="4">
        <v>99.276849999999996</v>
      </c>
      <c r="E329" s="4">
        <v>20</v>
      </c>
      <c r="F329" s="4">
        <v>80</v>
      </c>
      <c r="G329" s="4">
        <v>1</v>
      </c>
      <c r="H329" s="1">
        <v>4</v>
      </c>
    </row>
    <row r="330" spans="1:8" x14ac:dyDescent="0.15">
      <c r="A330" s="4">
        <v>200.09936999999999</v>
      </c>
      <c r="B330" s="4">
        <v>145</v>
      </c>
      <c r="C330" s="4">
        <v>0.28972999999999999</v>
      </c>
      <c r="D330" s="4">
        <v>99.396799999999999</v>
      </c>
      <c r="E330" s="4">
        <v>20</v>
      </c>
      <c r="F330" s="4">
        <v>80</v>
      </c>
      <c r="G330" s="4">
        <v>1</v>
      </c>
      <c r="H330" s="1">
        <v>4</v>
      </c>
    </row>
    <row r="331" spans="1:8" x14ac:dyDescent="0.15">
      <c r="A331" s="4">
        <v>200.10396</v>
      </c>
      <c r="B331" s="4">
        <v>145.5</v>
      </c>
      <c r="C331" s="4">
        <v>0.28772999999999999</v>
      </c>
      <c r="D331" s="4">
        <v>99.304119999999998</v>
      </c>
      <c r="E331" s="4">
        <v>20</v>
      </c>
      <c r="F331" s="4">
        <v>80</v>
      </c>
      <c r="G331" s="4">
        <v>1</v>
      </c>
      <c r="H331" s="1">
        <v>4</v>
      </c>
    </row>
    <row r="332" spans="1:8" x14ac:dyDescent="0.15">
      <c r="A332" s="4">
        <v>200.11108999999999</v>
      </c>
      <c r="B332" s="4">
        <v>146</v>
      </c>
      <c r="C332" s="4">
        <v>0.28659000000000001</v>
      </c>
      <c r="D332" s="4">
        <v>99.32902</v>
      </c>
      <c r="E332" s="4">
        <v>20</v>
      </c>
      <c r="F332" s="4">
        <v>80</v>
      </c>
      <c r="G332" s="4">
        <v>1</v>
      </c>
      <c r="H332" s="1">
        <v>4</v>
      </c>
    </row>
    <row r="333" spans="1:8" x14ac:dyDescent="0.15">
      <c r="A333" s="4">
        <v>200.11355</v>
      </c>
      <c r="B333" s="4">
        <v>146.5</v>
      </c>
      <c r="C333" s="4">
        <v>0.28438999999999998</v>
      </c>
      <c r="D333" s="4">
        <v>99.441999999999993</v>
      </c>
      <c r="E333" s="4">
        <v>20</v>
      </c>
      <c r="F333" s="4">
        <v>80</v>
      </c>
      <c r="G333" s="4">
        <v>1</v>
      </c>
      <c r="H333" s="1">
        <v>4</v>
      </c>
    </row>
    <row r="334" spans="1:8" x14ac:dyDescent="0.15">
      <c r="A334" s="4">
        <v>200.1105</v>
      </c>
      <c r="B334" s="4">
        <v>147</v>
      </c>
      <c r="C334" s="4">
        <v>0.28515000000000001</v>
      </c>
      <c r="D334" s="4">
        <v>99.353849999999994</v>
      </c>
      <c r="E334" s="4">
        <v>20</v>
      </c>
      <c r="F334" s="4">
        <v>80</v>
      </c>
      <c r="G334" s="4">
        <v>1</v>
      </c>
      <c r="H334" s="1">
        <v>4</v>
      </c>
    </row>
    <row r="335" spans="1:8" x14ac:dyDescent="0.15">
      <c r="A335" s="4">
        <v>200.11239</v>
      </c>
      <c r="B335" s="4">
        <v>147.5</v>
      </c>
      <c r="C335" s="4">
        <v>0.28434999999999999</v>
      </c>
      <c r="D335" s="4">
        <v>99.495670000000004</v>
      </c>
      <c r="E335" s="4">
        <v>20</v>
      </c>
      <c r="F335" s="4">
        <v>80</v>
      </c>
      <c r="G335" s="4">
        <v>1</v>
      </c>
      <c r="H335" s="1">
        <v>4</v>
      </c>
    </row>
    <row r="336" spans="1:8" x14ac:dyDescent="0.15">
      <c r="A336" s="4">
        <v>200.10712000000001</v>
      </c>
      <c r="B336" s="4">
        <v>148</v>
      </c>
      <c r="C336" s="4">
        <v>0.28266000000000002</v>
      </c>
      <c r="D336" s="4">
        <v>99.424490000000006</v>
      </c>
      <c r="E336" s="4">
        <v>20</v>
      </c>
      <c r="F336" s="4">
        <v>80</v>
      </c>
      <c r="G336" s="4">
        <v>1</v>
      </c>
      <c r="H336" s="1">
        <v>4</v>
      </c>
    </row>
    <row r="337" spans="1:8" x14ac:dyDescent="0.15">
      <c r="A337" s="4">
        <v>200.10068999999999</v>
      </c>
      <c r="B337" s="4">
        <v>148.5</v>
      </c>
      <c r="C337" s="4">
        <v>0.28373999999999999</v>
      </c>
      <c r="D337" s="4">
        <v>99.376400000000004</v>
      </c>
      <c r="E337" s="4">
        <v>20</v>
      </c>
      <c r="F337" s="4">
        <v>80</v>
      </c>
      <c r="G337" s="4">
        <v>1</v>
      </c>
      <c r="H337" s="1">
        <v>4</v>
      </c>
    </row>
    <row r="338" spans="1:8" x14ac:dyDescent="0.15">
      <c r="A338" s="4">
        <v>200.09286</v>
      </c>
      <c r="B338" s="4">
        <v>149</v>
      </c>
      <c r="C338" s="4">
        <v>0.28347</v>
      </c>
      <c r="D338" s="4">
        <v>99.487290000000002</v>
      </c>
      <c r="E338" s="4">
        <v>20</v>
      </c>
      <c r="F338" s="4">
        <v>80</v>
      </c>
      <c r="G338" s="4">
        <v>1</v>
      </c>
      <c r="H338" s="1">
        <v>4</v>
      </c>
    </row>
    <row r="339" spans="1:8" x14ac:dyDescent="0.15">
      <c r="A339" s="4">
        <v>200.08356000000001</v>
      </c>
      <c r="B339" s="4">
        <v>149.5</v>
      </c>
      <c r="C339" s="4">
        <v>0.28143000000000001</v>
      </c>
      <c r="D339" s="4">
        <v>99.261129999999994</v>
      </c>
      <c r="E339" s="4">
        <v>20</v>
      </c>
      <c r="F339" s="4">
        <v>80</v>
      </c>
      <c r="G339" s="4">
        <v>1</v>
      </c>
      <c r="H339" s="1">
        <v>4</v>
      </c>
    </row>
    <row r="340" spans="1:8" x14ac:dyDescent="0.15">
      <c r="A340" s="4">
        <v>200.0761</v>
      </c>
      <c r="B340" s="4">
        <v>150</v>
      </c>
      <c r="C340" s="4">
        <v>0.28245999999999999</v>
      </c>
      <c r="D340" s="4">
        <v>99.368449999999996</v>
      </c>
      <c r="E340" s="4">
        <v>20</v>
      </c>
      <c r="F340" s="4">
        <v>80</v>
      </c>
      <c r="G340" s="4">
        <v>1</v>
      </c>
      <c r="H340" s="1">
        <v>4</v>
      </c>
    </row>
    <row r="341" spans="1:8" x14ac:dyDescent="0.15">
      <c r="A341" s="4">
        <v>200.07060999999999</v>
      </c>
      <c r="B341" s="4">
        <v>150.5</v>
      </c>
      <c r="C341" s="4">
        <v>0.28236</v>
      </c>
      <c r="D341" s="4">
        <v>99.311440000000005</v>
      </c>
      <c r="E341" s="4">
        <v>20</v>
      </c>
      <c r="F341" s="4">
        <v>80</v>
      </c>
      <c r="G341" s="4">
        <v>1</v>
      </c>
      <c r="H341" s="1">
        <v>4</v>
      </c>
    </row>
    <row r="342" spans="1:8" x14ac:dyDescent="0.15">
      <c r="A342" s="4">
        <v>200.06182000000001</v>
      </c>
      <c r="B342" s="4">
        <v>151</v>
      </c>
      <c r="C342" s="4">
        <v>0.28155999999999998</v>
      </c>
      <c r="D342" s="4">
        <v>99.372789999999995</v>
      </c>
      <c r="E342" s="4">
        <v>20</v>
      </c>
      <c r="F342" s="4">
        <v>80</v>
      </c>
      <c r="G342" s="4">
        <v>1</v>
      </c>
      <c r="H342" s="1">
        <v>4</v>
      </c>
    </row>
    <row r="343" spans="1:8" x14ac:dyDescent="0.15">
      <c r="A343" s="4">
        <v>200.05529000000001</v>
      </c>
      <c r="B343" s="4">
        <v>151.5</v>
      </c>
      <c r="C343" s="4">
        <v>0.28083000000000002</v>
      </c>
      <c r="D343" s="4">
        <v>99.238129999999998</v>
      </c>
      <c r="E343" s="4">
        <v>20</v>
      </c>
      <c r="F343" s="4">
        <v>80</v>
      </c>
      <c r="G343" s="4">
        <v>1</v>
      </c>
      <c r="H343" s="1">
        <v>4</v>
      </c>
    </row>
    <row r="344" spans="1:8" x14ac:dyDescent="0.15">
      <c r="A344" s="4">
        <v>200.0487</v>
      </c>
      <c r="B344" s="4">
        <v>152</v>
      </c>
      <c r="C344" s="4">
        <v>0.27976000000000001</v>
      </c>
      <c r="D344" s="4">
        <v>99.327579999999998</v>
      </c>
      <c r="E344" s="4">
        <v>20</v>
      </c>
      <c r="F344" s="4">
        <v>80</v>
      </c>
      <c r="G344" s="4">
        <v>1</v>
      </c>
      <c r="H344" s="1">
        <v>4</v>
      </c>
    </row>
    <row r="345" spans="1:8" x14ac:dyDescent="0.15">
      <c r="A345" s="4">
        <v>200.04442</v>
      </c>
      <c r="B345" s="4">
        <v>152.5</v>
      </c>
      <c r="C345" s="4">
        <v>0.28033999999999998</v>
      </c>
      <c r="D345" s="4">
        <v>99.400940000000006</v>
      </c>
      <c r="E345" s="4">
        <v>20</v>
      </c>
      <c r="F345" s="4">
        <v>80</v>
      </c>
      <c r="G345" s="4">
        <v>1</v>
      </c>
      <c r="H345" s="1">
        <v>4</v>
      </c>
    </row>
    <row r="346" spans="1:8" x14ac:dyDescent="0.15">
      <c r="A346" s="4">
        <v>200.03737000000001</v>
      </c>
      <c r="B346" s="4">
        <v>153</v>
      </c>
      <c r="C346" s="4">
        <v>0.27977999999999997</v>
      </c>
      <c r="D346" s="4">
        <v>99.238050000000001</v>
      </c>
      <c r="E346" s="4">
        <v>20</v>
      </c>
      <c r="F346" s="4">
        <v>80</v>
      </c>
      <c r="G346" s="4">
        <v>1</v>
      </c>
      <c r="H346" s="1">
        <v>4</v>
      </c>
    </row>
    <row r="347" spans="1:8" x14ac:dyDescent="0.15">
      <c r="A347" s="4">
        <v>200.03245000000001</v>
      </c>
      <c r="B347" s="4">
        <v>153.5</v>
      </c>
      <c r="C347" s="4">
        <v>0.28059000000000001</v>
      </c>
      <c r="D347" s="4">
        <v>99.567040000000006</v>
      </c>
      <c r="E347" s="4">
        <v>20</v>
      </c>
      <c r="F347" s="4">
        <v>80</v>
      </c>
      <c r="G347" s="4">
        <v>1</v>
      </c>
      <c r="H347" s="1">
        <v>4</v>
      </c>
    </row>
    <row r="348" spans="1:8" x14ac:dyDescent="0.15">
      <c r="A348" s="4">
        <v>200.02909</v>
      </c>
      <c r="B348" s="4">
        <v>154</v>
      </c>
      <c r="C348" s="4">
        <v>0.28205999999999998</v>
      </c>
      <c r="D348" s="4">
        <v>99.240899999999996</v>
      </c>
      <c r="E348" s="4">
        <v>20</v>
      </c>
      <c r="F348" s="4">
        <v>80</v>
      </c>
      <c r="G348" s="4">
        <v>1</v>
      </c>
      <c r="H348" s="1">
        <v>4</v>
      </c>
    </row>
    <row r="349" spans="1:8" x14ac:dyDescent="0.15">
      <c r="A349" s="4">
        <v>200.02906999999999</v>
      </c>
      <c r="B349" s="4">
        <v>154.5</v>
      </c>
      <c r="C349" s="4">
        <v>0.28062999999999999</v>
      </c>
      <c r="D349" s="4">
        <v>99.279949999999999</v>
      </c>
      <c r="E349" s="4">
        <v>20</v>
      </c>
      <c r="F349" s="4">
        <v>80</v>
      </c>
      <c r="G349" s="4">
        <v>1</v>
      </c>
      <c r="H349" s="1">
        <v>4</v>
      </c>
    </row>
    <row r="350" spans="1:8" x14ac:dyDescent="0.15">
      <c r="A350" s="4">
        <v>200.02644000000001</v>
      </c>
      <c r="B350" s="4">
        <v>155</v>
      </c>
      <c r="C350" s="4">
        <v>0.28005999999999998</v>
      </c>
      <c r="D350" s="4">
        <v>99.35324</v>
      </c>
      <c r="E350" s="4">
        <v>20</v>
      </c>
      <c r="F350" s="4">
        <v>80</v>
      </c>
      <c r="G350" s="4">
        <v>1</v>
      </c>
      <c r="H350" s="1">
        <v>4</v>
      </c>
    </row>
    <row r="351" spans="1:8" x14ac:dyDescent="0.15">
      <c r="A351" s="4">
        <v>200.02501000000001</v>
      </c>
      <c r="B351" s="4">
        <v>155.5</v>
      </c>
      <c r="C351" s="4">
        <v>0.28039999999999998</v>
      </c>
      <c r="D351" s="4">
        <v>99.384140000000002</v>
      </c>
      <c r="E351" s="4">
        <v>20</v>
      </c>
      <c r="F351" s="4">
        <v>80</v>
      </c>
      <c r="G351" s="4">
        <v>1</v>
      </c>
      <c r="H351" s="1">
        <v>4</v>
      </c>
    </row>
    <row r="352" spans="1:8" x14ac:dyDescent="0.15">
      <c r="A352" s="4">
        <v>200.02334999999999</v>
      </c>
      <c r="B352" s="4">
        <v>156</v>
      </c>
      <c r="C352" s="4">
        <v>0.27718999999999999</v>
      </c>
      <c r="D352" s="4">
        <v>99.252889999999994</v>
      </c>
      <c r="E352" s="4">
        <v>20</v>
      </c>
      <c r="F352" s="4">
        <v>80</v>
      </c>
      <c r="G352" s="4">
        <v>1</v>
      </c>
      <c r="H352" s="1">
        <v>4</v>
      </c>
    </row>
    <row r="353" spans="1:8" x14ac:dyDescent="0.15">
      <c r="A353" s="4">
        <v>200.01920000000001</v>
      </c>
      <c r="B353" s="4">
        <v>156.5</v>
      </c>
      <c r="C353" s="4">
        <v>0.27849000000000002</v>
      </c>
      <c r="D353" s="4">
        <v>99.354200000000006</v>
      </c>
      <c r="E353" s="4">
        <v>20</v>
      </c>
      <c r="F353" s="4">
        <v>80</v>
      </c>
      <c r="G353" s="4">
        <v>1</v>
      </c>
      <c r="H353" s="1">
        <v>4</v>
      </c>
    </row>
    <row r="354" spans="1:8" x14ac:dyDescent="0.15">
      <c r="A354" s="4">
        <v>200.01756</v>
      </c>
      <c r="B354" s="4">
        <v>157</v>
      </c>
      <c r="C354" s="4">
        <v>0.27989999999999998</v>
      </c>
      <c r="D354" s="4">
        <v>99.339070000000007</v>
      </c>
      <c r="E354" s="4">
        <v>20</v>
      </c>
      <c r="F354" s="4">
        <v>80</v>
      </c>
      <c r="G354" s="4">
        <v>1</v>
      </c>
      <c r="H354" s="1">
        <v>4</v>
      </c>
    </row>
    <row r="355" spans="1:8" x14ac:dyDescent="0.15">
      <c r="A355" s="4">
        <v>200.02489</v>
      </c>
      <c r="B355" s="4">
        <v>157.5</v>
      </c>
      <c r="C355" s="4">
        <v>0.28170000000000001</v>
      </c>
      <c r="D355" s="4">
        <v>99.314329999999998</v>
      </c>
      <c r="E355" s="4">
        <v>20</v>
      </c>
      <c r="F355" s="4">
        <v>80</v>
      </c>
      <c r="G355" s="4">
        <v>1</v>
      </c>
      <c r="H355" s="1">
        <v>4</v>
      </c>
    </row>
    <row r="356" spans="1:8" x14ac:dyDescent="0.15">
      <c r="A356" s="4">
        <v>200.02645000000001</v>
      </c>
      <c r="B356" s="4">
        <v>158</v>
      </c>
      <c r="C356" s="4">
        <v>0.27710000000000001</v>
      </c>
      <c r="D356" s="4">
        <v>99.271069999999995</v>
      </c>
      <c r="E356" s="4">
        <v>20</v>
      </c>
      <c r="F356" s="4">
        <v>80</v>
      </c>
      <c r="G356" s="4">
        <v>1</v>
      </c>
      <c r="H356" s="1">
        <v>4</v>
      </c>
    </row>
    <row r="357" spans="1:8" x14ac:dyDescent="0.15">
      <c r="A357" s="4">
        <v>200.00656000000001</v>
      </c>
      <c r="B357" s="4">
        <v>158.5</v>
      </c>
      <c r="C357" s="4">
        <v>0.27046999999999999</v>
      </c>
      <c r="D357" s="4">
        <v>99.414640000000006</v>
      </c>
      <c r="E357" s="4">
        <v>20</v>
      </c>
      <c r="F357" s="4">
        <v>80</v>
      </c>
      <c r="G357" s="4">
        <v>1</v>
      </c>
      <c r="H357" s="1">
        <v>4</v>
      </c>
    </row>
    <row r="358" spans="1:8" x14ac:dyDescent="0.15">
      <c r="A358" s="4">
        <v>199.97026</v>
      </c>
      <c r="B358" s="4">
        <v>159</v>
      </c>
      <c r="C358" s="4">
        <v>0.26665</v>
      </c>
      <c r="D358" s="4">
        <v>99.383930000000007</v>
      </c>
      <c r="E358" s="4">
        <v>20</v>
      </c>
      <c r="F358" s="4">
        <v>80</v>
      </c>
      <c r="G358" s="4">
        <v>1</v>
      </c>
      <c r="H358" s="1">
        <v>4</v>
      </c>
    </row>
    <row r="359" spans="1:8" x14ac:dyDescent="0.15">
      <c r="A359" s="4">
        <v>199.94150999999999</v>
      </c>
      <c r="B359" s="4">
        <v>159.5</v>
      </c>
      <c r="C359" s="4">
        <v>0.27394000000000002</v>
      </c>
      <c r="D359" s="4">
        <v>99.408199999999994</v>
      </c>
      <c r="E359" s="4">
        <v>20</v>
      </c>
      <c r="F359" s="4">
        <v>80</v>
      </c>
      <c r="G359" s="4">
        <v>1</v>
      </c>
      <c r="H359" s="1">
        <v>4</v>
      </c>
    </row>
    <row r="360" spans="1:8" x14ac:dyDescent="0.15">
      <c r="A360" s="4">
        <v>199.93315000000001</v>
      </c>
      <c r="B360" s="4">
        <v>160</v>
      </c>
      <c r="C360" s="4">
        <v>0.28148000000000001</v>
      </c>
      <c r="D360" s="4">
        <v>99.172020000000003</v>
      </c>
      <c r="E360" s="4">
        <v>20</v>
      </c>
      <c r="F360" s="4">
        <v>80</v>
      </c>
      <c r="G360" s="4">
        <v>1</v>
      </c>
      <c r="H360" s="1">
        <v>4</v>
      </c>
    </row>
    <row r="361" spans="1:8" x14ac:dyDescent="0.15">
      <c r="A361" s="4">
        <v>199.94424000000001</v>
      </c>
      <c r="B361" s="4">
        <v>160.5</v>
      </c>
      <c r="C361" s="4">
        <v>0.28619</v>
      </c>
      <c r="D361" s="4">
        <v>99.312070000000006</v>
      </c>
      <c r="E361" s="4">
        <v>20</v>
      </c>
      <c r="F361" s="4">
        <v>80</v>
      </c>
      <c r="G361" s="4">
        <v>1</v>
      </c>
      <c r="H361" s="1">
        <v>4</v>
      </c>
    </row>
    <row r="362" spans="1:8" x14ac:dyDescent="0.15">
      <c r="A362" s="4">
        <v>199.96877000000001</v>
      </c>
      <c r="B362" s="4">
        <v>161</v>
      </c>
      <c r="C362" s="4">
        <v>0.28504000000000002</v>
      </c>
      <c r="D362" s="4">
        <v>99.330920000000006</v>
      </c>
      <c r="E362" s="4">
        <v>20</v>
      </c>
      <c r="F362" s="4">
        <v>80</v>
      </c>
      <c r="G362" s="4">
        <v>1</v>
      </c>
      <c r="H362" s="1">
        <v>4</v>
      </c>
    </row>
    <row r="363" spans="1:8" x14ac:dyDescent="0.15">
      <c r="A363" s="4">
        <v>199.99533</v>
      </c>
      <c r="B363" s="4">
        <v>161.5</v>
      </c>
      <c r="C363" s="4">
        <v>0.28397</v>
      </c>
      <c r="D363" s="4">
        <v>99.336349999999996</v>
      </c>
      <c r="E363" s="4">
        <v>20</v>
      </c>
      <c r="F363" s="4">
        <v>80</v>
      </c>
      <c r="G363" s="4">
        <v>1</v>
      </c>
      <c r="H363" s="1">
        <v>4</v>
      </c>
    </row>
    <row r="364" spans="1:8" x14ac:dyDescent="0.15">
      <c r="A364" s="4">
        <v>200.01366999999999</v>
      </c>
      <c r="B364" s="4">
        <v>162</v>
      </c>
      <c r="C364" s="4">
        <v>0.27814</v>
      </c>
      <c r="D364" s="4">
        <v>99.357439999999997</v>
      </c>
      <c r="E364" s="4">
        <v>20</v>
      </c>
      <c r="F364" s="4">
        <v>80</v>
      </c>
      <c r="G364" s="4">
        <v>1</v>
      </c>
      <c r="H364" s="1">
        <v>4</v>
      </c>
    </row>
    <row r="365" spans="1:8" x14ac:dyDescent="0.15">
      <c r="A365" s="4">
        <v>200.01569000000001</v>
      </c>
      <c r="B365" s="4">
        <v>162.5</v>
      </c>
      <c r="C365" s="4">
        <v>0.27328999999999998</v>
      </c>
      <c r="D365" s="4">
        <v>99.538870000000003</v>
      </c>
      <c r="E365" s="4">
        <v>20</v>
      </c>
      <c r="F365" s="4">
        <v>80</v>
      </c>
      <c r="G365" s="4">
        <v>1</v>
      </c>
      <c r="H365" s="1">
        <v>4</v>
      </c>
    </row>
    <row r="366" spans="1:8" x14ac:dyDescent="0.15">
      <c r="A366" s="4">
        <v>200.00710000000001</v>
      </c>
      <c r="B366" s="4">
        <v>163</v>
      </c>
      <c r="C366" s="4">
        <v>0.27034000000000002</v>
      </c>
      <c r="D366" s="4">
        <v>99.262100000000004</v>
      </c>
      <c r="E366" s="4">
        <v>20</v>
      </c>
      <c r="F366" s="4">
        <v>80</v>
      </c>
      <c r="G366" s="4">
        <v>1</v>
      </c>
      <c r="H366" s="1">
        <v>4</v>
      </c>
    </row>
    <row r="367" spans="1:8" x14ac:dyDescent="0.15">
      <c r="A367" s="4">
        <v>199.99329</v>
      </c>
      <c r="B367" s="4">
        <v>163.5</v>
      </c>
      <c r="C367" s="4">
        <v>0.27178999999999998</v>
      </c>
      <c r="D367" s="4">
        <v>99.276669999999996</v>
      </c>
      <c r="E367" s="4">
        <v>20</v>
      </c>
      <c r="F367" s="4">
        <v>80</v>
      </c>
      <c r="G367" s="4">
        <v>1</v>
      </c>
      <c r="H367" s="1">
        <v>4</v>
      </c>
    </row>
    <row r="368" spans="1:8" x14ac:dyDescent="0.15">
      <c r="A368" s="4">
        <v>199.98054999999999</v>
      </c>
      <c r="B368" s="4">
        <v>164</v>
      </c>
      <c r="C368" s="4">
        <v>0.27442</v>
      </c>
      <c r="D368" s="4">
        <v>99.387569999999997</v>
      </c>
      <c r="E368" s="4">
        <v>20</v>
      </c>
      <c r="F368" s="4">
        <v>80</v>
      </c>
      <c r="G368" s="4">
        <v>1</v>
      </c>
      <c r="H368" s="1">
        <v>4</v>
      </c>
    </row>
    <row r="369" spans="1:8" x14ac:dyDescent="0.15">
      <c r="A369" s="4">
        <v>199.97911999999999</v>
      </c>
      <c r="B369" s="4">
        <v>164.5</v>
      </c>
      <c r="C369" s="4">
        <v>0.27528999999999998</v>
      </c>
      <c r="D369" s="4">
        <v>99.379739999999998</v>
      </c>
      <c r="E369" s="4">
        <v>20</v>
      </c>
      <c r="F369" s="4">
        <v>80</v>
      </c>
      <c r="G369" s="4">
        <v>1</v>
      </c>
      <c r="H369" s="1">
        <v>4</v>
      </c>
    </row>
    <row r="370" spans="1:8" x14ac:dyDescent="0.15">
      <c r="A370" s="4">
        <v>199.98406</v>
      </c>
      <c r="B370" s="4">
        <v>165</v>
      </c>
      <c r="C370" s="4">
        <v>0.27861999999999998</v>
      </c>
      <c r="D370" s="4">
        <v>99.433679999999995</v>
      </c>
      <c r="E370" s="4">
        <v>20</v>
      </c>
      <c r="F370" s="4">
        <v>80</v>
      </c>
      <c r="G370" s="4">
        <v>1</v>
      </c>
      <c r="H370" s="1">
        <v>4</v>
      </c>
    </row>
    <row r="371" spans="1:8" x14ac:dyDescent="0.15">
      <c r="A371" s="4">
        <v>199.98859999999999</v>
      </c>
      <c r="B371" s="4">
        <v>165.5</v>
      </c>
      <c r="C371" s="4">
        <v>0.27761999999999998</v>
      </c>
      <c r="D371" s="4">
        <v>99.253259999999997</v>
      </c>
      <c r="E371" s="4">
        <v>20</v>
      </c>
      <c r="F371" s="4">
        <v>80</v>
      </c>
      <c r="G371" s="4">
        <v>1</v>
      </c>
      <c r="H371" s="1">
        <v>4</v>
      </c>
    </row>
    <row r="372" spans="1:8" x14ac:dyDescent="0.15">
      <c r="A372" s="4">
        <v>199.99172999999999</v>
      </c>
      <c r="B372" s="4">
        <v>166</v>
      </c>
      <c r="C372" s="4">
        <v>0.27659</v>
      </c>
      <c r="D372" s="4">
        <v>99.448750000000004</v>
      </c>
      <c r="E372" s="4">
        <v>20</v>
      </c>
      <c r="F372" s="4">
        <v>80</v>
      </c>
      <c r="G372" s="4">
        <v>1</v>
      </c>
      <c r="H372" s="1">
        <v>4</v>
      </c>
    </row>
    <row r="373" spans="1:8" x14ac:dyDescent="0.15">
      <c r="A373" s="4">
        <v>199.99363</v>
      </c>
      <c r="B373" s="4">
        <v>166.5</v>
      </c>
      <c r="C373" s="4">
        <v>0.27343000000000001</v>
      </c>
      <c r="D373" s="4">
        <v>99.312060000000002</v>
      </c>
      <c r="E373" s="4">
        <v>20</v>
      </c>
      <c r="F373" s="4">
        <v>80</v>
      </c>
      <c r="G373" s="4">
        <v>1</v>
      </c>
      <c r="H373" s="1">
        <v>4</v>
      </c>
    </row>
    <row r="374" spans="1:8" x14ac:dyDescent="0.15">
      <c r="A374" s="4">
        <v>199.99216999999999</v>
      </c>
      <c r="B374" s="4">
        <v>167</v>
      </c>
      <c r="C374" s="4">
        <v>0.27392</v>
      </c>
      <c r="D374" s="4">
        <v>99.259960000000007</v>
      </c>
      <c r="E374" s="4">
        <v>20</v>
      </c>
      <c r="F374" s="4">
        <v>80</v>
      </c>
      <c r="G374" s="4">
        <v>1</v>
      </c>
      <c r="H374" s="1">
        <v>4</v>
      </c>
    </row>
    <row r="375" spans="1:8" x14ac:dyDescent="0.15">
      <c r="A375" s="4">
        <v>199.98857000000001</v>
      </c>
      <c r="B375" s="4">
        <v>167.5</v>
      </c>
      <c r="C375" s="4">
        <v>0.27260000000000001</v>
      </c>
      <c r="D375" s="4">
        <v>99.421449999999993</v>
      </c>
      <c r="E375" s="4">
        <v>20</v>
      </c>
      <c r="F375" s="4">
        <v>80</v>
      </c>
      <c r="G375" s="4">
        <v>1</v>
      </c>
      <c r="H375" s="1">
        <v>4</v>
      </c>
    </row>
    <row r="376" spans="1:8" x14ac:dyDescent="0.15">
      <c r="A376" s="4">
        <v>199.97593000000001</v>
      </c>
      <c r="B376" s="4">
        <v>168</v>
      </c>
      <c r="C376" s="4">
        <v>0.27373999999999998</v>
      </c>
      <c r="D376" s="4">
        <v>99.393249999999995</v>
      </c>
      <c r="E376" s="4">
        <v>20</v>
      </c>
      <c r="F376" s="4">
        <v>80</v>
      </c>
      <c r="G376" s="4">
        <v>1</v>
      </c>
      <c r="H376" s="1">
        <v>4</v>
      </c>
    </row>
    <row r="377" spans="1:8" x14ac:dyDescent="0.15">
      <c r="A377" s="4">
        <v>199.96293</v>
      </c>
      <c r="B377" s="4">
        <v>168.5</v>
      </c>
      <c r="C377" s="4">
        <v>0.27033000000000001</v>
      </c>
      <c r="D377" s="4">
        <v>99.309449999999998</v>
      </c>
      <c r="E377" s="4">
        <v>20</v>
      </c>
      <c r="F377" s="4">
        <v>80</v>
      </c>
      <c r="G377" s="4">
        <v>1</v>
      </c>
      <c r="H377" s="1">
        <v>4</v>
      </c>
    </row>
    <row r="378" spans="1:8" x14ac:dyDescent="0.15">
      <c r="A378" s="4">
        <v>199.94667999999999</v>
      </c>
      <c r="B378" s="4">
        <v>169</v>
      </c>
      <c r="C378" s="4">
        <v>0.26952999999999999</v>
      </c>
      <c r="D378" s="4">
        <v>99.502489999999995</v>
      </c>
      <c r="E378" s="4">
        <v>20</v>
      </c>
      <c r="F378" s="4">
        <v>80</v>
      </c>
      <c r="G378" s="4">
        <v>1</v>
      </c>
      <c r="H378" s="1">
        <v>4</v>
      </c>
    </row>
    <row r="379" spans="1:8" x14ac:dyDescent="0.15">
      <c r="A379" s="4">
        <v>199.92012</v>
      </c>
      <c r="B379" s="4">
        <v>169.5</v>
      </c>
      <c r="C379" s="4">
        <v>0.26954</v>
      </c>
      <c r="D379" s="4">
        <v>99.277760000000001</v>
      </c>
      <c r="E379" s="4">
        <v>20</v>
      </c>
      <c r="F379" s="4">
        <v>80</v>
      </c>
      <c r="G379" s="4">
        <v>1</v>
      </c>
      <c r="H379" s="1">
        <v>4</v>
      </c>
    </row>
    <row r="380" spans="1:8" x14ac:dyDescent="0.15">
      <c r="A380" s="4">
        <v>199.90652</v>
      </c>
      <c r="B380" s="4">
        <v>170</v>
      </c>
      <c r="C380" s="4">
        <v>0.27377000000000001</v>
      </c>
      <c r="D380" s="4">
        <v>99.378420000000006</v>
      </c>
      <c r="E380" s="4">
        <v>20</v>
      </c>
      <c r="F380" s="4">
        <v>80</v>
      </c>
      <c r="G380" s="4">
        <v>1</v>
      </c>
      <c r="H380" s="1">
        <v>4</v>
      </c>
    </row>
    <row r="381" spans="1:8" x14ac:dyDescent="0.15">
      <c r="A381" s="4">
        <v>199.91453000000001</v>
      </c>
      <c r="B381" s="4">
        <v>170.5</v>
      </c>
      <c r="C381" s="4">
        <v>0.28244000000000002</v>
      </c>
      <c r="D381" s="4">
        <v>99.432540000000003</v>
      </c>
      <c r="E381" s="4">
        <v>20</v>
      </c>
      <c r="F381" s="4">
        <v>80</v>
      </c>
      <c r="G381" s="4">
        <v>1</v>
      </c>
      <c r="H381" s="1">
        <v>4</v>
      </c>
    </row>
    <row r="382" spans="1:8" x14ac:dyDescent="0.15">
      <c r="A382" s="4">
        <v>199.93351999999999</v>
      </c>
      <c r="B382" s="4">
        <v>171</v>
      </c>
      <c r="C382" s="4">
        <v>0.27910000000000001</v>
      </c>
      <c r="D382" s="4">
        <v>99.35548</v>
      </c>
      <c r="E382" s="4">
        <v>20</v>
      </c>
      <c r="F382" s="4">
        <v>80</v>
      </c>
      <c r="G382" s="4">
        <v>1</v>
      </c>
      <c r="H382" s="1">
        <v>4</v>
      </c>
    </row>
    <row r="383" spans="1:8" x14ac:dyDescent="0.15">
      <c r="A383" s="4">
        <v>199.94391999999999</v>
      </c>
      <c r="B383" s="4">
        <v>171.5</v>
      </c>
      <c r="C383" s="4">
        <v>0.27395999999999998</v>
      </c>
      <c r="D383" s="4">
        <v>99.306020000000004</v>
      </c>
      <c r="E383" s="4">
        <v>20</v>
      </c>
      <c r="F383" s="4">
        <v>80</v>
      </c>
      <c r="G383" s="4">
        <v>1</v>
      </c>
      <c r="H383" s="1">
        <v>4</v>
      </c>
    </row>
    <row r="384" spans="1:8" x14ac:dyDescent="0.15">
      <c r="A384" s="4">
        <v>199.93621999999999</v>
      </c>
      <c r="B384" s="4">
        <v>172</v>
      </c>
      <c r="C384" s="4">
        <v>0.26748</v>
      </c>
      <c r="D384" s="4">
        <v>99.242239999999995</v>
      </c>
      <c r="E384" s="4">
        <v>20</v>
      </c>
      <c r="F384" s="4">
        <v>80</v>
      </c>
      <c r="G384" s="4">
        <v>1</v>
      </c>
      <c r="H384" s="1">
        <v>4</v>
      </c>
    </row>
    <row r="385" spans="1:8" x14ac:dyDescent="0.15">
      <c r="A385" s="4">
        <v>199.92705000000001</v>
      </c>
      <c r="B385" s="4">
        <v>172.5</v>
      </c>
      <c r="C385" s="4">
        <v>0.26954</v>
      </c>
      <c r="D385" s="4">
        <v>99.176869999999994</v>
      </c>
      <c r="E385" s="4">
        <v>20</v>
      </c>
      <c r="F385" s="4">
        <v>80</v>
      </c>
      <c r="G385" s="4">
        <v>1</v>
      </c>
      <c r="H385" s="1">
        <v>4</v>
      </c>
    </row>
    <row r="386" spans="1:8" x14ac:dyDescent="0.15">
      <c r="A386" s="4">
        <v>199.92836</v>
      </c>
      <c r="B386" s="4">
        <v>173</v>
      </c>
      <c r="C386" s="4">
        <v>0.27476</v>
      </c>
      <c r="D386" s="4">
        <v>99.529300000000006</v>
      </c>
      <c r="E386" s="4">
        <v>20</v>
      </c>
      <c r="F386" s="4">
        <v>80</v>
      </c>
      <c r="G386" s="4">
        <v>1</v>
      </c>
      <c r="H386" s="1">
        <v>4</v>
      </c>
    </row>
    <row r="387" spans="1:8" x14ac:dyDescent="0.15">
      <c r="A387" s="4">
        <v>199.94030000000001</v>
      </c>
      <c r="B387" s="4">
        <v>173.5</v>
      </c>
      <c r="C387" s="4">
        <v>0.27749000000000001</v>
      </c>
      <c r="D387" s="4">
        <v>99.091679999999997</v>
      </c>
      <c r="E387" s="4">
        <v>20</v>
      </c>
      <c r="F387" s="4">
        <v>80</v>
      </c>
      <c r="G387" s="4">
        <v>1</v>
      </c>
      <c r="H387" s="1">
        <v>4</v>
      </c>
    </row>
    <row r="388" spans="1:8" x14ac:dyDescent="0.15">
      <c r="A388" s="4">
        <v>199.96247</v>
      </c>
      <c r="B388" s="4">
        <v>174</v>
      </c>
      <c r="C388" s="4">
        <v>0.27682000000000001</v>
      </c>
      <c r="D388" s="4">
        <v>99.302729999999997</v>
      </c>
      <c r="E388" s="4">
        <v>20</v>
      </c>
      <c r="F388" s="4">
        <v>80</v>
      </c>
      <c r="G388" s="4">
        <v>1</v>
      </c>
      <c r="H388" s="1">
        <v>4</v>
      </c>
    </row>
    <row r="389" spans="1:8" x14ac:dyDescent="0.15">
      <c r="A389" s="4">
        <v>199.98569000000001</v>
      </c>
      <c r="B389" s="4">
        <v>174.5</v>
      </c>
      <c r="C389" s="4">
        <v>0.27655999999999997</v>
      </c>
      <c r="D389" s="4">
        <v>99.372559999999993</v>
      </c>
      <c r="E389" s="4">
        <v>20</v>
      </c>
      <c r="F389" s="4">
        <v>80</v>
      </c>
      <c r="G389" s="4">
        <v>1</v>
      </c>
      <c r="H389" s="1">
        <v>4</v>
      </c>
    </row>
    <row r="390" spans="1:8" x14ac:dyDescent="0.15">
      <c r="A390" s="4">
        <v>200.00264000000001</v>
      </c>
      <c r="B390" s="4">
        <v>175</v>
      </c>
      <c r="C390" s="4">
        <v>0.27568999999999999</v>
      </c>
      <c r="D390" s="4">
        <v>99.316720000000004</v>
      </c>
      <c r="E390" s="4">
        <v>20</v>
      </c>
      <c r="F390" s="4">
        <v>80</v>
      </c>
      <c r="G390" s="4">
        <v>1</v>
      </c>
      <c r="H390" s="1">
        <v>4</v>
      </c>
    </row>
    <row r="391" spans="1:8" x14ac:dyDescent="0.15">
      <c r="A391" s="4">
        <v>200.00989999999999</v>
      </c>
      <c r="B391" s="4">
        <v>175.5</v>
      </c>
      <c r="C391" s="4">
        <v>0.26966000000000001</v>
      </c>
      <c r="D391" s="4">
        <v>99.354960000000005</v>
      </c>
      <c r="E391" s="4">
        <v>20</v>
      </c>
      <c r="F391" s="4">
        <v>80</v>
      </c>
      <c r="G391" s="4">
        <v>1</v>
      </c>
      <c r="H391" s="1">
        <v>4</v>
      </c>
    </row>
    <row r="392" spans="1:8" x14ac:dyDescent="0.15">
      <c r="A392" s="4">
        <v>200.00214</v>
      </c>
      <c r="B392" s="4">
        <v>176</v>
      </c>
      <c r="C392" s="4">
        <v>0.26533000000000001</v>
      </c>
      <c r="D392" s="4">
        <v>99.275350000000003</v>
      </c>
      <c r="E392" s="4">
        <v>20</v>
      </c>
      <c r="F392" s="4">
        <v>80</v>
      </c>
      <c r="G392" s="4">
        <v>1</v>
      </c>
      <c r="H392" s="1">
        <v>4</v>
      </c>
    </row>
    <row r="393" spans="1:8" x14ac:dyDescent="0.15">
      <c r="A393" s="4">
        <v>199.97827000000001</v>
      </c>
      <c r="B393" s="4">
        <v>176.5</v>
      </c>
      <c r="C393" s="4">
        <v>0.25974999999999998</v>
      </c>
      <c r="D393" s="4">
        <v>99.224230000000006</v>
      </c>
      <c r="E393" s="4">
        <v>20</v>
      </c>
      <c r="F393" s="4">
        <v>80</v>
      </c>
      <c r="G393" s="4">
        <v>1</v>
      </c>
      <c r="H393" s="1">
        <v>4</v>
      </c>
    </row>
    <row r="394" spans="1:8" x14ac:dyDescent="0.15">
      <c r="A394" s="4">
        <v>199.95296999999999</v>
      </c>
      <c r="B394" s="4">
        <v>177</v>
      </c>
      <c r="C394" s="4">
        <v>0.26455000000000001</v>
      </c>
      <c r="D394" s="4">
        <v>99.185959999999994</v>
      </c>
      <c r="E394" s="4">
        <v>20</v>
      </c>
      <c r="F394" s="4">
        <v>80</v>
      </c>
      <c r="G394" s="4">
        <v>1</v>
      </c>
      <c r="H394" s="1">
        <v>4</v>
      </c>
    </row>
    <row r="395" spans="1:8" x14ac:dyDescent="0.15">
      <c r="A395" s="4">
        <v>199.94710000000001</v>
      </c>
      <c r="B395" s="4">
        <v>177.5</v>
      </c>
      <c r="C395" s="4">
        <v>0.27443000000000001</v>
      </c>
      <c r="D395" s="4">
        <v>99.341080000000005</v>
      </c>
      <c r="E395" s="4">
        <v>20</v>
      </c>
      <c r="F395" s="4">
        <v>80</v>
      </c>
      <c r="G395" s="4">
        <v>1</v>
      </c>
      <c r="H395" s="1">
        <v>4</v>
      </c>
    </row>
    <row r="396" spans="1:8" x14ac:dyDescent="0.15">
      <c r="A396" s="4">
        <v>199.95614</v>
      </c>
      <c r="B396" s="4">
        <v>178</v>
      </c>
      <c r="C396" s="4">
        <v>0.27700000000000002</v>
      </c>
      <c r="D396" s="4">
        <v>99.083119999999994</v>
      </c>
      <c r="E396" s="4">
        <v>20</v>
      </c>
      <c r="F396" s="4">
        <v>80</v>
      </c>
      <c r="G396" s="4">
        <v>1</v>
      </c>
      <c r="H396" s="1">
        <v>4</v>
      </c>
    </row>
    <row r="397" spans="1:8" x14ac:dyDescent="0.15">
      <c r="A397" s="4">
        <v>199.96520000000001</v>
      </c>
      <c r="B397" s="4">
        <v>178.5</v>
      </c>
      <c r="C397" s="4">
        <v>0.27062999999999998</v>
      </c>
      <c r="D397" s="4">
        <v>99.267290000000003</v>
      </c>
      <c r="E397" s="4">
        <v>20</v>
      </c>
      <c r="F397" s="4">
        <v>80</v>
      </c>
      <c r="G397" s="4">
        <v>1</v>
      </c>
      <c r="H397" s="1">
        <v>4</v>
      </c>
    </row>
    <row r="398" spans="1:8" x14ac:dyDescent="0.15">
      <c r="A398" s="4">
        <v>199.95961</v>
      </c>
      <c r="B398" s="4">
        <v>179</v>
      </c>
      <c r="C398" s="4">
        <v>0.26207999999999998</v>
      </c>
      <c r="D398" s="4">
        <v>99.377489999999995</v>
      </c>
      <c r="E398" s="4">
        <v>20</v>
      </c>
      <c r="F398" s="4">
        <v>80</v>
      </c>
      <c r="G398" s="4">
        <v>1</v>
      </c>
      <c r="H398" s="1">
        <v>4</v>
      </c>
    </row>
    <row r="399" spans="1:8" x14ac:dyDescent="0.15">
      <c r="A399" s="4">
        <v>199.93705</v>
      </c>
      <c r="B399" s="4">
        <v>179.5</v>
      </c>
      <c r="C399" s="4">
        <v>0.26495000000000002</v>
      </c>
      <c r="D399" s="4">
        <v>99.040210000000002</v>
      </c>
      <c r="E399" s="4">
        <v>20</v>
      </c>
      <c r="F399" s="4">
        <v>80</v>
      </c>
      <c r="G399" s="4">
        <v>1</v>
      </c>
      <c r="H399" s="1">
        <v>4</v>
      </c>
    </row>
    <row r="400" spans="1:8" x14ac:dyDescent="0.15">
      <c r="A400" s="4">
        <v>199.92335</v>
      </c>
      <c r="B400" s="4">
        <v>180</v>
      </c>
      <c r="C400" s="4">
        <v>0.26940999999999998</v>
      </c>
      <c r="D400" s="4">
        <v>99.177099999999996</v>
      </c>
      <c r="E400" s="4">
        <v>20</v>
      </c>
      <c r="F400" s="4">
        <v>80</v>
      </c>
      <c r="G400" s="4">
        <v>1</v>
      </c>
      <c r="H400" s="1">
        <v>4</v>
      </c>
    </row>
    <row r="401" spans="1:8" x14ac:dyDescent="0.15">
      <c r="A401" s="4">
        <v>199.92044000000001</v>
      </c>
      <c r="B401" s="4">
        <v>180.5</v>
      </c>
      <c r="C401" s="4">
        <v>0.27276</v>
      </c>
      <c r="D401" s="4">
        <v>99.373949999999994</v>
      </c>
      <c r="E401" s="4">
        <v>20</v>
      </c>
      <c r="F401" s="4">
        <v>80</v>
      </c>
      <c r="G401" s="4">
        <v>1</v>
      </c>
      <c r="H401" s="1">
        <v>4</v>
      </c>
    </row>
    <row r="402" spans="1:8" x14ac:dyDescent="0.15">
      <c r="A402" s="4">
        <v>199.93161000000001</v>
      </c>
      <c r="B402" s="4">
        <v>181</v>
      </c>
      <c r="C402" s="4">
        <v>0.27606000000000003</v>
      </c>
      <c r="D402" s="4">
        <v>99.306380000000004</v>
      </c>
      <c r="E402" s="4">
        <v>20</v>
      </c>
      <c r="F402" s="4">
        <v>80</v>
      </c>
      <c r="G402" s="4">
        <v>1</v>
      </c>
      <c r="H402" s="1">
        <v>4</v>
      </c>
    </row>
    <row r="403" spans="1:8" x14ac:dyDescent="0.15">
      <c r="A403" s="4">
        <v>199.95235</v>
      </c>
      <c r="B403" s="4">
        <v>181.5</v>
      </c>
      <c r="C403" s="4">
        <v>0.27473999999999998</v>
      </c>
      <c r="D403" s="4">
        <v>99.167150000000007</v>
      </c>
      <c r="E403" s="4">
        <v>20</v>
      </c>
      <c r="F403" s="4">
        <v>80</v>
      </c>
      <c r="G403" s="4">
        <v>1</v>
      </c>
      <c r="H403" s="1">
        <v>4</v>
      </c>
    </row>
    <row r="404" spans="1:8" x14ac:dyDescent="0.15">
      <c r="A404" s="4">
        <v>199.97484</v>
      </c>
      <c r="B404" s="4">
        <v>182</v>
      </c>
      <c r="C404" s="4">
        <v>0.27426</v>
      </c>
      <c r="D404" s="4">
        <v>99.095920000000007</v>
      </c>
      <c r="E404" s="4">
        <v>20</v>
      </c>
      <c r="F404" s="4">
        <v>80</v>
      </c>
      <c r="G404" s="4">
        <v>1</v>
      </c>
      <c r="H404" s="1">
        <v>4</v>
      </c>
    </row>
    <row r="405" spans="1:8" x14ac:dyDescent="0.15">
      <c r="A405" s="4">
        <v>199.99664999999999</v>
      </c>
      <c r="B405" s="4">
        <v>182.5</v>
      </c>
      <c r="C405" s="4">
        <v>0.27299000000000001</v>
      </c>
      <c r="D405" s="4">
        <v>99.332719999999995</v>
      </c>
      <c r="E405" s="4">
        <v>20</v>
      </c>
      <c r="F405" s="4">
        <v>80</v>
      </c>
      <c r="G405" s="4">
        <v>1</v>
      </c>
      <c r="H405" s="1">
        <v>4</v>
      </c>
    </row>
    <row r="406" spans="1:8" x14ac:dyDescent="0.15">
      <c r="A406" s="4">
        <v>200.01958999999999</v>
      </c>
      <c r="B406" s="4">
        <v>183</v>
      </c>
      <c r="C406" s="4">
        <v>0.27173999999999998</v>
      </c>
      <c r="D406" s="4">
        <v>99.393000000000001</v>
      </c>
      <c r="E406" s="4">
        <v>20</v>
      </c>
      <c r="F406" s="4">
        <v>80</v>
      </c>
      <c r="G406" s="4">
        <v>1</v>
      </c>
      <c r="H406" s="1">
        <v>4</v>
      </c>
    </row>
    <row r="407" spans="1:8" x14ac:dyDescent="0.15">
      <c r="A407" s="4">
        <v>200.0367</v>
      </c>
      <c r="B407" s="4">
        <v>183.5</v>
      </c>
      <c r="C407" s="4">
        <v>0.27107999999999999</v>
      </c>
      <c r="D407" s="4">
        <v>99.341229999999996</v>
      </c>
      <c r="E407" s="4">
        <v>20</v>
      </c>
      <c r="F407" s="4">
        <v>80</v>
      </c>
      <c r="G407" s="4">
        <v>1</v>
      </c>
      <c r="H407" s="1">
        <v>4</v>
      </c>
    </row>
    <row r="408" spans="1:8" x14ac:dyDescent="0.15">
      <c r="A408" s="4">
        <v>200.04517000000001</v>
      </c>
      <c r="B408" s="4">
        <v>184</v>
      </c>
      <c r="C408" s="4">
        <v>0.26832</v>
      </c>
      <c r="D408" s="4">
        <v>99.314850000000007</v>
      </c>
      <c r="E408" s="4">
        <v>20</v>
      </c>
      <c r="F408" s="4">
        <v>80</v>
      </c>
      <c r="G408" s="4">
        <v>1</v>
      </c>
      <c r="H408" s="1">
        <v>4</v>
      </c>
    </row>
    <row r="409" spans="1:8" x14ac:dyDescent="0.15">
      <c r="A409" s="4">
        <v>200.0402</v>
      </c>
      <c r="B409" s="4">
        <v>184.5</v>
      </c>
      <c r="C409" s="4">
        <v>0.26302999999999999</v>
      </c>
      <c r="D409" s="4">
        <v>99.253380000000007</v>
      </c>
      <c r="E409" s="4">
        <v>20</v>
      </c>
      <c r="F409" s="4">
        <v>80</v>
      </c>
      <c r="G409" s="4">
        <v>1</v>
      </c>
      <c r="H409" s="1">
        <v>4</v>
      </c>
    </row>
    <row r="410" spans="1:8" x14ac:dyDescent="0.15">
      <c r="A410" s="4">
        <v>200.02054999999999</v>
      </c>
      <c r="B410" s="4">
        <v>185</v>
      </c>
      <c r="C410" s="4">
        <v>0.26277</v>
      </c>
      <c r="D410" s="4">
        <v>99.20335</v>
      </c>
      <c r="E410" s="4">
        <v>20</v>
      </c>
      <c r="F410" s="4">
        <v>80</v>
      </c>
      <c r="G410" s="4">
        <v>1</v>
      </c>
      <c r="H410" s="1">
        <v>4</v>
      </c>
    </row>
    <row r="411" spans="1:8" x14ac:dyDescent="0.15">
      <c r="A411" s="4">
        <v>200.00300999999999</v>
      </c>
      <c r="B411" s="4">
        <v>185.5</v>
      </c>
      <c r="C411" s="4">
        <v>0.26317000000000002</v>
      </c>
      <c r="D411" s="4">
        <v>99.24</v>
      </c>
      <c r="E411" s="4">
        <v>20</v>
      </c>
      <c r="F411" s="4">
        <v>80</v>
      </c>
      <c r="G411" s="4">
        <v>1</v>
      </c>
      <c r="H411" s="1">
        <v>4</v>
      </c>
    </row>
    <row r="412" spans="1:8" x14ac:dyDescent="0.15">
      <c r="A412" s="4">
        <v>199.98964000000001</v>
      </c>
      <c r="B412" s="4">
        <v>186</v>
      </c>
      <c r="C412" s="4">
        <v>0.26584000000000002</v>
      </c>
      <c r="D412" s="4">
        <v>99.407330000000002</v>
      </c>
      <c r="E412" s="4">
        <v>20</v>
      </c>
      <c r="F412" s="4">
        <v>80</v>
      </c>
      <c r="G412" s="4">
        <v>1</v>
      </c>
      <c r="H412" s="1">
        <v>4</v>
      </c>
    </row>
    <row r="413" spans="1:8" x14ac:dyDescent="0.15">
      <c r="A413" s="4">
        <v>199.97343000000001</v>
      </c>
      <c r="B413" s="4">
        <v>186.5</v>
      </c>
      <c r="C413" s="4">
        <v>0.26612000000000002</v>
      </c>
      <c r="D413" s="4">
        <v>99.340860000000006</v>
      </c>
      <c r="E413" s="4">
        <v>20</v>
      </c>
      <c r="F413" s="4">
        <v>80</v>
      </c>
      <c r="G413" s="4">
        <v>1</v>
      </c>
      <c r="H413" s="1">
        <v>4</v>
      </c>
    </row>
    <row r="414" spans="1:8" x14ac:dyDescent="0.15">
      <c r="A414" s="4">
        <v>199.96659</v>
      </c>
      <c r="B414" s="4">
        <v>187</v>
      </c>
      <c r="C414" s="4">
        <v>0.26813999999999999</v>
      </c>
      <c r="D414" s="4">
        <v>99.220460000000003</v>
      </c>
      <c r="E414" s="4">
        <v>20</v>
      </c>
      <c r="F414" s="4">
        <v>80</v>
      </c>
      <c r="G414" s="4">
        <v>1</v>
      </c>
      <c r="H414" s="1">
        <v>4</v>
      </c>
    </row>
    <row r="415" spans="1:8" x14ac:dyDescent="0.15">
      <c r="A415" s="4">
        <v>199.96693999999999</v>
      </c>
      <c r="B415" s="4">
        <v>187.5</v>
      </c>
      <c r="C415" s="4">
        <v>0.2697</v>
      </c>
      <c r="D415" s="4">
        <v>99.306449999999998</v>
      </c>
      <c r="E415" s="4">
        <v>20</v>
      </c>
      <c r="F415" s="4">
        <v>80</v>
      </c>
      <c r="G415" s="4">
        <v>1</v>
      </c>
      <c r="H415" s="1">
        <v>4</v>
      </c>
    </row>
    <row r="416" spans="1:8" x14ac:dyDescent="0.15">
      <c r="A416" s="4">
        <v>199.97542999999999</v>
      </c>
      <c r="B416" s="4">
        <v>188</v>
      </c>
      <c r="C416" s="4">
        <v>0.27106999999999998</v>
      </c>
      <c r="D416" s="4">
        <v>99.092680000000001</v>
      </c>
      <c r="E416" s="4">
        <v>20</v>
      </c>
      <c r="F416" s="4">
        <v>80</v>
      </c>
      <c r="G416" s="4">
        <v>1</v>
      </c>
      <c r="H416" s="1">
        <v>4</v>
      </c>
    </row>
    <row r="417" spans="1:8" x14ac:dyDescent="0.15">
      <c r="A417" s="4">
        <v>199.98416</v>
      </c>
      <c r="B417" s="4">
        <v>188.5</v>
      </c>
      <c r="C417" s="4">
        <v>0.26811000000000001</v>
      </c>
      <c r="D417" s="4">
        <v>99.200770000000006</v>
      </c>
      <c r="E417" s="4">
        <v>20</v>
      </c>
      <c r="F417" s="4">
        <v>80</v>
      </c>
      <c r="G417" s="4">
        <v>1</v>
      </c>
      <c r="H417" s="1">
        <v>4</v>
      </c>
    </row>
    <row r="418" spans="1:8" x14ac:dyDescent="0.15">
      <c r="A418" s="4">
        <v>199.9889</v>
      </c>
      <c r="B418" s="4">
        <v>189</v>
      </c>
      <c r="C418" s="4">
        <v>0.26762999999999998</v>
      </c>
      <c r="D418" s="4">
        <v>99.399280000000005</v>
      </c>
      <c r="E418" s="4">
        <v>20</v>
      </c>
      <c r="F418" s="4">
        <v>80</v>
      </c>
      <c r="G418" s="4">
        <v>1</v>
      </c>
      <c r="H418" s="1">
        <v>4</v>
      </c>
    </row>
    <row r="419" spans="1:8" x14ac:dyDescent="0.15">
      <c r="A419" s="4">
        <v>199.99257</v>
      </c>
      <c r="B419" s="4">
        <v>189.5</v>
      </c>
      <c r="C419" s="4">
        <v>0.26773000000000002</v>
      </c>
      <c r="D419" s="4">
        <v>99.271100000000004</v>
      </c>
      <c r="E419" s="4">
        <v>20</v>
      </c>
      <c r="F419" s="4">
        <v>80</v>
      </c>
      <c r="G419" s="4">
        <v>1</v>
      </c>
      <c r="H419" s="1">
        <v>4</v>
      </c>
    </row>
    <row r="420" spans="1:8" x14ac:dyDescent="0.15">
      <c r="A420" s="4">
        <v>199.99610000000001</v>
      </c>
      <c r="B420" s="4">
        <v>190</v>
      </c>
      <c r="C420" s="4">
        <v>0.26733000000000001</v>
      </c>
      <c r="D420" s="4">
        <v>99.252859999999998</v>
      </c>
      <c r="E420" s="4">
        <v>20</v>
      </c>
      <c r="F420" s="4">
        <v>80</v>
      </c>
      <c r="G420" s="4">
        <v>1</v>
      </c>
      <c r="H420" s="1">
        <v>4</v>
      </c>
    </row>
    <row r="421" spans="1:8" x14ac:dyDescent="0.15">
      <c r="A421" s="4">
        <v>199.99596</v>
      </c>
      <c r="B421" s="4">
        <v>190.5</v>
      </c>
      <c r="C421" s="4">
        <v>0.26335999999999998</v>
      </c>
      <c r="D421" s="4">
        <v>99.434060000000002</v>
      </c>
      <c r="E421" s="4">
        <v>20</v>
      </c>
      <c r="F421" s="4">
        <v>80</v>
      </c>
      <c r="G421" s="4">
        <v>1</v>
      </c>
      <c r="H421" s="1">
        <v>4</v>
      </c>
    </row>
    <row r="422" spans="1:8" x14ac:dyDescent="0.15">
      <c r="A422" s="4">
        <v>199.99549999999999</v>
      </c>
      <c r="B422" s="4">
        <v>191</v>
      </c>
      <c r="C422" s="4">
        <v>0.26587</v>
      </c>
      <c r="D422" s="4">
        <v>99.10472</v>
      </c>
      <c r="E422" s="4">
        <v>20</v>
      </c>
      <c r="F422" s="4">
        <v>80</v>
      </c>
      <c r="G422" s="4">
        <v>1</v>
      </c>
      <c r="H422" s="1">
        <v>4</v>
      </c>
    </row>
    <row r="423" spans="1:8" x14ac:dyDescent="0.15">
      <c r="A423" s="4">
        <v>199.99529999999999</v>
      </c>
      <c r="B423" s="4">
        <v>191.5</v>
      </c>
      <c r="C423" s="4">
        <v>0.26573999999999998</v>
      </c>
      <c r="D423" s="4">
        <v>99.18759</v>
      </c>
      <c r="E423" s="4">
        <v>20</v>
      </c>
      <c r="F423" s="4">
        <v>80</v>
      </c>
      <c r="G423" s="4">
        <v>1</v>
      </c>
      <c r="H423" s="1">
        <v>4</v>
      </c>
    </row>
    <row r="424" spans="1:8" x14ac:dyDescent="0.15">
      <c r="A424" s="4">
        <v>199.99476000000001</v>
      </c>
      <c r="B424" s="4">
        <v>192</v>
      </c>
      <c r="C424" s="4">
        <v>0.26939000000000002</v>
      </c>
      <c r="D424" s="4">
        <v>99.25564</v>
      </c>
      <c r="E424" s="4">
        <v>20</v>
      </c>
      <c r="F424" s="4">
        <v>80</v>
      </c>
      <c r="G424" s="4">
        <v>1</v>
      </c>
      <c r="H424" s="1">
        <v>4</v>
      </c>
    </row>
    <row r="425" spans="1:8" x14ac:dyDescent="0.15">
      <c r="A425" s="4">
        <v>200.00121999999999</v>
      </c>
      <c r="B425" s="4">
        <v>192.5</v>
      </c>
      <c r="C425" s="4">
        <v>0.26979999999999998</v>
      </c>
      <c r="D425" s="4">
        <v>99.309880000000007</v>
      </c>
      <c r="E425" s="4">
        <v>20</v>
      </c>
      <c r="F425" s="4">
        <v>80</v>
      </c>
      <c r="G425" s="4">
        <v>1</v>
      </c>
      <c r="H425" s="1">
        <v>4</v>
      </c>
    </row>
    <row r="426" spans="1:8" x14ac:dyDescent="0.15">
      <c r="A426" s="4">
        <v>200.01334</v>
      </c>
      <c r="B426" s="4">
        <v>193</v>
      </c>
      <c r="C426" s="4">
        <v>0.26774999999999999</v>
      </c>
      <c r="D426" s="4">
        <v>99.340389999999999</v>
      </c>
      <c r="E426" s="4">
        <v>20</v>
      </c>
      <c r="F426" s="4">
        <v>80</v>
      </c>
      <c r="G426" s="4">
        <v>1</v>
      </c>
      <c r="H426" s="1">
        <v>4</v>
      </c>
    </row>
    <row r="427" spans="1:8" x14ac:dyDescent="0.15">
      <c r="A427" s="4">
        <v>200.02424999999999</v>
      </c>
      <c r="B427" s="4">
        <v>193.5</v>
      </c>
      <c r="C427" s="4">
        <v>0.26673000000000002</v>
      </c>
      <c r="D427" s="4">
        <v>99.256519999999995</v>
      </c>
      <c r="E427" s="4">
        <v>20</v>
      </c>
      <c r="F427" s="4">
        <v>80</v>
      </c>
      <c r="G427" s="4">
        <v>1</v>
      </c>
      <c r="H427" s="1">
        <v>4</v>
      </c>
    </row>
    <row r="428" spans="1:8" x14ac:dyDescent="0.15">
      <c r="A428" s="4">
        <v>200.02305999999999</v>
      </c>
      <c r="B428" s="4">
        <v>194</v>
      </c>
      <c r="C428" s="4">
        <v>0.26365</v>
      </c>
      <c r="D428" s="4">
        <v>99.260599999999997</v>
      </c>
      <c r="E428" s="4">
        <v>20</v>
      </c>
      <c r="F428" s="4">
        <v>80</v>
      </c>
      <c r="G428" s="4">
        <v>1</v>
      </c>
      <c r="H428" s="1">
        <v>4</v>
      </c>
    </row>
    <row r="429" spans="1:8" x14ac:dyDescent="0.15">
      <c r="A429" s="4">
        <v>200.01652000000001</v>
      </c>
      <c r="B429" s="4">
        <v>194.5</v>
      </c>
      <c r="C429" s="4">
        <v>0.26354</v>
      </c>
      <c r="D429" s="4">
        <v>99.247060000000005</v>
      </c>
      <c r="E429" s="4">
        <v>20</v>
      </c>
      <c r="F429" s="4">
        <v>80</v>
      </c>
      <c r="G429" s="4">
        <v>1</v>
      </c>
      <c r="H429" s="1">
        <v>4</v>
      </c>
    </row>
    <row r="430" spans="1:8" x14ac:dyDescent="0.15">
      <c r="A430" s="4">
        <v>200.00820999999999</v>
      </c>
      <c r="B430" s="4">
        <v>195</v>
      </c>
      <c r="C430" s="4">
        <v>0.26393</v>
      </c>
      <c r="D430" s="4">
        <v>99.377930000000006</v>
      </c>
      <c r="E430" s="4">
        <v>20</v>
      </c>
      <c r="F430" s="4">
        <v>80</v>
      </c>
      <c r="G430" s="4">
        <v>1</v>
      </c>
      <c r="H430" s="1">
        <v>4</v>
      </c>
    </row>
    <row r="431" spans="1:8" x14ac:dyDescent="0.15">
      <c r="A431" s="4">
        <v>200.00867</v>
      </c>
      <c r="B431" s="4">
        <v>195.5</v>
      </c>
      <c r="C431" s="4">
        <v>0.26778000000000002</v>
      </c>
      <c r="D431" s="4">
        <v>99.183920000000001</v>
      </c>
      <c r="E431" s="4">
        <v>20</v>
      </c>
      <c r="F431" s="4">
        <v>80</v>
      </c>
      <c r="G431" s="4">
        <v>1</v>
      </c>
      <c r="H431" s="1">
        <v>4</v>
      </c>
    </row>
    <row r="432" spans="1:8" x14ac:dyDescent="0.15">
      <c r="A432" s="4">
        <v>200.01410000000001</v>
      </c>
      <c r="B432" s="4">
        <v>196</v>
      </c>
      <c r="C432" s="4">
        <v>0.27015</v>
      </c>
      <c r="D432" s="4">
        <v>99.269940000000005</v>
      </c>
      <c r="E432" s="4">
        <v>20</v>
      </c>
      <c r="F432" s="4">
        <v>80</v>
      </c>
      <c r="G432" s="4">
        <v>1</v>
      </c>
      <c r="H432" s="1">
        <v>4</v>
      </c>
    </row>
    <row r="433" spans="1:8" x14ac:dyDescent="0.15">
      <c r="A433" s="4">
        <v>200.02598</v>
      </c>
      <c r="B433" s="4">
        <v>196.5</v>
      </c>
      <c r="C433" s="4">
        <v>0.26722000000000001</v>
      </c>
      <c r="D433" s="4">
        <v>99.201710000000006</v>
      </c>
      <c r="E433" s="4">
        <v>20</v>
      </c>
      <c r="F433" s="4">
        <v>80</v>
      </c>
      <c r="G433" s="4">
        <v>1</v>
      </c>
      <c r="H433" s="1">
        <v>4</v>
      </c>
    </row>
    <row r="434" spans="1:8" x14ac:dyDescent="0.15">
      <c r="A434" s="4">
        <v>200.03423000000001</v>
      </c>
      <c r="B434" s="4">
        <v>197</v>
      </c>
      <c r="C434" s="4">
        <v>0.26454</v>
      </c>
      <c r="D434" s="4">
        <v>99.369770000000003</v>
      </c>
      <c r="E434" s="4">
        <v>20</v>
      </c>
      <c r="F434" s="4">
        <v>80</v>
      </c>
      <c r="G434" s="4">
        <v>1</v>
      </c>
      <c r="H434" s="1">
        <v>4</v>
      </c>
    </row>
    <row r="435" spans="1:8" x14ac:dyDescent="0.15">
      <c r="A435" s="4">
        <v>200.03299000000001</v>
      </c>
      <c r="B435" s="4">
        <v>197.5</v>
      </c>
      <c r="C435" s="4">
        <v>0.26272000000000001</v>
      </c>
      <c r="D435" s="4">
        <v>99.171369999999996</v>
      </c>
      <c r="E435" s="4">
        <v>20</v>
      </c>
      <c r="F435" s="4">
        <v>80</v>
      </c>
      <c r="G435" s="4">
        <v>1</v>
      </c>
      <c r="H435" s="1">
        <v>4</v>
      </c>
    </row>
    <row r="436" spans="1:8" x14ac:dyDescent="0.15">
      <c r="A436" s="4">
        <v>200.03353999999999</v>
      </c>
      <c r="B436" s="4">
        <v>198</v>
      </c>
      <c r="C436" s="4">
        <v>0.26391999999999999</v>
      </c>
      <c r="D436" s="4">
        <v>99.106409999999997</v>
      </c>
      <c r="E436" s="4">
        <v>20</v>
      </c>
      <c r="F436" s="4">
        <v>80</v>
      </c>
      <c r="G436" s="4">
        <v>1</v>
      </c>
      <c r="H436" s="1">
        <v>4</v>
      </c>
    </row>
    <row r="437" spans="1:8" x14ac:dyDescent="0.15">
      <c r="A437" s="4">
        <v>200.036</v>
      </c>
      <c r="B437" s="4">
        <v>198.5</v>
      </c>
      <c r="C437" s="4">
        <v>0.26506999999999997</v>
      </c>
      <c r="D437" s="4">
        <v>99.145629999999997</v>
      </c>
      <c r="E437" s="4">
        <v>20</v>
      </c>
      <c r="F437" s="4">
        <v>80</v>
      </c>
      <c r="G437" s="4">
        <v>1</v>
      </c>
      <c r="H437" s="1">
        <v>4</v>
      </c>
    </row>
    <row r="438" spans="1:8" x14ac:dyDescent="0.15">
      <c r="A438" s="4">
        <v>200.03407999999999</v>
      </c>
      <c r="B438" s="4">
        <v>199</v>
      </c>
      <c r="C438" s="4">
        <v>0.26346000000000003</v>
      </c>
      <c r="D438" s="4">
        <v>99.357010000000002</v>
      </c>
      <c r="E438" s="4">
        <v>20</v>
      </c>
      <c r="F438" s="4">
        <v>80</v>
      </c>
      <c r="G438" s="4">
        <v>1</v>
      </c>
      <c r="H438" s="1">
        <v>4</v>
      </c>
    </row>
    <row r="439" spans="1:8" x14ac:dyDescent="0.15">
      <c r="A439" s="4">
        <v>200.03457</v>
      </c>
      <c r="B439" s="4">
        <v>199.5</v>
      </c>
      <c r="C439" s="4">
        <v>0.26244000000000001</v>
      </c>
      <c r="D439" s="4">
        <v>99.280940000000001</v>
      </c>
      <c r="E439" s="4">
        <v>20</v>
      </c>
      <c r="F439" s="4">
        <v>80</v>
      </c>
      <c r="G439" s="4">
        <v>1</v>
      </c>
      <c r="H439" s="1">
        <v>4</v>
      </c>
    </row>
    <row r="440" spans="1:8" x14ac:dyDescent="0.15">
      <c r="A440" s="4">
        <v>200.03247999999999</v>
      </c>
      <c r="B440" s="4">
        <v>200</v>
      </c>
      <c r="C440" s="4">
        <v>0.26615</v>
      </c>
      <c r="D440" s="4">
        <v>99.300839999999994</v>
      </c>
      <c r="E440" s="4">
        <v>20</v>
      </c>
      <c r="F440" s="4">
        <v>80</v>
      </c>
      <c r="G440" s="4">
        <v>1</v>
      </c>
      <c r="H440" s="1">
        <v>4</v>
      </c>
    </row>
    <row r="441" spans="1:8" x14ac:dyDescent="0.15">
      <c r="A441" s="4">
        <v>200.03997000000001</v>
      </c>
      <c r="B441" s="4">
        <v>200.5</v>
      </c>
      <c r="C441" s="4">
        <v>0.26949000000000001</v>
      </c>
      <c r="D441" s="4">
        <v>99.216390000000004</v>
      </c>
      <c r="E441" s="4">
        <v>20</v>
      </c>
      <c r="F441" s="4">
        <v>80</v>
      </c>
      <c r="G441" s="4">
        <v>1</v>
      </c>
      <c r="H441" s="1">
        <v>4</v>
      </c>
    </row>
    <row r="442" spans="1:8" x14ac:dyDescent="0.15">
      <c r="A442" s="4">
        <v>200.04945000000001</v>
      </c>
      <c r="B442" s="4">
        <v>201</v>
      </c>
      <c r="C442" s="4">
        <v>0.26768999999999998</v>
      </c>
      <c r="D442" s="4">
        <v>99.207359999999994</v>
      </c>
      <c r="E442" s="4">
        <v>20</v>
      </c>
      <c r="F442" s="4">
        <v>80</v>
      </c>
      <c r="G442" s="4">
        <v>1</v>
      </c>
      <c r="H442" s="1">
        <v>4</v>
      </c>
    </row>
    <row r="443" spans="1:8" x14ac:dyDescent="0.15">
      <c r="A443" s="4">
        <v>200.05375000000001</v>
      </c>
      <c r="B443" s="4">
        <v>201.5</v>
      </c>
      <c r="C443" s="4">
        <v>0.26401000000000002</v>
      </c>
      <c r="D443" s="4">
        <v>99.269109999999998</v>
      </c>
      <c r="E443" s="4">
        <v>20</v>
      </c>
      <c r="F443" s="4">
        <v>80</v>
      </c>
      <c r="G443" s="4">
        <v>1</v>
      </c>
      <c r="H443" s="1">
        <v>4</v>
      </c>
    </row>
    <row r="444" spans="1:8" x14ac:dyDescent="0.15">
      <c r="A444" s="4">
        <v>200.05026000000001</v>
      </c>
      <c r="B444" s="4">
        <v>202</v>
      </c>
      <c r="C444" s="4">
        <v>0.26082</v>
      </c>
      <c r="D444" s="4">
        <v>99.31335</v>
      </c>
      <c r="E444" s="4">
        <v>20</v>
      </c>
      <c r="F444" s="4">
        <v>80</v>
      </c>
      <c r="G444" s="4">
        <v>1</v>
      </c>
      <c r="H444" s="1">
        <v>4</v>
      </c>
    </row>
    <row r="445" spans="1:8" x14ac:dyDescent="0.15">
      <c r="A445" s="4">
        <v>200.04017999999999</v>
      </c>
      <c r="B445" s="4">
        <v>202.5</v>
      </c>
      <c r="C445" s="4">
        <v>0.26235999999999998</v>
      </c>
      <c r="D445" s="4">
        <v>99.22045</v>
      </c>
      <c r="E445" s="4">
        <v>20</v>
      </c>
      <c r="F445" s="4">
        <v>80</v>
      </c>
      <c r="G445" s="4">
        <v>1</v>
      </c>
      <c r="H445" s="1">
        <v>4</v>
      </c>
    </row>
    <row r="446" spans="1:8" x14ac:dyDescent="0.15">
      <c r="A446" s="4">
        <v>200.03536</v>
      </c>
      <c r="B446" s="4">
        <v>203</v>
      </c>
      <c r="C446" s="4">
        <v>0.26513999999999999</v>
      </c>
      <c r="D446" s="4">
        <v>99.351060000000004</v>
      </c>
      <c r="E446" s="4">
        <v>20</v>
      </c>
      <c r="F446" s="4">
        <v>80</v>
      </c>
      <c r="G446" s="4">
        <v>1</v>
      </c>
      <c r="H446" s="1">
        <v>4</v>
      </c>
    </row>
    <row r="447" spans="1:8" x14ac:dyDescent="0.15">
      <c r="A447" s="4">
        <v>200.03679</v>
      </c>
      <c r="B447" s="4">
        <v>203.5</v>
      </c>
      <c r="C447" s="4">
        <v>0.26612000000000002</v>
      </c>
      <c r="D447" s="4">
        <v>99.281180000000006</v>
      </c>
      <c r="E447" s="4">
        <v>20</v>
      </c>
      <c r="F447" s="4">
        <v>80</v>
      </c>
      <c r="G447" s="4">
        <v>1</v>
      </c>
      <c r="H447" s="1">
        <v>4</v>
      </c>
    </row>
    <row r="448" spans="1:8" x14ac:dyDescent="0.15">
      <c r="A448" s="4">
        <v>200.04076000000001</v>
      </c>
      <c r="B448" s="4">
        <v>204</v>
      </c>
      <c r="C448" s="4">
        <v>0.2666</v>
      </c>
      <c r="D448" s="4">
        <v>99.273970000000006</v>
      </c>
      <c r="E448" s="4">
        <v>20</v>
      </c>
      <c r="F448" s="4">
        <v>80</v>
      </c>
      <c r="G448" s="4">
        <v>1</v>
      </c>
      <c r="H448" s="1">
        <v>4</v>
      </c>
    </row>
    <row r="449" spans="1:8" x14ac:dyDescent="0.15">
      <c r="A449" s="4">
        <v>200.04928000000001</v>
      </c>
      <c r="B449" s="4">
        <v>204.5</v>
      </c>
      <c r="C449" s="4">
        <v>0.26595000000000002</v>
      </c>
      <c r="D449" s="4">
        <v>99.205749999999995</v>
      </c>
      <c r="E449" s="4">
        <v>20</v>
      </c>
      <c r="F449" s="4">
        <v>80</v>
      </c>
      <c r="G449" s="4">
        <v>1</v>
      </c>
      <c r="H449" s="1">
        <v>4</v>
      </c>
    </row>
    <row r="450" spans="1:8" x14ac:dyDescent="0.15">
      <c r="A450" s="4">
        <v>200.05394000000001</v>
      </c>
      <c r="B450" s="4">
        <v>205</v>
      </c>
      <c r="C450" s="4">
        <v>0.26640000000000003</v>
      </c>
      <c r="D450" s="4">
        <v>99.187719999999999</v>
      </c>
      <c r="E450" s="4">
        <v>20</v>
      </c>
      <c r="F450" s="4">
        <v>80</v>
      </c>
      <c r="G450" s="4">
        <v>1</v>
      </c>
      <c r="H450" s="1">
        <v>4</v>
      </c>
    </row>
    <row r="451" spans="1:8" x14ac:dyDescent="0.15">
      <c r="A451" s="4">
        <v>200.0532</v>
      </c>
      <c r="B451" s="4">
        <v>205.5</v>
      </c>
      <c r="C451" s="4">
        <v>0.26463999999999999</v>
      </c>
      <c r="D451" s="4">
        <v>99.27655</v>
      </c>
      <c r="E451" s="4">
        <v>20</v>
      </c>
      <c r="F451" s="4">
        <v>80</v>
      </c>
      <c r="G451" s="4">
        <v>1</v>
      </c>
      <c r="H451" s="1">
        <v>4</v>
      </c>
    </row>
    <row r="452" spans="1:8" x14ac:dyDescent="0.15">
      <c r="A452" s="4">
        <v>200.04741000000001</v>
      </c>
      <c r="B452" s="4">
        <v>206</v>
      </c>
      <c r="C452" s="4">
        <v>0.26108999999999999</v>
      </c>
      <c r="D452" s="4">
        <v>99.232200000000006</v>
      </c>
      <c r="E452" s="4">
        <v>20</v>
      </c>
      <c r="F452" s="4">
        <v>80</v>
      </c>
      <c r="G452" s="4">
        <v>1</v>
      </c>
      <c r="H452" s="1">
        <v>4</v>
      </c>
    </row>
    <row r="453" spans="1:8" x14ac:dyDescent="0.15">
      <c r="A453" s="4">
        <v>200.04182</v>
      </c>
      <c r="B453" s="4">
        <v>206.5</v>
      </c>
      <c r="C453" s="4">
        <v>0.26112999999999997</v>
      </c>
      <c r="D453" s="4">
        <v>99.418199999999999</v>
      </c>
      <c r="E453" s="4">
        <v>20</v>
      </c>
      <c r="F453" s="4">
        <v>80</v>
      </c>
      <c r="G453" s="4">
        <v>1</v>
      </c>
      <c r="H453" s="1">
        <v>4</v>
      </c>
    </row>
    <row r="454" spans="1:8" x14ac:dyDescent="0.15">
      <c r="A454" s="4">
        <v>200.03292999999999</v>
      </c>
      <c r="B454" s="4">
        <v>207</v>
      </c>
      <c r="C454" s="4">
        <v>0.25964999999999999</v>
      </c>
      <c r="D454" s="4">
        <v>99.256460000000004</v>
      </c>
      <c r="E454" s="4">
        <v>20</v>
      </c>
      <c r="F454" s="4">
        <v>80</v>
      </c>
      <c r="G454" s="4">
        <v>1</v>
      </c>
      <c r="H454" s="1">
        <v>4</v>
      </c>
    </row>
    <row r="455" spans="1:8" x14ac:dyDescent="0.15">
      <c r="A455" s="4">
        <v>200.0172</v>
      </c>
      <c r="B455" s="4">
        <v>207.5</v>
      </c>
      <c r="C455" s="4">
        <v>0.26030999999999999</v>
      </c>
      <c r="D455" s="4">
        <v>99.234849999999994</v>
      </c>
      <c r="E455" s="4">
        <v>20</v>
      </c>
      <c r="F455" s="4">
        <v>80</v>
      </c>
      <c r="G455" s="4">
        <v>1</v>
      </c>
      <c r="H455" s="1">
        <v>4</v>
      </c>
    </row>
    <row r="456" spans="1:8" x14ac:dyDescent="0.15">
      <c r="A456" s="4">
        <v>200.00676999999999</v>
      </c>
      <c r="B456" s="4">
        <v>208</v>
      </c>
      <c r="C456" s="4">
        <v>0.26252999999999999</v>
      </c>
      <c r="D456" s="4">
        <v>99.170540000000003</v>
      </c>
      <c r="E456" s="4">
        <v>20</v>
      </c>
      <c r="F456" s="4">
        <v>80</v>
      </c>
      <c r="G456" s="4">
        <v>1</v>
      </c>
      <c r="H456" s="1">
        <v>4</v>
      </c>
    </row>
    <row r="457" spans="1:8" x14ac:dyDescent="0.15">
      <c r="A457" s="4">
        <v>200.00753</v>
      </c>
      <c r="B457" s="4">
        <v>208.5</v>
      </c>
      <c r="C457" s="4">
        <v>0.26429000000000002</v>
      </c>
      <c r="D457" s="4">
        <v>99.263850000000005</v>
      </c>
      <c r="E457" s="4">
        <v>20</v>
      </c>
      <c r="F457" s="4">
        <v>80</v>
      </c>
      <c r="G457" s="4">
        <v>1</v>
      </c>
      <c r="H457" s="1">
        <v>4</v>
      </c>
    </row>
    <row r="458" spans="1:8" x14ac:dyDescent="0.15">
      <c r="A458" s="4">
        <v>200.01240000000001</v>
      </c>
      <c r="B458" s="4">
        <v>209</v>
      </c>
      <c r="C458" s="4">
        <v>0.26711000000000001</v>
      </c>
      <c r="D458" s="4">
        <v>99.297780000000003</v>
      </c>
      <c r="E458" s="4">
        <v>20</v>
      </c>
      <c r="F458" s="4">
        <v>80</v>
      </c>
      <c r="G458" s="4">
        <v>1</v>
      </c>
      <c r="H458" s="1">
        <v>4</v>
      </c>
    </row>
    <row r="459" spans="1:8" x14ac:dyDescent="0.15">
      <c r="A459" s="4">
        <v>200.01862</v>
      </c>
      <c r="B459" s="4">
        <v>209.5</v>
      </c>
      <c r="C459" s="4">
        <v>0.26427</v>
      </c>
      <c r="D459" s="4">
        <v>99.25685</v>
      </c>
      <c r="E459" s="4">
        <v>20</v>
      </c>
      <c r="F459" s="4">
        <v>80</v>
      </c>
      <c r="G459" s="4">
        <v>1</v>
      </c>
      <c r="H459" s="1">
        <v>4</v>
      </c>
    </row>
    <row r="460" spans="1:8" x14ac:dyDescent="0.15">
      <c r="A460" s="4">
        <v>200.02078</v>
      </c>
      <c r="B460" s="4">
        <v>210</v>
      </c>
      <c r="C460" s="4">
        <v>0.26319999999999999</v>
      </c>
      <c r="D460" s="4">
        <v>99.143349999999998</v>
      </c>
      <c r="E460" s="4">
        <v>20</v>
      </c>
      <c r="F460" s="4">
        <v>80</v>
      </c>
      <c r="G460" s="4">
        <v>1</v>
      </c>
      <c r="H460" s="1">
        <v>4</v>
      </c>
    </row>
    <row r="461" spans="1:8" x14ac:dyDescent="0.15">
      <c r="A461" s="4">
        <v>200.01226</v>
      </c>
      <c r="B461" s="4">
        <v>210.5</v>
      </c>
      <c r="C461" s="4">
        <v>0.26028000000000001</v>
      </c>
      <c r="D461" s="4">
        <v>99.289540000000002</v>
      </c>
      <c r="E461" s="4">
        <v>20</v>
      </c>
      <c r="F461" s="4">
        <v>80</v>
      </c>
      <c r="G461" s="4">
        <v>1</v>
      </c>
      <c r="H461" s="1">
        <v>4</v>
      </c>
    </row>
    <row r="462" spans="1:8" x14ac:dyDescent="0.15">
      <c r="A462" s="4">
        <v>199.99888000000001</v>
      </c>
      <c r="B462" s="4">
        <v>211</v>
      </c>
      <c r="C462" s="4">
        <v>0.25734000000000001</v>
      </c>
      <c r="D462" s="4">
        <v>99.185429999999997</v>
      </c>
      <c r="E462" s="4">
        <v>20</v>
      </c>
      <c r="F462" s="4">
        <v>80</v>
      </c>
      <c r="G462" s="4">
        <v>1</v>
      </c>
      <c r="H462" s="1">
        <v>4</v>
      </c>
    </row>
    <row r="463" spans="1:8" x14ac:dyDescent="0.15">
      <c r="A463" s="4">
        <v>199.9873</v>
      </c>
      <c r="B463" s="4">
        <v>211.5</v>
      </c>
      <c r="C463" s="4">
        <v>0.26068000000000002</v>
      </c>
      <c r="D463" s="4">
        <v>99.191090000000003</v>
      </c>
      <c r="E463" s="4">
        <v>20</v>
      </c>
      <c r="F463" s="4">
        <v>80</v>
      </c>
      <c r="G463" s="4">
        <v>1</v>
      </c>
      <c r="H463" s="1">
        <v>4</v>
      </c>
    </row>
    <row r="464" spans="1:8" x14ac:dyDescent="0.15">
      <c r="A464" s="4">
        <v>199.9931</v>
      </c>
      <c r="B464" s="4">
        <v>212</v>
      </c>
      <c r="C464" s="4">
        <v>0.26801999999999998</v>
      </c>
      <c r="D464" s="4">
        <v>99.258809999999997</v>
      </c>
      <c r="E464" s="4">
        <v>20</v>
      </c>
      <c r="F464" s="4">
        <v>80</v>
      </c>
      <c r="G464" s="4">
        <v>1</v>
      </c>
      <c r="H464" s="1">
        <v>4</v>
      </c>
    </row>
    <row r="465" spans="1:8" x14ac:dyDescent="0.15">
      <c r="A465" s="4">
        <v>200.01701</v>
      </c>
      <c r="B465" s="4">
        <v>212.5</v>
      </c>
      <c r="C465" s="4">
        <v>0.27215</v>
      </c>
      <c r="D465" s="4">
        <v>99.14479</v>
      </c>
      <c r="E465" s="4">
        <v>20</v>
      </c>
      <c r="F465" s="4">
        <v>80</v>
      </c>
      <c r="G465" s="4">
        <v>1</v>
      </c>
      <c r="H465" s="1">
        <v>4</v>
      </c>
    </row>
    <row r="466" spans="1:8" x14ac:dyDescent="0.15">
      <c r="A466" s="4">
        <v>200.04039</v>
      </c>
      <c r="B466" s="4">
        <v>213</v>
      </c>
      <c r="C466" s="4">
        <v>0.26846999999999999</v>
      </c>
      <c r="D466" s="4">
        <v>99.34657</v>
      </c>
      <c r="E466" s="4">
        <v>20</v>
      </c>
      <c r="F466" s="4">
        <v>80</v>
      </c>
      <c r="G466" s="4">
        <v>1</v>
      </c>
      <c r="H466" s="1">
        <v>4</v>
      </c>
    </row>
    <row r="467" spans="1:8" x14ac:dyDescent="0.15">
      <c r="A467" s="4">
        <v>200.04625999999999</v>
      </c>
      <c r="B467" s="4">
        <v>213.5</v>
      </c>
      <c r="C467" s="4">
        <v>0.26033000000000001</v>
      </c>
      <c r="D467" s="4">
        <v>99.275700000000001</v>
      </c>
      <c r="E467" s="4">
        <v>20</v>
      </c>
      <c r="F467" s="4">
        <v>80</v>
      </c>
      <c r="G467" s="4">
        <v>1</v>
      </c>
      <c r="H467" s="1">
        <v>4</v>
      </c>
    </row>
    <row r="468" spans="1:8" x14ac:dyDescent="0.15">
      <c r="A468" s="4">
        <v>200.04319000000001</v>
      </c>
      <c r="B468" s="4">
        <v>214</v>
      </c>
      <c r="C468" s="4">
        <v>0.25775999999999999</v>
      </c>
      <c r="D468" s="4">
        <v>99.208110000000005</v>
      </c>
      <c r="E468" s="4">
        <v>20</v>
      </c>
      <c r="F468" s="4">
        <v>80</v>
      </c>
      <c r="G468" s="4">
        <v>1</v>
      </c>
      <c r="H468" s="1">
        <v>4</v>
      </c>
    </row>
    <row r="469" spans="1:8" x14ac:dyDescent="0.15">
      <c r="A469" s="4">
        <v>200.03892999999999</v>
      </c>
      <c r="B469" s="4">
        <v>214.5</v>
      </c>
      <c r="C469" s="4">
        <v>0.26167000000000001</v>
      </c>
      <c r="D469" s="4">
        <v>99.135339999999999</v>
      </c>
      <c r="E469" s="4">
        <v>20</v>
      </c>
      <c r="F469" s="4">
        <v>80</v>
      </c>
      <c r="G469" s="4">
        <v>1</v>
      </c>
      <c r="H469" s="1">
        <v>4</v>
      </c>
    </row>
    <row r="470" spans="1:8" x14ac:dyDescent="0.15">
      <c r="A470" s="4">
        <v>200.03697</v>
      </c>
      <c r="B470" s="4">
        <v>215</v>
      </c>
      <c r="C470" s="4">
        <v>0.26349</v>
      </c>
      <c r="D470" s="4">
        <v>99.294979999999995</v>
      </c>
      <c r="E470" s="4">
        <v>20</v>
      </c>
      <c r="F470" s="4">
        <v>80</v>
      </c>
      <c r="G470" s="4">
        <v>1</v>
      </c>
      <c r="H470" s="1">
        <v>4</v>
      </c>
    </row>
    <row r="471" spans="1:8" x14ac:dyDescent="0.15">
      <c r="A471" s="4">
        <v>200.04217</v>
      </c>
      <c r="B471" s="4">
        <v>215.5</v>
      </c>
      <c r="C471" s="4">
        <v>0.26574999999999999</v>
      </c>
      <c r="D471" s="4">
        <v>99.217699999999994</v>
      </c>
      <c r="E471" s="4">
        <v>20</v>
      </c>
      <c r="F471" s="4">
        <v>80</v>
      </c>
      <c r="G471" s="4">
        <v>1</v>
      </c>
      <c r="H471" s="1">
        <v>4</v>
      </c>
    </row>
    <row r="472" spans="1:8" x14ac:dyDescent="0.15">
      <c r="A472" s="4">
        <v>200.05247</v>
      </c>
      <c r="B472" s="4">
        <v>216</v>
      </c>
      <c r="C472" s="4">
        <v>0.26245000000000002</v>
      </c>
      <c r="D472" s="4">
        <v>99.163550000000001</v>
      </c>
      <c r="E472" s="4">
        <v>20</v>
      </c>
      <c r="F472" s="4">
        <v>80</v>
      </c>
      <c r="G472" s="4">
        <v>1</v>
      </c>
      <c r="H472" s="1">
        <v>4</v>
      </c>
    </row>
    <row r="473" spans="1:8" x14ac:dyDescent="0.15">
      <c r="A473" s="4">
        <v>200.05385000000001</v>
      </c>
      <c r="B473" s="4">
        <v>216.5</v>
      </c>
      <c r="C473" s="4">
        <v>0.25994</v>
      </c>
      <c r="D473" s="4">
        <v>99.19811</v>
      </c>
      <c r="E473" s="4">
        <v>20</v>
      </c>
      <c r="F473" s="4">
        <v>80</v>
      </c>
      <c r="G473" s="4">
        <v>1</v>
      </c>
      <c r="H473" s="1">
        <v>4</v>
      </c>
    </row>
    <row r="474" spans="1:8" x14ac:dyDescent="0.15">
      <c r="A474" s="4">
        <v>200.04608999999999</v>
      </c>
      <c r="B474" s="4">
        <v>217</v>
      </c>
      <c r="C474" s="4">
        <v>0.25764999999999999</v>
      </c>
      <c r="D474" s="4">
        <v>99.218410000000006</v>
      </c>
      <c r="E474" s="4">
        <v>20</v>
      </c>
      <c r="F474" s="4">
        <v>80</v>
      </c>
      <c r="G474" s="4">
        <v>1</v>
      </c>
      <c r="H474" s="1">
        <v>4</v>
      </c>
    </row>
    <row r="475" spans="1:8" x14ac:dyDescent="0.15">
      <c r="A475" s="4">
        <v>200.03131999999999</v>
      </c>
      <c r="B475" s="4">
        <v>217.5</v>
      </c>
      <c r="C475" s="4">
        <v>0.25563999999999998</v>
      </c>
      <c r="D475" s="4">
        <v>99.188320000000004</v>
      </c>
      <c r="E475" s="4">
        <v>20</v>
      </c>
      <c r="F475" s="4">
        <v>80</v>
      </c>
      <c r="G475" s="4">
        <v>1</v>
      </c>
      <c r="H475" s="1">
        <v>4</v>
      </c>
    </row>
    <row r="476" spans="1:8" x14ac:dyDescent="0.15">
      <c r="A476" s="4">
        <v>200.01573999999999</v>
      </c>
      <c r="B476" s="4">
        <v>218</v>
      </c>
      <c r="C476" s="4">
        <v>0.25796000000000002</v>
      </c>
      <c r="D476" s="4">
        <v>99.172809999999998</v>
      </c>
      <c r="E476" s="4">
        <v>20</v>
      </c>
      <c r="F476" s="4">
        <v>80</v>
      </c>
      <c r="G476" s="4">
        <v>1</v>
      </c>
      <c r="H476" s="1">
        <v>4</v>
      </c>
    </row>
    <row r="477" spans="1:8" x14ac:dyDescent="0.15">
      <c r="A477" s="4">
        <v>200.00582</v>
      </c>
      <c r="B477" s="4">
        <v>218.5</v>
      </c>
      <c r="C477" s="4">
        <v>0.26002999999999998</v>
      </c>
      <c r="D477" s="4">
        <v>99.168210000000002</v>
      </c>
      <c r="E477" s="4">
        <v>20</v>
      </c>
      <c r="F477" s="4">
        <v>80</v>
      </c>
      <c r="G477" s="4">
        <v>1</v>
      </c>
      <c r="H477" s="1">
        <v>4</v>
      </c>
    </row>
    <row r="478" spans="1:8" x14ac:dyDescent="0.15">
      <c r="A478" s="4">
        <v>200.00549000000001</v>
      </c>
      <c r="B478" s="4">
        <v>219</v>
      </c>
      <c r="C478" s="4">
        <v>0.26301999999999998</v>
      </c>
      <c r="D478" s="4">
        <v>99.197140000000005</v>
      </c>
      <c r="E478" s="4">
        <v>20</v>
      </c>
      <c r="F478" s="4">
        <v>80</v>
      </c>
      <c r="G478" s="4">
        <v>1</v>
      </c>
      <c r="H478" s="1">
        <v>4</v>
      </c>
    </row>
    <row r="479" spans="1:8" x14ac:dyDescent="0.15">
      <c r="A479" s="4">
        <v>200.00892999999999</v>
      </c>
      <c r="B479" s="4">
        <v>219.5</v>
      </c>
      <c r="C479" s="4">
        <v>0.26286999999999999</v>
      </c>
      <c r="D479" s="4">
        <v>99.217479999999995</v>
      </c>
      <c r="E479" s="4">
        <v>20</v>
      </c>
      <c r="F479" s="4">
        <v>80</v>
      </c>
      <c r="G479" s="4">
        <v>1</v>
      </c>
      <c r="H479" s="1">
        <v>4</v>
      </c>
    </row>
    <row r="480" spans="1:8" x14ac:dyDescent="0.15">
      <c r="A480" s="4">
        <v>200.01039</v>
      </c>
      <c r="B480" s="4">
        <v>220</v>
      </c>
      <c r="C480" s="4">
        <v>0.26293</v>
      </c>
      <c r="D480" s="4">
        <v>99.190510000000003</v>
      </c>
      <c r="E480" s="4">
        <v>20</v>
      </c>
      <c r="F480" s="4">
        <v>80</v>
      </c>
      <c r="G480" s="4">
        <v>1</v>
      </c>
      <c r="H480" s="1">
        <v>4</v>
      </c>
    </row>
    <row r="481" spans="1:8" x14ac:dyDescent="0.15">
      <c r="A481" s="4">
        <v>200.02076</v>
      </c>
      <c r="B481" s="4">
        <v>220.5</v>
      </c>
      <c r="C481" s="4">
        <v>0.26606000000000002</v>
      </c>
      <c r="D481" s="4">
        <v>99.20711</v>
      </c>
      <c r="E481" s="4">
        <v>20</v>
      </c>
      <c r="F481" s="4">
        <v>80</v>
      </c>
      <c r="G481" s="4">
        <v>1</v>
      </c>
      <c r="H481" s="1">
        <v>4</v>
      </c>
    </row>
    <row r="482" spans="1:8" x14ac:dyDescent="0.15">
      <c r="A482" s="4">
        <v>200.04536999999999</v>
      </c>
      <c r="B482" s="4">
        <v>221</v>
      </c>
      <c r="C482" s="4">
        <v>0.26951999999999998</v>
      </c>
      <c r="D482" s="4">
        <v>99.326359999999994</v>
      </c>
      <c r="E482" s="4">
        <v>20</v>
      </c>
      <c r="F482" s="4">
        <v>80</v>
      </c>
      <c r="G482" s="4">
        <v>1</v>
      </c>
      <c r="H482" s="1">
        <v>4</v>
      </c>
    </row>
    <row r="483" spans="1:8" x14ac:dyDescent="0.15">
      <c r="A483" s="4">
        <v>200.07456999999999</v>
      </c>
      <c r="B483" s="4">
        <v>221.5</v>
      </c>
      <c r="C483" s="4">
        <v>0.27041999999999999</v>
      </c>
      <c r="D483" s="4">
        <v>99.245859999999993</v>
      </c>
      <c r="E483" s="4">
        <v>20</v>
      </c>
      <c r="F483" s="4">
        <v>80</v>
      </c>
      <c r="G483" s="4">
        <v>1</v>
      </c>
      <c r="H483" s="1">
        <v>4</v>
      </c>
    </row>
    <row r="484" spans="1:8" x14ac:dyDescent="0.15">
      <c r="A484" s="4">
        <v>200.08989</v>
      </c>
      <c r="B484" s="4">
        <v>222</v>
      </c>
      <c r="C484" s="4">
        <v>0.26213999999999998</v>
      </c>
      <c r="D484" s="4">
        <v>99.263649999999998</v>
      </c>
      <c r="E484" s="4">
        <v>20</v>
      </c>
      <c r="F484" s="4">
        <v>80</v>
      </c>
      <c r="G484" s="4">
        <v>1</v>
      </c>
      <c r="H484" s="1">
        <v>4</v>
      </c>
    </row>
    <row r="485" spans="1:8" x14ac:dyDescent="0.15">
      <c r="A485" s="4">
        <v>200.08201</v>
      </c>
      <c r="B485" s="4">
        <v>222.5</v>
      </c>
      <c r="C485" s="4">
        <v>0.25358999999999998</v>
      </c>
      <c r="D485" s="4">
        <v>99.201440000000005</v>
      </c>
      <c r="E485" s="4">
        <v>20</v>
      </c>
      <c r="F485" s="4">
        <v>80</v>
      </c>
      <c r="G485" s="4">
        <v>1</v>
      </c>
      <c r="H485" s="1">
        <v>4</v>
      </c>
    </row>
    <row r="486" spans="1:8" x14ac:dyDescent="0.15">
      <c r="A486" s="4">
        <v>200.05685</v>
      </c>
      <c r="B486" s="4">
        <v>223</v>
      </c>
      <c r="C486" s="4">
        <v>0.25076999999999999</v>
      </c>
      <c r="D486" s="4">
        <v>99.231319999999997</v>
      </c>
      <c r="E486" s="4">
        <v>20</v>
      </c>
      <c r="F486" s="4">
        <v>80</v>
      </c>
      <c r="G486" s="4">
        <v>1</v>
      </c>
      <c r="H486" s="1">
        <v>4</v>
      </c>
    </row>
    <row r="487" spans="1:8" x14ac:dyDescent="0.15">
      <c r="A487" s="4">
        <v>200.03980999999999</v>
      </c>
      <c r="B487" s="4">
        <v>223.5</v>
      </c>
      <c r="C487" s="4">
        <v>0.26125999999999999</v>
      </c>
      <c r="D487" s="4">
        <v>99.243099999999998</v>
      </c>
      <c r="E487" s="4">
        <v>20</v>
      </c>
      <c r="F487" s="4">
        <v>80</v>
      </c>
      <c r="G487" s="4">
        <v>1</v>
      </c>
      <c r="H487" s="1">
        <v>4</v>
      </c>
    </row>
    <row r="488" spans="1:8" x14ac:dyDescent="0.15">
      <c r="A488" s="4">
        <v>200.04549</v>
      </c>
      <c r="B488" s="4">
        <v>224</v>
      </c>
      <c r="C488" s="4">
        <v>0.26888000000000001</v>
      </c>
      <c r="D488" s="4">
        <v>99.06756</v>
      </c>
      <c r="E488" s="4">
        <v>20</v>
      </c>
      <c r="F488" s="4">
        <v>80</v>
      </c>
      <c r="G488" s="4">
        <v>1</v>
      </c>
      <c r="H488" s="1">
        <v>4</v>
      </c>
    </row>
    <row r="489" spans="1:8" x14ac:dyDescent="0.15">
      <c r="A489" s="4">
        <v>200.0616</v>
      </c>
      <c r="B489" s="4">
        <v>224.5</v>
      </c>
      <c r="C489" s="4">
        <v>0.26801000000000003</v>
      </c>
      <c r="D489" s="4">
        <v>99.225020000000001</v>
      </c>
      <c r="E489" s="4">
        <v>20</v>
      </c>
      <c r="F489" s="4">
        <v>80</v>
      </c>
      <c r="G489" s="4">
        <v>1</v>
      </c>
      <c r="H489" s="1">
        <v>4</v>
      </c>
    </row>
    <row r="490" spans="1:8" x14ac:dyDescent="0.15">
      <c r="A490" s="4">
        <v>200.07225</v>
      </c>
      <c r="B490" s="4">
        <v>225</v>
      </c>
      <c r="C490" s="4">
        <v>0.26185000000000003</v>
      </c>
      <c r="D490" s="4">
        <v>99.113560000000007</v>
      </c>
      <c r="E490" s="4">
        <v>20</v>
      </c>
      <c r="F490" s="4">
        <v>80</v>
      </c>
      <c r="G490" s="4">
        <v>1</v>
      </c>
      <c r="H490" s="1">
        <v>4</v>
      </c>
    </row>
    <row r="491" spans="1:8" x14ac:dyDescent="0.15">
      <c r="A491" s="4">
        <v>200.07311999999999</v>
      </c>
      <c r="B491" s="4">
        <v>225.5</v>
      </c>
      <c r="C491" s="4">
        <v>0.25889000000000001</v>
      </c>
      <c r="D491" s="4">
        <v>99.195030000000003</v>
      </c>
      <c r="E491" s="4">
        <v>20</v>
      </c>
      <c r="F491" s="4">
        <v>80</v>
      </c>
      <c r="G491" s="4">
        <v>1</v>
      </c>
      <c r="H491" s="1">
        <v>4</v>
      </c>
    </row>
    <row r="492" spans="1:8" x14ac:dyDescent="0.15">
      <c r="A492" s="4">
        <v>200.06412</v>
      </c>
      <c r="B492" s="4">
        <v>226</v>
      </c>
      <c r="C492" s="4">
        <v>0.25752000000000003</v>
      </c>
      <c r="D492" s="4">
        <v>99.221869999999996</v>
      </c>
      <c r="E492" s="4">
        <v>20</v>
      </c>
      <c r="F492" s="4">
        <v>80</v>
      </c>
      <c r="G492" s="4">
        <v>1</v>
      </c>
      <c r="H492" s="1">
        <v>4</v>
      </c>
    </row>
    <row r="493" spans="1:8" x14ac:dyDescent="0.15">
      <c r="A493" s="4">
        <v>200.04796999999999</v>
      </c>
      <c r="B493" s="4">
        <v>226.5</v>
      </c>
      <c r="C493" s="4">
        <v>0.25879999999999997</v>
      </c>
      <c r="D493" s="4">
        <v>99.207909999999998</v>
      </c>
      <c r="E493" s="4">
        <v>20</v>
      </c>
      <c r="F493" s="4">
        <v>80</v>
      </c>
      <c r="G493" s="4">
        <v>1</v>
      </c>
      <c r="H493" s="1">
        <v>4</v>
      </c>
    </row>
    <row r="494" spans="1:8" x14ac:dyDescent="0.15">
      <c r="A494" s="4">
        <v>200.03738000000001</v>
      </c>
      <c r="B494" s="4">
        <v>227</v>
      </c>
      <c r="C494" s="4">
        <v>0.25857999999999998</v>
      </c>
      <c r="D494" s="4">
        <v>99.272850000000005</v>
      </c>
      <c r="E494" s="4">
        <v>20</v>
      </c>
      <c r="F494" s="4">
        <v>80</v>
      </c>
      <c r="G494" s="4">
        <v>1</v>
      </c>
      <c r="H494" s="1">
        <v>4</v>
      </c>
    </row>
    <row r="495" spans="1:8" x14ac:dyDescent="0.15">
      <c r="A495" s="4">
        <v>200.02837</v>
      </c>
      <c r="B495" s="4">
        <v>227.5</v>
      </c>
      <c r="C495" s="4">
        <v>0.25994</v>
      </c>
      <c r="D495" s="4">
        <v>99.256630000000001</v>
      </c>
      <c r="E495" s="4">
        <v>20</v>
      </c>
      <c r="F495" s="4">
        <v>80</v>
      </c>
      <c r="G495" s="4">
        <v>1</v>
      </c>
      <c r="H495" s="1">
        <v>4</v>
      </c>
    </row>
    <row r="496" spans="1:8" x14ac:dyDescent="0.15">
      <c r="A496" s="4">
        <v>200.02185</v>
      </c>
      <c r="B496" s="4">
        <v>228</v>
      </c>
      <c r="C496" s="4">
        <v>0.26122000000000001</v>
      </c>
      <c r="D496" s="4">
        <v>99.280760000000001</v>
      </c>
      <c r="E496" s="4">
        <v>20</v>
      </c>
      <c r="F496" s="4">
        <v>80</v>
      </c>
      <c r="G496" s="4">
        <v>1</v>
      </c>
      <c r="H496" s="1">
        <v>4</v>
      </c>
    </row>
    <row r="497" spans="1:8" x14ac:dyDescent="0.15">
      <c r="A497" s="4">
        <v>200.01541</v>
      </c>
      <c r="B497" s="4">
        <v>228.5</v>
      </c>
      <c r="C497" s="4">
        <v>0.25838</v>
      </c>
      <c r="D497" s="4">
        <v>99.162549999999996</v>
      </c>
      <c r="E497" s="4">
        <v>20</v>
      </c>
      <c r="F497" s="4">
        <v>80</v>
      </c>
      <c r="G497" s="4">
        <v>1</v>
      </c>
      <c r="H497" s="1">
        <v>4</v>
      </c>
    </row>
    <row r="498" spans="1:8" x14ac:dyDescent="0.15">
      <c r="A498" s="4">
        <v>200.00621000000001</v>
      </c>
      <c r="B498" s="4">
        <v>229</v>
      </c>
      <c r="C498" s="4">
        <v>0.25774000000000002</v>
      </c>
      <c r="D498" s="4">
        <v>99.235870000000006</v>
      </c>
      <c r="E498" s="4">
        <v>20</v>
      </c>
      <c r="F498" s="4">
        <v>80</v>
      </c>
      <c r="G498" s="4">
        <v>1</v>
      </c>
      <c r="H498" s="1">
        <v>4</v>
      </c>
    </row>
    <row r="499" spans="1:8" x14ac:dyDescent="0.15">
      <c r="A499" s="4">
        <v>200.00026</v>
      </c>
      <c r="B499" s="4">
        <v>229.5</v>
      </c>
      <c r="C499" s="4">
        <v>0.26040000000000002</v>
      </c>
      <c r="D499" s="4">
        <v>99.086150000000004</v>
      </c>
      <c r="E499" s="4">
        <v>20</v>
      </c>
      <c r="F499" s="4">
        <v>80</v>
      </c>
      <c r="G499" s="4">
        <v>1</v>
      </c>
      <c r="H499" s="1">
        <v>4</v>
      </c>
    </row>
    <row r="500" spans="1:8" x14ac:dyDescent="0.15">
      <c r="A500" s="4">
        <v>199.99969999999999</v>
      </c>
      <c r="B500" s="4">
        <v>230</v>
      </c>
      <c r="C500" s="4">
        <v>0.26021</v>
      </c>
      <c r="D500" s="4">
        <v>99.212180000000004</v>
      </c>
      <c r="E500" s="4">
        <v>20</v>
      </c>
      <c r="F500" s="4">
        <v>80</v>
      </c>
      <c r="G500" s="4">
        <v>1</v>
      </c>
      <c r="H500" s="1">
        <v>4</v>
      </c>
    </row>
    <row r="501" spans="1:8" x14ac:dyDescent="0.15">
      <c r="A501" s="4">
        <v>200.00136000000001</v>
      </c>
      <c r="B501" s="4">
        <v>230.5</v>
      </c>
      <c r="C501" s="4">
        <v>0.25881999999999999</v>
      </c>
      <c r="D501" s="4">
        <v>99.261480000000006</v>
      </c>
      <c r="E501" s="4">
        <v>20</v>
      </c>
      <c r="F501" s="4">
        <v>80</v>
      </c>
      <c r="G501" s="4">
        <v>1</v>
      </c>
      <c r="H501" s="1">
        <v>4</v>
      </c>
    </row>
    <row r="502" spans="1:8" x14ac:dyDescent="0.15">
      <c r="A502" s="4">
        <v>200.00004999999999</v>
      </c>
      <c r="B502" s="4">
        <v>231</v>
      </c>
      <c r="C502" s="4">
        <v>0.25950000000000001</v>
      </c>
      <c r="D502" s="4">
        <v>99.318190000000001</v>
      </c>
      <c r="E502" s="4">
        <v>20</v>
      </c>
      <c r="F502" s="4">
        <v>80</v>
      </c>
      <c r="G502" s="4">
        <v>1</v>
      </c>
      <c r="H502" s="1">
        <v>4</v>
      </c>
    </row>
    <row r="503" spans="1:8" x14ac:dyDescent="0.15">
      <c r="A503" s="4">
        <v>200.00200000000001</v>
      </c>
      <c r="B503" s="4">
        <v>231.5</v>
      </c>
      <c r="C503" s="4">
        <v>0.2596</v>
      </c>
      <c r="D503" s="4">
        <v>99.1678</v>
      </c>
      <c r="E503" s="4">
        <v>20</v>
      </c>
      <c r="F503" s="4">
        <v>80</v>
      </c>
      <c r="G503" s="4">
        <v>1</v>
      </c>
      <c r="H503" s="1">
        <v>4</v>
      </c>
    </row>
    <row r="504" spans="1:8" x14ac:dyDescent="0.15">
      <c r="A504" s="4">
        <v>199.99982</v>
      </c>
      <c r="B504" s="4">
        <v>232</v>
      </c>
      <c r="C504" s="4">
        <v>0.25874999999999998</v>
      </c>
      <c r="D504" s="4">
        <v>99.098640000000003</v>
      </c>
      <c r="E504" s="4">
        <v>20</v>
      </c>
      <c r="F504" s="4">
        <v>80</v>
      </c>
      <c r="G504" s="4">
        <v>1</v>
      </c>
      <c r="H504" s="1">
        <v>4</v>
      </c>
    </row>
    <row r="505" spans="1:8" x14ac:dyDescent="0.15">
      <c r="A505" s="4">
        <v>199.99294</v>
      </c>
      <c r="B505" s="4">
        <v>232.5</v>
      </c>
      <c r="C505" s="4">
        <v>0.25697999999999999</v>
      </c>
      <c r="D505" s="4">
        <v>99.207049999999995</v>
      </c>
      <c r="E505" s="4">
        <v>20</v>
      </c>
      <c r="F505" s="4">
        <v>80</v>
      </c>
      <c r="G505" s="4">
        <v>1</v>
      </c>
      <c r="H505" s="1">
        <v>4</v>
      </c>
    </row>
    <row r="506" spans="1:8" x14ac:dyDescent="0.15">
      <c r="A506" s="4">
        <v>199.98931999999999</v>
      </c>
      <c r="B506" s="4">
        <v>233</v>
      </c>
      <c r="C506" s="4">
        <v>0.26012000000000002</v>
      </c>
      <c r="D506" s="4">
        <v>99.18383</v>
      </c>
      <c r="E506" s="4">
        <v>20</v>
      </c>
      <c r="F506" s="4">
        <v>80</v>
      </c>
      <c r="G506" s="4">
        <v>1</v>
      </c>
      <c r="H506" s="1">
        <v>4</v>
      </c>
    </row>
    <row r="507" spans="1:8" x14ac:dyDescent="0.15">
      <c r="A507" s="4">
        <v>199.99226999999999</v>
      </c>
      <c r="B507" s="4">
        <v>233.5</v>
      </c>
      <c r="C507" s="4">
        <v>0.26191999999999999</v>
      </c>
      <c r="D507" s="4">
        <v>99.081419999999994</v>
      </c>
      <c r="E507" s="4">
        <v>20</v>
      </c>
      <c r="F507" s="4">
        <v>80</v>
      </c>
      <c r="G507" s="4">
        <v>1</v>
      </c>
      <c r="H507" s="1">
        <v>4</v>
      </c>
    </row>
    <row r="508" spans="1:8" x14ac:dyDescent="0.15">
      <c r="A508" s="4">
        <v>199.99969999999999</v>
      </c>
      <c r="B508" s="4">
        <v>234</v>
      </c>
      <c r="C508" s="4">
        <v>0.26416000000000001</v>
      </c>
      <c r="D508" s="4">
        <v>99.23021</v>
      </c>
      <c r="E508" s="4">
        <v>20</v>
      </c>
      <c r="F508" s="4">
        <v>80</v>
      </c>
      <c r="G508" s="4">
        <v>1</v>
      </c>
      <c r="H508" s="1">
        <v>4</v>
      </c>
    </row>
    <row r="509" spans="1:8" x14ac:dyDescent="0.15">
      <c r="A509" s="4">
        <v>200.01424</v>
      </c>
      <c r="B509" s="4">
        <v>234.5</v>
      </c>
      <c r="C509" s="4">
        <v>0.26372000000000001</v>
      </c>
      <c r="D509" s="4">
        <v>99.190880000000007</v>
      </c>
      <c r="E509" s="4">
        <v>20</v>
      </c>
      <c r="F509" s="4">
        <v>80</v>
      </c>
      <c r="G509" s="4">
        <v>1</v>
      </c>
      <c r="H509" s="1">
        <v>4</v>
      </c>
    </row>
    <row r="510" spans="1:8" x14ac:dyDescent="0.15">
      <c r="A510" s="4">
        <v>200.03622999999999</v>
      </c>
      <c r="B510" s="4">
        <v>235</v>
      </c>
      <c r="C510" s="4">
        <v>0.26502999999999999</v>
      </c>
      <c r="D510" s="4">
        <v>99.057329999999993</v>
      </c>
      <c r="E510" s="4">
        <v>20</v>
      </c>
      <c r="F510" s="4">
        <v>80</v>
      </c>
      <c r="G510" s="4">
        <v>1</v>
      </c>
      <c r="H510" s="1">
        <v>4</v>
      </c>
    </row>
    <row r="511" spans="1:8" x14ac:dyDescent="0.15">
      <c r="A511" s="4">
        <v>200.05513999999999</v>
      </c>
      <c r="B511" s="4">
        <v>235.5</v>
      </c>
      <c r="C511" s="4">
        <v>0.26382</v>
      </c>
      <c r="D511" s="4">
        <v>99.226730000000003</v>
      </c>
      <c r="E511" s="4">
        <v>20</v>
      </c>
      <c r="F511" s="4">
        <v>80</v>
      </c>
      <c r="G511" s="4">
        <v>1</v>
      </c>
      <c r="H511" s="1">
        <v>4</v>
      </c>
    </row>
    <row r="512" spans="1:8" x14ac:dyDescent="0.15">
      <c r="A512" s="4">
        <v>200.04427000000001</v>
      </c>
      <c r="B512" s="4">
        <v>236</v>
      </c>
      <c r="C512" s="4">
        <v>0.24859999999999999</v>
      </c>
      <c r="D512" s="4">
        <v>99.13888</v>
      </c>
      <c r="E512" s="4">
        <v>20</v>
      </c>
      <c r="F512" s="4">
        <v>80</v>
      </c>
      <c r="G512" s="4">
        <v>1</v>
      </c>
      <c r="H512" s="1">
        <v>4</v>
      </c>
    </row>
    <row r="513" spans="1:8" x14ac:dyDescent="0.15">
      <c r="A513" s="4">
        <v>200.01692</v>
      </c>
      <c r="B513" s="4">
        <v>236.5</v>
      </c>
      <c r="C513" s="4">
        <v>0.24940999999999999</v>
      </c>
      <c r="D513" s="4">
        <v>99.163560000000004</v>
      </c>
      <c r="E513" s="4">
        <v>20</v>
      </c>
      <c r="F513" s="4">
        <v>80</v>
      </c>
      <c r="G513" s="4">
        <v>1</v>
      </c>
      <c r="H513" s="1">
        <v>4</v>
      </c>
    </row>
    <row r="514" spans="1:8" x14ac:dyDescent="0.15">
      <c r="A514" s="4">
        <v>200.00245000000001</v>
      </c>
      <c r="B514" s="4">
        <v>237</v>
      </c>
      <c r="C514" s="4">
        <v>0.25940999999999997</v>
      </c>
      <c r="D514" s="4">
        <v>99.194100000000006</v>
      </c>
      <c r="E514" s="4">
        <v>20</v>
      </c>
      <c r="F514" s="4">
        <v>80</v>
      </c>
      <c r="G514" s="4">
        <v>1</v>
      </c>
      <c r="H514" s="1">
        <v>4</v>
      </c>
    </row>
    <row r="515" spans="1:8" x14ac:dyDescent="0.15">
      <c r="A515" s="4">
        <v>200.00348</v>
      </c>
      <c r="B515" s="4">
        <v>237.5</v>
      </c>
      <c r="C515" s="4">
        <v>0.26363999999999999</v>
      </c>
      <c r="D515" s="4">
        <v>99.193340000000006</v>
      </c>
      <c r="E515" s="4">
        <v>20</v>
      </c>
      <c r="F515" s="4">
        <v>80</v>
      </c>
      <c r="G515" s="4">
        <v>1</v>
      </c>
      <c r="H515" s="1">
        <v>4</v>
      </c>
    </row>
    <row r="516" spans="1:8" x14ac:dyDescent="0.15">
      <c r="A516" s="4">
        <v>200.02036000000001</v>
      </c>
      <c r="B516" s="4">
        <v>238</v>
      </c>
      <c r="C516" s="4">
        <v>0.26432</v>
      </c>
      <c r="D516" s="4">
        <v>99.215190000000007</v>
      </c>
      <c r="E516" s="4">
        <v>20</v>
      </c>
      <c r="F516" s="4">
        <v>80</v>
      </c>
      <c r="G516" s="4">
        <v>1</v>
      </c>
      <c r="H516" s="1">
        <v>4</v>
      </c>
    </row>
    <row r="517" spans="1:8" x14ac:dyDescent="0.15">
      <c r="A517" s="4">
        <v>200.03532000000001</v>
      </c>
      <c r="B517" s="4">
        <v>238.5</v>
      </c>
      <c r="C517" s="4">
        <v>0.26400000000000001</v>
      </c>
      <c r="D517" s="4">
        <v>99.033019999999993</v>
      </c>
      <c r="E517" s="4">
        <v>20</v>
      </c>
      <c r="F517" s="4">
        <v>80</v>
      </c>
      <c r="G517" s="4">
        <v>1</v>
      </c>
      <c r="H517" s="1">
        <v>4</v>
      </c>
    </row>
    <row r="518" spans="1:8" x14ac:dyDescent="0.15">
      <c r="A518" s="4">
        <v>200.05016000000001</v>
      </c>
      <c r="B518" s="4">
        <v>239</v>
      </c>
      <c r="C518" s="4">
        <v>0.26151999999999997</v>
      </c>
      <c r="D518" s="4">
        <v>99.096419999999995</v>
      </c>
      <c r="E518" s="4">
        <v>20</v>
      </c>
      <c r="F518" s="4">
        <v>80</v>
      </c>
      <c r="G518" s="4">
        <v>1</v>
      </c>
      <c r="H518" s="1">
        <v>4</v>
      </c>
    </row>
    <row r="519" spans="1:8" x14ac:dyDescent="0.15">
      <c r="A519" s="4">
        <v>200.07032000000001</v>
      </c>
      <c r="B519" s="4">
        <v>239.5</v>
      </c>
      <c r="C519" s="4">
        <v>0.26629999999999998</v>
      </c>
      <c r="D519" s="4">
        <v>99.102289999999996</v>
      </c>
      <c r="E519" s="4">
        <v>20</v>
      </c>
      <c r="F519" s="4">
        <v>80</v>
      </c>
      <c r="G519" s="4">
        <v>1</v>
      </c>
      <c r="H519" s="1">
        <v>4</v>
      </c>
    </row>
    <row r="520" spans="1:8" x14ac:dyDescent="0.15">
      <c r="A520" s="4">
        <v>200.09732</v>
      </c>
      <c r="B520" s="4">
        <v>240</v>
      </c>
      <c r="C520" s="4">
        <v>0.26630999999999999</v>
      </c>
      <c r="D520" s="4">
        <v>99.149140000000003</v>
      </c>
      <c r="E520" s="4">
        <v>20</v>
      </c>
      <c r="F520" s="4">
        <v>80</v>
      </c>
      <c r="G520" s="4">
        <v>1</v>
      </c>
      <c r="H520" s="1">
        <v>4</v>
      </c>
    </row>
    <row r="521" spans="1:8" x14ac:dyDescent="0.15">
      <c r="A521" s="4">
        <v>200.11854</v>
      </c>
      <c r="B521" s="4">
        <v>240.5</v>
      </c>
      <c r="C521" s="4">
        <v>0.26275999999999999</v>
      </c>
      <c r="D521" s="4">
        <v>99.086619999999996</v>
      </c>
      <c r="E521" s="4">
        <v>20</v>
      </c>
      <c r="F521" s="4">
        <v>80</v>
      </c>
      <c r="G521" s="4">
        <v>1</v>
      </c>
      <c r="H521" s="1">
        <v>4</v>
      </c>
    </row>
    <row r="522" spans="1:8" x14ac:dyDescent="0.15">
      <c r="A522" s="4">
        <v>200.12393</v>
      </c>
      <c r="B522" s="4">
        <v>241</v>
      </c>
      <c r="C522" s="4">
        <v>0.25552000000000002</v>
      </c>
      <c r="D522" s="4">
        <v>99.055090000000007</v>
      </c>
      <c r="E522" s="4">
        <v>20</v>
      </c>
      <c r="F522" s="4">
        <v>80</v>
      </c>
      <c r="G522" s="4">
        <v>1</v>
      </c>
      <c r="H522" s="1">
        <v>4</v>
      </c>
    </row>
    <row r="523" spans="1:8" x14ac:dyDescent="0.15">
      <c r="A523" s="4">
        <v>200.10986</v>
      </c>
      <c r="B523" s="4">
        <v>241.5</v>
      </c>
      <c r="C523" s="4">
        <v>0.25152000000000002</v>
      </c>
      <c r="D523" s="4">
        <v>99.121560000000002</v>
      </c>
      <c r="E523" s="4">
        <v>20</v>
      </c>
      <c r="F523" s="4">
        <v>80</v>
      </c>
      <c r="G523" s="4">
        <v>1</v>
      </c>
      <c r="H523" s="1">
        <v>4</v>
      </c>
    </row>
    <row r="524" spans="1:8" x14ac:dyDescent="0.15">
      <c r="A524" s="4">
        <v>200.07953000000001</v>
      </c>
      <c r="B524" s="4">
        <v>242</v>
      </c>
      <c r="C524" s="4">
        <v>0.25064999999999998</v>
      </c>
      <c r="D524" s="4">
        <v>99.212140000000005</v>
      </c>
      <c r="E524" s="4">
        <v>20</v>
      </c>
      <c r="F524" s="4">
        <v>80</v>
      </c>
      <c r="G524" s="4">
        <v>1</v>
      </c>
      <c r="H524" s="1">
        <v>4</v>
      </c>
    </row>
    <row r="525" spans="1:8" x14ac:dyDescent="0.15">
      <c r="A525" s="4">
        <v>200.05383</v>
      </c>
      <c r="B525" s="4">
        <v>242.5</v>
      </c>
      <c r="C525" s="4">
        <v>0.25401000000000001</v>
      </c>
      <c r="D525" s="4">
        <v>99.206540000000004</v>
      </c>
      <c r="E525" s="4">
        <v>20</v>
      </c>
      <c r="F525" s="4">
        <v>80</v>
      </c>
      <c r="G525" s="4">
        <v>1</v>
      </c>
      <c r="H525" s="1">
        <v>4</v>
      </c>
    </row>
    <row r="526" spans="1:8" x14ac:dyDescent="0.15">
      <c r="A526" s="4">
        <v>200.03898000000001</v>
      </c>
      <c r="B526" s="4">
        <v>243</v>
      </c>
      <c r="C526" s="4">
        <v>0.25817000000000001</v>
      </c>
      <c r="D526" s="4">
        <v>99.037229999999994</v>
      </c>
      <c r="E526" s="4">
        <v>20</v>
      </c>
      <c r="F526" s="4">
        <v>80</v>
      </c>
      <c r="G526" s="4">
        <v>1</v>
      </c>
      <c r="H526" s="1">
        <v>4</v>
      </c>
    </row>
    <row r="527" spans="1:8" x14ac:dyDescent="0.15">
      <c r="A527" s="4">
        <v>200.0325</v>
      </c>
      <c r="B527" s="4">
        <v>243.5</v>
      </c>
      <c r="C527" s="4">
        <v>0.25928000000000001</v>
      </c>
      <c r="D527" s="4">
        <v>99.055090000000007</v>
      </c>
      <c r="E527" s="4">
        <v>20</v>
      </c>
      <c r="F527" s="4">
        <v>80</v>
      </c>
      <c r="G527" s="4">
        <v>1</v>
      </c>
      <c r="H527" s="1">
        <v>4</v>
      </c>
    </row>
    <row r="528" spans="1:8" x14ac:dyDescent="0.15">
      <c r="A528" s="4">
        <v>200.03037</v>
      </c>
      <c r="B528" s="4">
        <v>244</v>
      </c>
      <c r="C528" s="4">
        <v>0.25889000000000001</v>
      </c>
      <c r="D528" s="4">
        <v>99.108009999999993</v>
      </c>
      <c r="E528" s="4">
        <v>20</v>
      </c>
      <c r="F528" s="4">
        <v>80</v>
      </c>
      <c r="G528" s="4">
        <v>1</v>
      </c>
      <c r="H528" s="1">
        <v>4</v>
      </c>
    </row>
    <row r="529" spans="1:8" x14ac:dyDescent="0.15">
      <c r="A529" s="4">
        <v>200.02545000000001</v>
      </c>
      <c r="B529" s="4">
        <v>244.5</v>
      </c>
      <c r="C529" s="4">
        <v>0.25700000000000001</v>
      </c>
      <c r="D529" s="4">
        <v>99.114729999999994</v>
      </c>
      <c r="E529" s="4">
        <v>20</v>
      </c>
      <c r="F529" s="4">
        <v>80</v>
      </c>
      <c r="G529" s="4">
        <v>1</v>
      </c>
      <c r="H529" s="1">
        <v>4</v>
      </c>
    </row>
    <row r="530" spans="1:8" x14ac:dyDescent="0.15">
      <c r="A530" s="4">
        <v>200.0188</v>
      </c>
      <c r="B530" s="4">
        <v>245</v>
      </c>
      <c r="C530" s="4">
        <v>0.25441999999999998</v>
      </c>
      <c r="D530" s="4">
        <v>99.239869999999996</v>
      </c>
      <c r="E530" s="4">
        <v>20</v>
      </c>
      <c r="F530" s="4">
        <v>80</v>
      </c>
      <c r="G530" s="4">
        <v>1</v>
      </c>
      <c r="H530" s="1">
        <v>4</v>
      </c>
    </row>
    <row r="531" spans="1:8" x14ac:dyDescent="0.15">
      <c r="A531" s="4">
        <v>200.00413</v>
      </c>
      <c r="B531" s="4">
        <v>245.5</v>
      </c>
      <c r="C531" s="4">
        <v>0.25258999999999998</v>
      </c>
      <c r="D531" s="4">
        <v>99.286869999999993</v>
      </c>
      <c r="E531" s="4">
        <v>20</v>
      </c>
      <c r="F531" s="4">
        <v>80</v>
      </c>
      <c r="G531" s="4">
        <v>1</v>
      </c>
      <c r="H531" s="1">
        <v>4</v>
      </c>
    </row>
    <row r="532" spans="1:8" x14ac:dyDescent="0.15">
      <c r="A532" s="4">
        <v>199.98488</v>
      </c>
      <c r="B532" s="4">
        <v>246</v>
      </c>
      <c r="C532" s="4">
        <v>0.25562000000000001</v>
      </c>
      <c r="D532" s="4">
        <v>99.219949999999997</v>
      </c>
      <c r="E532" s="4">
        <v>20</v>
      </c>
      <c r="F532" s="4">
        <v>80</v>
      </c>
      <c r="G532" s="4">
        <v>1</v>
      </c>
      <c r="H532" s="1">
        <v>4</v>
      </c>
    </row>
    <row r="533" spans="1:8" x14ac:dyDescent="0.15">
      <c r="A533" s="4">
        <v>199.97645</v>
      </c>
      <c r="B533" s="4">
        <v>246.5</v>
      </c>
      <c r="C533" s="4">
        <v>0.25884000000000001</v>
      </c>
      <c r="D533" s="4">
        <v>99.191479999999999</v>
      </c>
      <c r="E533" s="4">
        <v>20</v>
      </c>
      <c r="F533" s="4">
        <v>80</v>
      </c>
      <c r="G533" s="4">
        <v>1</v>
      </c>
      <c r="H533" s="1">
        <v>4</v>
      </c>
    </row>
    <row r="534" spans="1:8" x14ac:dyDescent="0.15">
      <c r="A534" s="4">
        <v>199.98246</v>
      </c>
      <c r="B534" s="4">
        <v>247</v>
      </c>
      <c r="C534" s="4">
        <v>0.26028000000000001</v>
      </c>
      <c r="D534" s="4">
        <v>99.18065</v>
      </c>
      <c r="E534" s="4">
        <v>20</v>
      </c>
      <c r="F534" s="4">
        <v>80</v>
      </c>
      <c r="G534" s="4">
        <v>1</v>
      </c>
      <c r="H534" s="1">
        <v>4</v>
      </c>
    </row>
    <row r="535" spans="1:8" x14ac:dyDescent="0.15">
      <c r="A535" s="4">
        <v>199.99106</v>
      </c>
      <c r="B535" s="4">
        <v>247.5</v>
      </c>
      <c r="C535" s="4">
        <v>0.25996000000000002</v>
      </c>
      <c r="D535" s="4">
        <v>99.156239999999997</v>
      </c>
      <c r="E535" s="4">
        <v>20</v>
      </c>
      <c r="F535" s="4">
        <v>80</v>
      </c>
      <c r="G535" s="4">
        <v>1</v>
      </c>
      <c r="H535" s="1">
        <v>4</v>
      </c>
    </row>
    <row r="536" spans="1:8" x14ac:dyDescent="0.15">
      <c r="A536" s="4">
        <v>200.00211999999999</v>
      </c>
      <c r="B536" s="4">
        <v>248</v>
      </c>
      <c r="C536" s="4">
        <v>0.26107999999999998</v>
      </c>
      <c r="D536" s="4">
        <v>99.176249999999996</v>
      </c>
      <c r="E536" s="4">
        <v>20</v>
      </c>
      <c r="F536" s="4">
        <v>80</v>
      </c>
      <c r="G536" s="4">
        <v>1</v>
      </c>
      <c r="H536" s="1">
        <v>4</v>
      </c>
    </row>
    <row r="537" spans="1:8" x14ac:dyDescent="0.15">
      <c r="A537" s="4">
        <v>200.00828000000001</v>
      </c>
      <c r="B537" s="4">
        <v>248.5</v>
      </c>
      <c r="C537" s="4">
        <v>0.25770999999999999</v>
      </c>
      <c r="D537" s="4">
        <v>99.14161</v>
      </c>
      <c r="E537" s="4">
        <v>20</v>
      </c>
      <c r="F537" s="4">
        <v>80</v>
      </c>
      <c r="G537" s="4">
        <v>1</v>
      </c>
      <c r="H537" s="1">
        <v>4</v>
      </c>
    </row>
    <row r="538" spans="1:8" x14ac:dyDescent="0.15">
      <c r="A538" s="4">
        <v>200.00792999999999</v>
      </c>
      <c r="B538" s="4">
        <v>249</v>
      </c>
      <c r="C538" s="4">
        <v>0.25722</v>
      </c>
      <c r="D538" s="4">
        <v>99.269900000000007</v>
      </c>
      <c r="E538" s="4">
        <v>20</v>
      </c>
      <c r="F538" s="4">
        <v>80</v>
      </c>
      <c r="G538" s="4">
        <v>1</v>
      </c>
      <c r="H538" s="1">
        <v>4</v>
      </c>
    </row>
    <row r="539" spans="1:8" x14ac:dyDescent="0.15">
      <c r="A539" s="4">
        <v>200.00837000000001</v>
      </c>
      <c r="B539" s="4">
        <v>249.5</v>
      </c>
      <c r="C539" s="4">
        <v>0.25486999999999999</v>
      </c>
      <c r="D539" s="4">
        <v>99.095619999999997</v>
      </c>
      <c r="E539" s="4">
        <v>20</v>
      </c>
      <c r="F539" s="4">
        <v>80</v>
      </c>
      <c r="G539" s="4">
        <v>1</v>
      </c>
      <c r="H539" s="1">
        <v>4</v>
      </c>
    </row>
    <row r="540" spans="1:8" x14ac:dyDescent="0.15">
      <c r="A540" s="4">
        <v>200.00191000000001</v>
      </c>
      <c r="B540" s="4">
        <v>250</v>
      </c>
      <c r="C540" s="4">
        <v>0.25361</v>
      </c>
      <c r="D540" s="4">
        <v>99.086500000000001</v>
      </c>
      <c r="E540" s="4">
        <v>20</v>
      </c>
      <c r="F540" s="4">
        <v>80</v>
      </c>
      <c r="G540" s="4">
        <v>1</v>
      </c>
      <c r="H540" s="1">
        <v>4</v>
      </c>
    </row>
    <row r="541" spans="1:8" x14ac:dyDescent="0.15">
      <c r="A541" s="4">
        <v>199.98824999999999</v>
      </c>
      <c r="B541" s="4">
        <v>250.5</v>
      </c>
      <c r="C541" s="4">
        <v>0.25342999999999999</v>
      </c>
      <c r="D541" s="4">
        <v>99.254530000000003</v>
      </c>
      <c r="E541" s="4">
        <v>20</v>
      </c>
      <c r="F541" s="4">
        <v>80</v>
      </c>
      <c r="G541" s="4">
        <v>1</v>
      </c>
      <c r="H541" s="1">
        <v>4</v>
      </c>
    </row>
    <row r="542" spans="1:8" x14ac:dyDescent="0.15">
      <c r="A542" s="4">
        <v>199.98407</v>
      </c>
      <c r="B542" s="4">
        <v>251</v>
      </c>
      <c r="C542" s="4">
        <v>0.25657000000000002</v>
      </c>
      <c r="D542" s="4">
        <v>99.210369999999998</v>
      </c>
      <c r="E542" s="4">
        <v>20</v>
      </c>
      <c r="F542" s="4">
        <v>80</v>
      </c>
      <c r="G542" s="4">
        <v>1</v>
      </c>
      <c r="H542" s="1">
        <v>4</v>
      </c>
    </row>
    <row r="543" spans="1:8" x14ac:dyDescent="0.15">
      <c r="A543" s="4">
        <v>199.99831</v>
      </c>
      <c r="B543" s="4">
        <v>251.5</v>
      </c>
      <c r="C543" s="4">
        <v>0.2641</v>
      </c>
      <c r="D543" s="4">
        <v>99.176469999999995</v>
      </c>
      <c r="E543" s="4">
        <v>20</v>
      </c>
      <c r="F543" s="4">
        <v>80</v>
      </c>
      <c r="G543" s="4">
        <v>1</v>
      </c>
      <c r="H543" s="1">
        <v>4</v>
      </c>
    </row>
    <row r="544" spans="1:8" x14ac:dyDescent="0.15">
      <c r="A544" s="4">
        <v>200.03854000000001</v>
      </c>
      <c r="B544" s="4">
        <v>252</v>
      </c>
      <c r="C544" s="4">
        <v>0.27424999999999999</v>
      </c>
      <c r="D544" s="4">
        <v>99.263109999999998</v>
      </c>
      <c r="E544" s="4">
        <v>20</v>
      </c>
      <c r="F544" s="4">
        <v>80</v>
      </c>
      <c r="G544" s="4">
        <v>1</v>
      </c>
      <c r="H544" s="1">
        <v>4</v>
      </c>
    </row>
    <row r="545" spans="1:8" x14ac:dyDescent="0.15">
      <c r="A545" s="4">
        <v>200.09404000000001</v>
      </c>
      <c r="B545" s="4">
        <v>252.5</v>
      </c>
      <c r="C545" s="4">
        <v>0.27207999999999999</v>
      </c>
      <c r="D545" s="4">
        <v>99.116829999999993</v>
      </c>
      <c r="E545" s="4">
        <v>20</v>
      </c>
      <c r="F545" s="4">
        <v>80</v>
      </c>
      <c r="G545" s="4">
        <v>1</v>
      </c>
      <c r="H545" s="1">
        <v>4</v>
      </c>
    </row>
    <row r="546" spans="1:8" x14ac:dyDescent="0.15">
      <c r="A546" s="4">
        <v>200.14049</v>
      </c>
      <c r="B546" s="4">
        <v>253</v>
      </c>
      <c r="C546" s="4">
        <v>0.26288</v>
      </c>
      <c r="D546" s="4">
        <v>99.213700000000003</v>
      </c>
      <c r="E546" s="4">
        <v>20</v>
      </c>
      <c r="F546" s="4">
        <v>80</v>
      </c>
      <c r="G546" s="4">
        <v>1</v>
      </c>
      <c r="H546" s="1">
        <v>4</v>
      </c>
    </row>
    <row r="547" spans="1:8" x14ac:dyDescent="0.15">
      <c r="A547" s="4">
        <v>200.16217</v>
      </c>
      <c r="B547" s="4">
        <v>253.5</v>
      </c>
      <c r="C547" s="4">
        <v>0.25342999999999999</v>
      </c>
      <c r="D547" s="4">
        <v>99.286249999999995</v>
      </c>
      <c r="E547" s="4">
        <v>20</v>
      </c>
      <c r="F547" s="4">
        <v>80</v>
      </c>
      <c r="G547" s="4">
        <v>1</v>
      </c>
      <c r="H547" s="1">
        <v>4</v>
      </c>
    </row>
    <row r="548" spans="1:8" x14ac:dyDescent="0.15">
      <c r="A548" s="4">
        <v>200.15879000000001</v>
      </c>
      <c r="B548" s="4">
        <v>254</v>
      </c>
      <c r="C548" s="4">
        <v>0.24665000000000001</v>
      </c>
      <c r="D548" s="4">
        <v>99.072280000000006</v>
      </c>
      <c r="E548" s="4">
        <v>20</v>
      </c>
      <c r="F548" s="4">
        <v>80</v>
      </c>
      <c r="G548" s="4">
        <v>1</v>
      </c>
      <c r="H548" s="1">
        <v>4</v>
      </c>
    </row>
    <row r="549" spans="1:8" x14ac:dyDescent="0.15">
      <c r="A549" s="4">
        <v>200.13990999999999</v>
      </c>
      <c r="B549" s="4">
        <v>254.5</v>
      </c>
      <c r="C549" s="4">
        <v>0.24712000000000001</v>
      </c>
      <c r="D549" s="4">
        <v>99.239570000000001</v>
      </c>
      <c r="E549" s="4">
        <v>20</v>
      </c>
      <c r="F549" s="4">
        <v>80</v>
      </c>
      <c r="G549" s="4">
        <v>1</v>
      </c>
      <c r="H549" s="1">
        <v>4</v>
      </c>
    </row>
    <row r="550" spans="1:8" x14ac:dyDescent="0.15">
      <c r="A550" s="4">
        <v>200.10503</v>
      </c>
      <c r="B550" s="4">
        <v>255</v>
      </c>
      <c r="C550" s="4">
        <v>0.24726999999999999</v>
      </c>
      <c r="D550" s="4">
        <v>99.15692</v>
      </c>
      <c r="E550" s="4">
        <v>20</v>
      </c>
      <c r="F550" s="4">
        <v>80</v>
      </c>
      <c r="G550" s="4">
        <v>1</v>
      </c>
      <c r="H550" s="1">
        <v>4</v>
      </c>
    </row>
    <row r="551" spans="1:8" x14ac:dyDescent="0.15">
      <c r="A551" s="4">
        <v>200.07714999999999</v>
      </c>
      <c r="B551" s="4">
        <v>255.5</v>
      </c>
      <c r="C551" s="4">
        <v>0.25051000000000001</v>
      </c>
      <c r="D551" s="4">
        <v>99.186480000000003</v>
      </c>
      <c r="E551" s="4">
        <v>20</v>
      </c>
      <c r="F551" s="4">
        <v>80</v>
      </c>
      <c r="G551" s="4">
        <v>1</v>
      </c>
      <c r="H551" s="1">
        <v>4</v>
      </c>
    </row>
    <row r="552" spans="1:8" x14ac:dyDescent="0.15">
      <c r="A552" s="4">
        <v>200.05842000000001</v>
      </c>
      <c r="B552" s="4">
        <v>256</v>
      </c>
      <c r="C552" s="4">
        <v>0.25620999999999999</v>
      </c>
      <c r="D552" s="4">
        <v>99.160020000000003</v>
      </c>
      <c r="E552" s="4">
        <v>20</v>
      </c>
      <c r="F552" s="4">
        <v>80</v>
      </c>
      <c r="G552" s="4">
        <v>1</v>
      </c>
      <c r="H552" s="1">
        <v>4</v>
      </c>
    </row>
    <row r="553" spans="1:8" x14ac:dyDescent="0.15">
      <c r="A553" s="4">
        <v>200.04777999999999</v>
      </c>
      <c r="B553" s="4">
        <v>256.5</v>
      </c>
      <c r="C553" s="4">
        <v>0.25578000000000001</v>
      </c>
      <c r="D553" s="4">
        <v>99.115610000000004</v>
      </c>
      <c r="E553" s="4">
        <v>20</v>
      </c>
      <c r="F553" s="4">
        <v>80</v>
      </c>
      <c r="G553" s="4">
        <v>1</v>
      </c>
      <c r="H553" s="1">
        <v>4</v>
      </c>
    </row>
    <row r="554" spans="1:8" x14ac:dyDescent="0.15">
      <c r="A554" s="4">
        <v>200.03989000000001</v>
      </c>
      <c r="B554" s="4">
        <v>257</v>
      </c>
      <c r="C554" s="4">
        <v>0.25781999999999999</v>
      </c>
      <c r="D554" s="4">
        <v>99.159139999999994</v>
      </c>
      <c r="E554" s="4">
        <v>20</v>
      </c>
      <c r="F554" s="4">
        <v>80</v>
      </c>
      <c r="G554" s="4">
        <v>1</v>
      </c>
      <c r="H554" s="1">
        <v>4</v>
      </c>
    </row>
    <row r="555" spans="1:8" x14ac:dyDescent="0.15">
      <c r="A555" s="4">
        <v>200.03836999999999</v>
      </c>
      <c r="B555" s="4">
        <v>257.5</v>
      </c>
      <c r="C555" s="4">
        <v>0.25731999999999999</v>
      </c>
      <c r="D555" s="4">
        <v>99.180959999999999</v>
      </c>
      <c r="E555" s="4">
        <v>20</v>
      </c>
      <c r="F555" s="4">
        <v>80</v>
      </c>
      <c r="G555" s="4">
        <v>1</v>
      </c>
      <c r="H555" s="1">
        <v>4</v>
      </c>
    </row>
    <row r="556" spans="1:8" x14ac:dyDescent="0.15">
      <c r="A556" s="4">
        <v>200.04073</v>
      </c>
      <c r="B556" s="4">
        <v>258</v>
      </c>
      <c r="C556" s="4">
        <v>0.25685000000000002</v>
      </c>
      <c r="D556" s="4">
        <v>99.008380000000002</v>
      </c>
      <c r="E556" s="4">
        <v>20</v>
      </c>
      <c r="F556" s="4">
        <v>80</v>
      </c>
      <c r="G556" s="4">
        <v>1</v>
      </c>
      <c r="H556" s="1">
        <v>4</v>
      </c>
    </row>
    <row r="557" spans="1:8" x14ac:dyDescent="0.15">
      <c r="A557" s="4">
        <v>200.04611</v>
      </c>
      <c r="B557" s="4">
        <v>258.5</v>
      </c>
      <c r="C557" s="4">
        <v>0.25513000000000002</v>
      </c>
      <c r="D557" s="4">
        <v>99.173079999999999</v>
      </c>
      <c r="E557" s="4">
        <v>20</v>
      </c>
      <c r="F557" s="4">
        <v>80</v>
      </c>
      <c r="G557" s="4">
        <v>1</v>
      </c>
      <c r="H557" s="1">
        <v>4</v>
      </c>
    </row>
    <row r="558" spans="1:8" x14ac:dyDescent="0.15">
      <c r="A558" s="4">
        <v>200.04812999999999</v>
      </c>
      <c r="B558" s="4">
        <v>259</v>
      </c>
      <c r="C558" s="4">
        <v>0.25258000000000003</v>
      </c>
      <c r="D558" s="4">
        <v>99.072869999999995</v>
      </c>
      <c r="E558" s="4">
        <v>20</v>
      </c>
      <c r="F558" s="4">
        <v>80</v>
      </c>
      <c r="G558" s="4">
        <v>1</v>
      </c>
      <c r="H558" s="1">
        <v>4</v>
      </c>
    </row>
    <row r="559" spans="1:8" x14ac:dyDescent="0.15">
      <c r="A559" s="4">
        <v>200.04807</v>
      </c>
      <c r="B559" s="4">
        <v>259.5</v>
      </c>
      <c r="C559" s="4">
        <v>0.25566</v>
      </c>
      <c r="D559" s="4">
        <v>99.089449999999999</v>
      </c>
      <c r="E559" s="4">
        <v>20</v>
      </c>
      <c r="F559" s="4">
        <v>80</v>
      </c>
      <c r="G559" s="4">
        <v>1</v>
      </c>
      <c r="H559" s="1">
        <v>4</v>
      </c>
    </row>
    <row r="560" spans="1:8" x14ac:dyDescent="0.15">
      <c r="A560" s="4">
        <v>200.04365000000001</v>
      </c>
      <c r="B560" s="4">
        <v>260</v>
      </c>
      <c r="C560" s="4">
        <v>0.25652999999999998</v>
      </c>
      <c r="D560" s="4">
        <v>99.255579999999995</v>
      </c>
      <c r="E560" s="4">
        <v>20</v>
      </c>
      <c r="F560" s="4">
        <v>80</v>
      </c>
      <c r="G560" s="4">
        <v>1</v>
      </c>
      <c r="H560" s="1">
        <v>4</v>
      </c>
    </row>
    <row r="561" spans="1:8" x14ac:dyDescent="0.15">
      <c r="A561" s="4">
        <v>200.03912</v>
      </c>
      <c r="B561" s="4">
        <v>260.5</v>
      </c>
      <c r="C561" s="4">
        <v>0.25674000000000002</v>
      </c>
      <c r="D561" s="4">
        <v>99.083150000000003</v>
      </c>
      <c r="E561" s="4">
        <v>20</v>
      </c>
      <c r="F561" s="4">
        <v>80</v>
      </c>
      <c r="G561" s="4">
        <v>1</v>
      </c>
      <c r="H561" s="1">
        <v>4</v>
      </c>
    </row>
    <row r="562" spans="1:8" x14ac:dyDescent="0.15">
      <c r="A562" s="4">
        <v>200.03766999999999</v>
      </c>
      <c r="B562" s="4">
        <v>261</v>
      </c>
      <c r="C562" s="4">
        <v>0.25688</v>
      </c>
      <c r="D562" s="4">
        <v>99.109099999999998</v>
      </c>
      <c r="E562" s="4">
        <v>20</v>
      </c>
      <c r="F562" s="4">
        <v>80</v>
      </c>
      <c r="G562" s="4">
        <v>1</v>
      </c>
      <c r="H562" s="1">
        <v>4</v>
      </c>
    </row>
    <row r="563" spans="1:8" x14ac:dyDescent="0.15">
      <c r="A563" s="4">
        <v>200.04590999999999</v>
      </c>
      <c r="B563" s="4">
        <v>261.5</v>
      </c>
      <c r="C563" s="4">
        <v>0.25546000000000002</v>
      </c>
      <c r="D563" s="4">
        <v>99.255369999999999</v>
      </c>
      <c r="E563" s="4">
        <v>20</v>
      </c>
      <c r="F563" s="4">
        <v>80</v>
      </c>
      <c r="G563" s="4">
        <v>1</v>
      </c>
      <c r="H563" s="1">
        <v>4</v>
      </c>
    </row>
    <row r="564" spans="1:8" x14ac:dyDescent="0.15">
      <c r="A564" s="4">
        <v>200.04910000000001</v>
      </c>
      <c r="B564" s="4">
        <v>262</v>
      </c>
      <c r="C564" s="4">
        <v>0.25442999999999999</v>
      </c>
      <c r="D564" s="4">
        <v>99.191419999999994</v>
      </c>
      <c r="E564" s="4">
        <v>20</v>
      </c>
      <c r="F564" s="4">
        <v>80</v>
      </c>
      <c r="G564" s="4">
        <v>1</v>
      </c>
      <c r="H564" s="1">
        <v>4</v>
      </c>
    </row>
    <row r="565" spans="1:8" x14ac:dyDescent="0.15">
      <c r="A565" s="4">
        <v>200.05020999999999</v>
      </c>
      <c r="B565" s="4">
        <v>262.5</v>
      </c>
      <c r="C565" s="4">
        <v>0.25674000000000002</v>
      </c>
      <c r="D565" s="4">
        <v>99.17604</v>
      </c>
      <c r="E565" s="4">
        <v>20</v>
      </c>
      <c r="F565" s="4">
        <v>80</v>
      </c>
      <c r="G565" s="4">
        <v>1</v>
      </c>
      <c r="H565" s="1">
        <v>4</v>
      </c>
    </row>
    <row r="566" spans="1:8" x14ac:dyDescent="0.15">
      <c r="A566" s="4">
        <v>200.05213000000001</v>
      </c>
      <c r="B566" s="4">
        <v>263</v>
      </c>
      <c r="C566" s="4">
        <v>0.25545000000000001</v>
      </c>
      <c r="D566" s="4">
        <v>99.00609</v>
      </c>
      <c r="E566" s="4">
        <v>20</v>
      </c>
      <c r="F566" s="4">
        <v>80</v>
      </c>
      <c r="G566" s="4">
        <v>1</v>
      </c>
      <c r="H566" s="1">
        <v>4</v>
      </c>
    </row>
    <row r="567" spans="1:8" x14ac:dyDescent="0.15">
      <c r="A567" s="4">
        <v>200.05117999999999</v>
      </c>
      <c r="B567" s="4">
        <v>263.5</v>
      </c>
      <c r="C567" s="4">
        <v>0.25563999999999998</v>
      </c>
      <c r="D567" s="4">
        <v>99.346500000000006</v>
      </c>
      <c r="E567" s="4">
        <v>20</v>
      </c>
      <c r="F567" s="4">
        <v>80</v>
      </c>
      <c r="G567" s="4">
        <v>1</v>
      </c>
      <c r="H567" s="1">
        <v>4</v>
      </c>
    </row>
    <row r="568" spans="1:8" x14ac:dyDescent="0.15">
      <c r="A568" s="4">
        <v>200.04927000000001</v>
      </c>
      <c r="B568" s="4">
        <v>264</v>
      </c>
      <c r="C568" s="4">
        <v>0.25387999999999999</v>
      </c>
      <c r="D568" s="4">
        <v>99.038049999999998</v>
      </c>
      <c r="E568" s="4">
        <v>20</v>
      </c>
      <c r="F568" s="4">
        <v>80</v>
      </c>
      <c r="G568" s="4">
        <v>1</v>
      </c>
      <c r="H568" s="1">
        <v>4</v>
      </c>
    </row>
    <row r="569" spans="1:8" x14ac:dyDescent="0.15">
      <c r="A569" s="4">
        <v>200.04548</v>
      </c>
      <c r="B569" s="4">
        <v>264.5</v>
      </c>
      <c r="C569" s="4">
        <v>0.25557999999999997</v>
      </c>
      <c r="D569" s="4">
        <v>99.210390000000004</v>
      </c>
      <c r="E569" s="4">
        <v>20</v>
      </c>
      <c r="F569" s="4">
        <v>80</v>
      </c>
      <c r="G569" s="4">
        <v>1</v>
      </c>
      <c r="H569" s="1">
        <v>4</v>
      </c>
    </row>
    <row r="570" spans="1:8" x14ac:dyDescent="0.15">
      <c r="A570" s="4">
        <v>200.04608999999999</v>
      </c>
      <c r="B570" s="4">
        <v>265</v>
      </c>
      <c r="C570" s="4">
        <v>0.25494</v>
      </c>
      <c r="D570" s="4">
        <v>99.225999999999999</v>
      </c>
      <c r="E570" s="4">
        <v>20</v>
      </c>
      <c r="F570" s="4">
        <v>80</v>
      </c>
      <c r="G570" s="4">
        <v>1</v>
      </c>
      <c r="H570" s="1">
        <v>4</v>
      </c>
    </row>
    <row r="571" spans="1:8" x14ac:dyDescent="0.15">
      <c r="A571" s="4">
        <v>200.04691</v>
      </c>
      <c r="B571" s="4">
        <v>265.5</v>
      </c>
      <c r="C571" s="4">
        <v>0.25591999999999998</v>
      </c>
      <c r="D571" s="4">
        <v>99.182199999999995</v>
      </c>
      <c r="E571" s="4">
        <v>20</v>
      </c>
      <c r="F571" s="4">
        <v>80</v>
      </c>
      <c r="G571" s="4">
        <v>1</v>
      </c>
      <c r="H571" s="1">
        <v>4</v>
      </c>
    </row>
    <row r="572" spans="1:8" x14ac:dyDescent="0.15">
      <c r="A572" s="4">
        <v>200.04713000000001</v>
      </c>
      <c r="B572" s="4">
        <v>266</v>
      </c>
      <c r="C572" s="4">
        <v>0.25641999999999998</v>
      </c>
      <c r="D572" s="4">
        <v>99.076700000000002</v>
      </c>
      <c r="E572" s="4">
        <v>20</v>
      </c>
      <c r="F572" s="4">
        <v>80</v>
      </c>
      <c r="G572" s="4">
        <v>1</v>
      </c>
      <c r="H572" s="1">
        <v>4</v>
      </c>
    </row>
    <row r="573" spans="1:8" x14ac:dyDescent="0.15">
      <c r="A573" s="4">
        <v>200.05032</v>
      </c>
      <c r="B573" s="4">
        <v>266.5</v>
      </c>
      <c r="C573" s="4">
        <v>0.25533</v>
      </c>
      <c r="D573" s="4">
        <v>99.154129999999995</v>
      </c>
      <c r="E573" s="4">
        <v>20</v>
      </c>
      <c r="F573" s="4">
        <v>80</v>
      </c>
      <c r="G573" s="4">
        <v>1</v>
      </c>
      <c r="H573" s="1">
        <v>4</v>
      </c>
    </row>
    <row r="574" spans="1:8" x14ac:dyDescent="0.15">
      <c r="A574" s="4">
        <v>200.04660000000001</v>
      </c>
      <c r="B574" s="4">
        <v>267</v>
      </c>
      <c r="C574" s="4">
        <v>0.25545000000000001</v>
      </c>
      <c r="D574" s="4">
        <v>99.137690000000006</v>
      </c>
      <c r="E574" s="4">
        <v>20</v>
      </c>
      <c r="F574" s="4">
        <v>80</v>
      </c>
      <c r="G574" s="4">
        <v>1</v>
      </c>
      <c r="H574" s="1">
        <v>4</v>
      </c>
    </row>
    <row r="575" spans="1:8" x14ac:dyDescent="0.15">
      <c r="A575" s="4">
        <v>200.04306</v>
      </c>
      <c r="B575" s="4">
        <v>267.5</v>
      </c>
      <c r="C575" s="4">
        <v>0.25585000000000002</v>
      </c>
      <c r="D575" s="4">
        <v>99.203230000000005</v>
      </c>
      <c r="E575" s="4">
        <v>20</v>
      </c>
      <c r="F575" s="4">
        <v>80</v>
      </c>
      <c r="G575" s="4">
        <v>1</v>
      </c>
      <c r="H575" s="1">
        <v>4</v>
      </c>
    </row>
    <row r="576" spans="1:8" x14ac:dyDescent="0.15">
      <c r="A576" s="4">
        <v>200.04232999999999</v>
      </c>
      <c r="B576" s="4">
        <v>268</v>
      </c>
      <c r="C576" s="4">
        <v>0.25452000000000002</v>
      </c>
      <c r="D576" s="4">
        <v>99.036569999999998</v>
      </c>
      <c r="E576" s="4">
        <v>20</v>
      </c>
      <c r="F576" s="4">
        <v>80</v>
      </c>
      <c r="G576" s="4">
        <v>1</v>
      </c>
      <c r="H576" s="1">
        <v>4</v>
      </c>
    </row>
    <row r="577" spans="1:8" x14ac:dyDescent="0.15">
      <c r="A577" s="4">
        <v>200.04525000000001</v>
      </c>
      <c r="B577" s="4">
        <v>268.5</v>
      </c>
      <c r="C577" s="4">
        <v>0.25669999999999998</v>
      </c>
      <c r="D577" s="4">
        <v>99.06926</v>
      </c>
      <c r="E577" s="4">
        <v>20</v>
      </c>
      <c r="F577" s="4">
        <v>80</v>
      </c>
      <c r="G577" s="4">
        <v>1</v>
      </c>
      <c r="H577" s="1">
        <v>4</v>
      </c>
    </row>
    <row r="578" spans="1:8" x14ac:dyDescent="0.15">
      <c r="A578" s="4">
        <v>200.04722000000001</v>
      </c>
      <c r="B578" s="4">
        <v>269</v>
      </c>
      <c r="C578" s="4">
        <v>0.25612000000000001</v>
      </c>
      <c r="D578" s="4">
        <v>99.007329999999996</v>
      </c>
      <c r="E578" s="4">
        <v>20</v>
      </c>
      <c r="F578" s="4">
        <v>80</v>
      </c>
      <c r="G578" s="4">
        <v>1</v>
      </c>
      <c r="H578" s="1">
        <v>4</v>
      </c>
    </row>
    <row r="579" spans="1:8" x14ac:dyDescent="0.15">
      <c r="A579" s="4">
        <v>200.04554999999999</v>
      </c>
      <c r="B579" s="4">
        <v>269.5</v>
      </c>
      <c r="C579" s="4">
        <v>0.25557000000000002</v>
      </c>
      <c r="D579" s="4">
        <v>99.077169999999995</v>
      </c>
      <c r="E579" s="4">
        <v>20</v>
      </c>
      <c r="F579" s="4">
        <v>80</v>
      </c>
      <c r="G579" s="4">
        <v>1</v>
      </c>
      <c r="H579" s="1">
        <v>4</v>
      </c>
    </row>
    <row r="580" spans="1:8" x14ac:dyDescent="0.15">
      <c r="A580" s="4">
        <v>200.04386</v>
      </c>
      <c r="B580" s="4">
        <v>270</v>
      </c>
      <c r="C580" s="4">
        <v>0.25479000000000002</v>
      </c>
      <c r="D580" s="4">
        <v>99.084540000000004</v>
      </c>
      <c r="E580" s="4">
        <v>20</v>
      </c>
      <c r="F580" s="4">
        <v>80</v>
      </c>
      <c r="G580" s="4">
        <v>1</v>
      </c>
      <c r="H580" s="1">
        <v>4</v>
      </c>
    </row>
    <row r="581" spans="1:8" x14ac:dyDescent="0.15">
      <c r="A581" s="4">
        <v>200.04490000000001</v>
      </c>
      <c r="B581" s="4">
        <v>270.5</v>
      </c>
      <c r="C581" s="4">
        <v>0.25395000000000001</v>
      </c>
      <c r="D581" s="4">
        <v>99.07244</v>
      </c>
      <c r="E581" s="4">
        <v>20</v>
      </c>
      <c r="F581" s="4">
        <v>80</v>
      </c>
      <c r="G581" s="4">
        <v>1</v>
      </c>
      <c r="H581" s="1">
        <v>4</v>
      </c>
    </row>
    <row r="582" spans="1:8" x14ac:dyDescent="0.15">
      <c r="A582" s="4">
        <v>200.04854</v>
      </c>
      <c r="B582" s="4">
        <v>271</v>
      </c>
      <c r="C582" s="4">
        <v>0.25514999999999999</v>
      </c>
      <c r="D582" s="4">
        <v>98.961820000000003</v>
      </c>
      <c r="E582" s="4">
        <v>20</v>
      </c>
      <c r="F582" s="4">
        <v>80</v>
      </c>
      <c r="G582" s="4">
        <v>1</v>
      </c>
      <c r="H582" s="1">
        <v>4</v>
      </c>
    </row>
    <row r="583" spans="1:8" x14ac:dyDescent="0.15">
      <c r="A583" s="4">
        <v>200.04516000000001</v>
      </c>
      <c r="B583" s="4">
        <v>271.5</v>
      </c>
      <c r="C583" s="4">
        <v>0.25419999999999998</v>
      </c>
      <c r="D583" s="4">
        <v>99.190550000000002</v>
      </c>
      <c r="E583" s="4">
        <v>20</v>
      </c>
      <c r="F583" s="4">
        <v>80</v>
      </c>
      <c r="G583" s="4">
        <v>1</v>
      </c>
      <c r="H583" s="1">
        <v>4</v>
      </c>
    </row>
    <row r="584" spans="1:8" x14ac:dyDescent="0.15">
      <c r="A584" s="4">
        <v>200.04417000000001</v>
      </c>
      <c r="B584" s="4">
        <v>272</v>
      </c>
      <c r="C584" s="4">
        <v>0.25498999999999999</v>
      </c>
      <c r="D584" s="4">
        <v>99.135620000000003</v>
      </c>
      <c r="E584" s="4">
        <v>20</v>
      </c>
      <c r="F584" s="4">
        <v>80</v>
      </c>
      <c r="G584" s="4">
        <v>1</v>
      </c>
      <c r="H584" s="1">
        <v>4</v>
      </c>
    </row>
    <row r="585" spans="1:8" x14ac:dyDescent="0.15">
      <c r="A585" s="4">
        <v>200.04140000000001</v>
      </c>
      <c r="B585" s="4">
        <v>272.5</v>
      </c>
      <c r="C585" s="4">
        <v>0.25364999999999999</v>
      </c>
      <c r="D585" s="4">
        <v>99.0124</v>
      </c>
      <c r="E585" s="4">
        <v>20</v>
      </c>
      <c r="F585" s="4">
        <v>80</v>
      </c>
      <c r="G585" s="4">
        <v>1</v>
      </c>
      <c r="H585" s="1">
        <v>4</v>
      </c>
    </row>
    <row r="586" spans="1:8" x14ac:dyDescent="0.15">
      <c r="A586" s="4">
        <v>200.03658999999999</v>
      </c>
      <c r="B586" s="4">
        <v>273</v>
      </c>
      <c r="C586" s="4">
        <v>0.25419999999999998</v>
      </c>
      <c r="D586" s="4">
        <v>99.19014</v>
      </c>
      <c r="E586" s="4">
        <v>20</v>
      </c>
      <c r="F586" s="4">
        <v>80</v>
      </c>
      <c r="G586" s="4">
        <v>1</v>
      </c>
      <c r="H586" s="1">
        <v>4</v>
      </c>
    </row>
    <row r="587" spans="1:8" x14ac:dyDescent="0.15">
      <c r="A587" s="4">
        <v>200.03823</v>
      </c>
      <c r="B587" s="4">
        <v>273.5</v>
      </c>
      <c r="C587" s="4">
        <v>0.25425999999999999</v>
      </c>
      <c r="D587" s="4">
        <v>99.117339999999999</v>
      </c>
      <c r="E587" s="4">
        <v>20</v>
      </c>
      <c r="F587" s="4">
        <v>80</v>
      </c>
      <c r="G587" s="4">
        <v>1</v>
      </c>
      <c r="H587" s="1">
        <v>4</v>
      </c>
    </row>
    <row r="588" spans="1:8" x14ac:dyDescent="0.15">
      <c r="A588" s="4">
        <v>200.03740999999999</v>
      </c>
      <c r="B588" s="4">
        <v>274</v>
      </c>
      <c r="C588" s="4">
        <v>0.25370999999999999</v>
      </c>
      <c r="D588" s="4">
        <v>99.201149999999998</v>
      </c>
      <c r="E588" s="4">
        <v>20</v>
      </c>
      <c r="F588" s="4">
        <v>80</v>
      </c>
      <c r="G588" s="4">
        <v>1</v>
      </c>
      <c r="H588" s="1">
        <v>4</v>
      </c>
    </row>
    <row r="589" spans="1:8" x14ac:dyDescent="0.15">
      <c r="A589" s="4">
        <v>200.03655000000001</v>
      </c>
      <c r="B589" s="4">
        <v>274.5</v>
      </c>
      <c r="C589" s="4">
        <v>0.25522</v>
      </c>
      <c r="D589" s="4">
        <v>99.142979999999994</v>
      </c>
      <c r="E589" s="4">
        <v>20</v>
      </c>
      <c r="F589" s="4">
        <v>80</v>
      </c>
      <c r="G589" s="4">
        <v>1</v>
      </c>
      <c r="H589" s="1">
        <v>4</v>
      </c>
    </row>
    <row r="590" spans="1:8" x14ac:dyDescent="0.15">
      <c r="A590" s="4">
        <v>200.03352000000001</v>
      </c>
      <c r="B590" s="4">
        <v>275</v>
      </c>
      <c r="C590" s="4">
        <v>0.25513000000000002</v>
      </c>
      <c r="D590" s="4">
        <v>99.069900000000004</v>
      </c>
      <c r="E590" s="4">
        <v>20</v>
      </c>
      <c r="F590" s="4">
        <v>80</v>
      </c>
      <c r="G590" s="4">
        <v>1</v>
      </c>
      <c r="H590" s="1">
        <v>4</v>
      </c>
    </row>
    <row r="591" spans="1:8" x14ac:dyDescent="0.15">
      <c r="A591" s="4">
        <v>200.03038000000001</v>
      </c>
      <c r="B591" s="4">
        <v>275.5</v>
      </c>
      <c r="C591" s="4">
        <v>0.25380000000000003</v>
      </c>
      <c r="D591" s="4">
        <v>99.073409999999996</v>
      </c>
      <c r="E591" s="4">
        <v>20</v>
      </c>
      <c r="F591" s="4">
        <v>80</v>
      </c>
      <c r="G591" s="4">
        <v>1</v>
      </c>
      <c r="H591" s="1">
        <v>4</v>
      </c>
    </row>
    <row r="592" spans="1:8" x14ac:dyDescent="0.15">
      <c r="A592" s="4">
        <v>200.02789000000001</v>
      </c>
      <c r="B592" s="4">
        <v>276</v>
      </c>
      <c r="C592" s="4">
        <v>0.25478000000000001</v>
      </c>
      <c r="D592" s="4">
        <v>99.106849999999994</v>
      </c>
      <c r="E592" s="4">
        <v>20</v>
      </c>
      <c r="F592" s="4">
        <v>80</v>
      </c>
      <c r="G592" s="4">
        <v>1</v>
      </c>
      <c r="H592" s="1">
        <v>4</v>
      </c>
    </row>
    <row r="593" spans="1:8" x14ac:dyDescent="0.15">
      <c r="A593" s="4">
        <v>200.02458999999999</v>
      </c>
      <c r="B593" s="4">
        <v>276.5</v>
      </c>
      <c r="C593" s="4">
        <v>0.25453999999999999</v>
      </c>
      <c r="D593" s="4">
        <v>99.141050000000007</v>
      </c>
      <c r="E593" s="4">
        <v>20</v>
      </c>
      <c r="F593" s="4">
        <v>80</v>
      </c>
      <c r="G593" s="4">
        <v>1</v>
      </c>
      <c r="H593" s="1">
        <v>4</v>
      </c>
    </row>
    <row r="594" spans="1:8" x14ac:dyDescent="0.15">
      <c r="A594" s="4">
        <v>200.02448999999999</v>
      </c>
      <c r="B594" s="4">
        <v>277</v>
      </c>
      <c r="C594" s="4">
        <v>0.25463000000000002</v>
      </c>
      <c r="D594" s="4">
        <v>99.085579999999993</v>
      </c>
      <c r="E594" s="4">
        <v>20</v>
      </c>
      <c r="F594" s="4">
        <v>80</v>
      </c>
      <c r="G594" s="4">
        <v>1</v>
      </c>
      <c r="H594" s="1">
        <v>4</v>
      </c>
    </row>
    <row r="595" spans="1:8" x14ac:dyDescent="0.15">
      <c r="A595" s="4">
        <v>200.02466999999999</v>
      </c>
      <c r="B595" s="4">
        <v>277.5</v>
      </c>
      <c r="C595" s="4">
        <v>0.25502999999999998</v>
      </c>
      <c r="D595" s="4">
        <v>99.047970000000007</v>
      </c>
      <c r="E595" s="4">
        <v>20</v>
      </c>
      <c r="F595" s="4">
        <v>80</v>
      </c>
      <c r="G595" s="4">
        <v>1</v>
      </c>
      <c r="H595" s="1">
        <v>4</v>
      </c>
    </row>
    <row r="596" spans="1:8" x14ac:dyDescent="0.15">
      <c r="A596" s="4">
        <v>200.03577000000001</v>
      </c>
      <c r="B596" s="4">
        <v>278</v>
      </c>
      <c r="C596" s="4">
        <v>0.25395000000000001</v>
      </c>
      <c r="D596" s="4">
        <v>99.098050000000001</v>
      </c>
      <c r="E596" s="4">
        <v>20</v>
      </c>
      <c r="F596" s="4">
        <v>80</v>
      </c>
      <c r="G596" s="4">
        <v>1</v>
      </c>
      <c r="H596" s="1">
        <v>4</v>
      </c>
    </row>
    <row r="597" spans="1:8" x14ac:dyDescent="0.15">
      <c r="A597" s="4">
        <v>200.04392999999999</v>
      </c>
      <c r="B597" s="4">
        <v>278.5</v>
      </c>
      <c r="C597" s="4">
        <v>0.25518000000000002</v>
      </c>
      <c r="D597" s="4">
        <v>99.100970000000004</v>
      </c>
      <c r="E597" s="4">
        <v>20</v>
      </c>
      <c r="F597" s="4">
        <v>80</v>
      </c>
      <c r="G597" s="4">
        <v>1</v>
      </c>
      <c r="H597" s="1">
        <v>4</v>
      </c>
    </row>
    <row r="598" spans="1:8" x14ac:dyDescent="0.15">
      <c r="A598" s="4">
        <v>200.04051999999999</v>
      </c>
      <c r="B598" s="4">
        <v>279</v>
      </c>
      <c r="C598" s="4">
        <v>0.25337999999999999</v>
      </c>
      <c r="D598" s="4">
        <v>99.10445</v>
      </c>
      <c r="E598" s="4">
        <v>20</v>
      </c>
      <c r="F598" s="4">
        <v>80</v>
      </c>
      <c r="G598" s="4">
        <v>1</v>
      </c>
      <c r="H598" s="1">
        <v>4</v>
      </c>
    </row>
    <row r="599" spans="1:8" x14ac:dyDescent="0.15">
      <c r="A599" s="4">
        <v>200.03381999999999</v>
      </c>
      <c r="B599" s="4">
        <v>279.5</v>
      </c>
      <c r="C599" s="4">
        <v>0.25335000000000002</v>
      </c>
      <c r="D599" s="4">
        <v>99.145240000000001</v>
      </c>
      <c r="E599" s="4">
        <v>20</v>
      </c>
      <c r="F599" s="4">
        <v>80</v>
      </c>
      <c r="G599" s="4">
        <v>1</v>
      </c>
      <c r="H599" s="1">
        <v>4</v>
      </c>
    </row>
    <row r="600" spans="1:8" x14ac:dyDescent="0.15">
      <c r="A600" s="4">
        <v>200.03018</v>
      </c>
      <c r="B600" s="4">
        <v>280</v>
      </c>
      <c r="C600" s="4">
        <v>0.25292999999999999</v>
      </c>
      <c r="D600" s="4">
        <v>99.015600000000006</v>
      </c>
      <c r="E600" s="4">
        <v>20</v>
      </c>
      <c r="F600" s="4">
        <v>80</v>
      </c>
      <c r="G600" s="4">
        <v>1</v>
      </c>
      <c r="H600" s="1">
        <v>4</v>
      </c>
    </row>
    <row r="601" spans="1:8" x14ac:dyDescent="0.15">
      <c r="A601" s="4">
        <v>200.02795</v>
      </c>
      <c r="B601" s="4">
        <v>280.5</v>
      </c>
      <c r="C601" s="4">
        <v>0.25241999999999998</v>
      </c>
      <c r="D601" s="4">
        <v>98.960599999999999</v>
      </c>
      <c r="E601" s="4">
        <v>20</v>
      </c>
      <c r="F601" s="4">
        <v>80</v>
      </c>
      <c r="G601" s="4">
        <v>1</v>
      </c>
      <c r="H601" s="1">
        <v>4</v>
      </c>
    </row>
    <row r="602" spans="1:8" x14ac:dyDescent="0.15">
      <c r="A602" s="4">
        <v>200.0258</v>
      </c>
      <c r="B602" s="4">
        <v>281</v>
      </c>
      <c r="C602" s="4">
        <v>0.25337999999999999</v>
      </c>
      <c r="D602" s="4">
        <v>99.187950000000001</v>
      </c>
      <c r="E602" s="4">
        <v>20</v>
      </c>
      <c r="F602" s="4">
        <v>80</v>
      </c>
      <c r="G602" s="4">
        <v>1</v>
      </c>
      <c r="H602" s="1">
        <v>4</v>
      </c>
    </row>
    <row r="603" spans="1:8" x14ac:dyDescent="0.15">
      <c r="A603" s="4">
        <v>200.02638999999999</v>
      </c>
      <c r="B603" s="4">
        <v>281.5</v>
      </c>
      <c r="C603" s="4">
        <v>0.25341999999999998</v>
      </c>
      <c r="D603" s="4">
        <v>99.158299999999997</v>
      </c>
      <c r="E603" s="4">
        <v>20</v>
      </c>
      <c r="F603" s="4">
        <v>80</v>
      </c>
      <c r="G603" s="4">
        <v>1</v>
      </c>
      <c r="H603" s="1">
        <v>4</v>
      </c>
    </row>
    <row r="604" spans="1:8" x14ac:dyDescent="0.15">
      <c r="A604" s="4">
        <v>200.02923999999999</v>
      </c>
      <c r="B604" s="4">
        <v>282</v>
      </c>
      <c r="C604" s="4">
        <v>0.25352000000000002</v>
      </c>
      <c r="D604" s="4">
        <v>99.020439999999994</v>
      </c>
      <c r="E604" s="4">
        <v>20</v>
      </c>
      <c r="F604" s="4">
        <v>80</v>
      </c>
      <c r="G604" s="4">
        <v>1</v>
      </c>
      <c r="H604" s="1">
        <v>4</v>
      </c>
    </row>
    <row r="605" spans="1:8" x14ac:dyDescent="0.15">
      <c r="A605" s="4">
        <v>200.03226000000001</v>
      </c>
      <c r="B605" s="4">
        <v>282.5</v>
      </c>
      <c r="C605" s="4">
        <v>0.25236999999999998</v>
      </c>
      <c r="D605" s="4">
        <v>99.132940000000005</v>
      </c>
      <c r="E605" s="4">
        <v>20</v>
      </c>
      <c r="F605" s="4">
        <v>80</v>
      </c>
      <c r="G605" s="4">
        <v>1</v>
      </c>
      <c r="H605" s="1">
        <v>4</v>
      </c>
    </row>
    <row r="606" spans="1:8" x14ac:dyDescent="0.15">
      <c r="A606" s="4">
        <v>200.03016</v>
      </c>
      <c r="B606" s="4">
        <v>283</v>
      </c>
      <c r="C606" s="4">
        <v>0.25234000000000001</v>
      </c>
      <c r="D606" s="4">
        <v>99.042789999999997</v>
      </c>
      <c r="E606" s="4">
        <v>20</v>
      </c>
      <c r="F606" s="4">
        <v>80</v>
      </c>
      <c r="G606" s="4">
        <v>1</v>
      </c>
      <c r="H606" s="1">
        <v>4</v>
      </c>
    </row>
    <row r="607" spans="1:8" x14ac:dyDescent="0.15">
      <c r="A607" s="4">
        <v>200.03103999999999</v>
      </c>
      <c r="B607" s="4">
        <v>283.5</v>
      </c>
      <c r="C607" s="4">
        <v>0.2545</v>
      </c>
      <c r="D607" s="4">
        <v>99.20017</v>
      </c>
      <c r="E607" s="4">
        <v>20</v>
      </c>
      <c r="F607" s="4">
        <v>80</v>
      </c>
      <c r="G607" s="4">
        <v>1</v>
      </c>
      <c r="H607" s="1">
        <v>4</v>
      </c>
    </row>
    <row r="608" spans="1:8" x14ac:dyDescent="0.15">
      <c r="A608" s="4">
        <v>200.02932000000001</v>
      </c>
      <c r="B608" s="4">
        <v>284</v>
      </c>
      <c r="C608" s="4">
        <v>0.25413999999999998</v>
      </c>
      <c r="D608" s="4">
        <v>99.138339999999999</v>
      </c>
      <c r="E608" s="4">
        <v>20</v>
      </c>
      <c r="F608" s="4">
        <v>80</v>
      </c>
      <c r="G608" s="4">
        <v>1</v>
      </c>
      <c r="H608" s="1">
        <v>4</v>
      </c>
    </row>
    <row r="609" spans="1:8" x14ac:dyDescent="0.15">
      <c r="A609" s="4">
        <v>200.0256</v>
      </c>
      <c r="B609" s="4">
        <v>284.5</v>
      </c>
      <c r="C609" s="4">
        <v>0.25194</v>
      </c>
      <c r="D609" s="4">
        <v>99.112489999999994</v>
      </c>
      <c r="E609" s="4">
        <v>20</v>
      </c>
      <c r="F609" s="4">
        <v>80</v>
      </c>
      <c r="G609" s="4">
        <v>1</v>
      </c>
      <c r="H609" s="1">
        <v>4</v>
      </c>
    </row>
    <row r="610" spans="1:8" x14ac:dyDescent="0.15">
      <c r="A610" s="4">
        <v>200.02243000000001</v>
      </c>
      <c r="B610" s="4">
        <v>285</v>
      </c>
      <c r="C610" s="4">
        <v>0.25133</v>
      </c>
      <c r="D610" s="4">
        <v>99.075779999999995</v>
      </c>
      <c r="E610" s="4">
        <v>20</v>
      </c>
      <c r="F610" s="4">
        <v>80</v>
      </c>
      <c r="G610" s="4">
        <v>1</v>
      </c>
      <c r="H610" s="1">
        <v>4</v>
      </c>
    </row>
    <row r="611" spans="1:8" x14ac:dyDescent="0.15">
      <c r="A611" s="4">
        <v>200.01911999999999</v>
      </c>
      <c r="B611" s="4">
        <v>285.5</v>
      </c>
      <c r="C611" s="4">
        <v>0.25273000000000001</v>
      </c>
      <c r="D611" s="4">
        <v>99.039990000000003</v>
      </c>
      <c r="E611" s="4">
        <v>20</v>
      </c>
      <c r="F611" s="4">
        <v>80</v>
      </c>
      <c r="G611" s="4">
        <v>1</v>
      </c>
      <c r="H611" s="1">
        <v>4</v>
      </c>
    </row>
    <row r="612" spans="1:8" x14ac:dyDescent="0.15">
      <c r="A612" s="4">
        <v>200.01625999999999</v>
      </c>
      <c r="B612" s="4">
        <v>286</v>
      </c>
      <c r="C612" s="4">
        <v>0.25302000000000002</v>
      </c>
      <c r="D612" s="4">
        <v>99.121679999999998</v>
      </c>
      <c r="E612" s="4">
        <v>20</v>
      </c>
      <c r="F612" s="4">
        <v>80</v>
      </c>
      <c r="G612" s="4">
        <v>1</v>
      </c>
      <c r="H612" s="1">
        <v>4</v>
      </c>
    </row>
    <row r="613" spans="1:8" x14ac:dyDescent="0.15">
      <c r="A613" s="4">
        <v>200.01727</v>
      </c>
      <c r="B613" s="4">
        <v>286.5</v>
      </c>
      <c r="C613" s="4">
        <v>0.25322</v>
      </c>
      <c r="D613" s="4">
        <v>98.981920000000002</v>
      </c>
      <c r="E613" s="4">
        <v>20</v>
      </c>
      <c r="F613" s="4">
        <v>80</v>
      </c>
      <c r="G613" s="4">
        <v>1</v>
      </c>
      <c r="H613" s="1">
        <v>4</v>
      </c>
    </row>
    <row r="614" spans="1:8" x14ac:dyDescent="0.15">
      <c r="A614" s="4">
        <v>200.02252999999999</v>
      </c>
      <c r="B614" s="4">
        <v>287</v>
      </c>
      <c r="C614" s="4">
        <v>0.25252000000000002</v>
      </c>
      <c r="D614" s="4">
        <v>99.106250000000003</v>
      </c>
      <c r="E614" s="4">
        <v>20</v>
      </c>
      <c r="F614" s="4">
        <v>80</v>
      </c>
      <c r="G614" s="4">
        <v>1</v>
      </c>
      <c r="H614" s="1">
        <v>4</v>
      </c>
    </row>
    <row r="615" spans="1:8" x14ac:dyDescent="0.15">
      <c r="A615" s="4">
        <v>200.02144999999999</v>
      </c>
      <c r="B615" s="4">
        <v>287.5</v>
      </c>
      <c r="C615" s="4">
        <v>0.25497999999999998</v>
      </c>
      <c r="D615" s="4">
        <v>99.140129999999999</v>
      </c>
      <c r="E615" s="4">
        <v>20</v>
      </c>
      <c r="F615" s="4">
        <v>80</v>
      </c>
      <c r="G615" s="4">
        <v>1</v>
      </c>
      <c r="H615" s="1">
        <v>4</v>
      </c>
    </row>
    <row r="616" spans="1:8" x14ac:dyDescent="0.15">
      <c r="A616" s="4">
        <v>200.02198000000001</v>
      </c>
      <c r="B616" s="4">
        <v>288</v>
      </c>
      <c r="C616" s="4">
        <v>0.25407999999999997</v>
      </c>
      <c r="D616" s="4">
        <v>98.997680000000003</v>
      </c>
      <c r="E616" s="4">
        <v>20</v>
      </c>
      <c r="F616" s="4">
        <v>80</v>
      </c>
      <c r="G616" s="4">
        <v>1</v>
      </c>
      <c r="H616" s="1">
        <v>4</v>
      </c>
    </row>
    <row r="617" spans="1:8" x14ac:dyDescent="0.15">
      <c r="A617" s="4">
        <v>200.02402000000001</v>
      </c>
      <c r="B617" s="4">
        <v>288.5</v>
      </c>
      <c r="C617" s="4">
        <v>0.25445000000000001</v>
      </c>
      <c r="D617" s="4">
        <v>99.036000000000001</v>
      </c>
      <c r="E617" s="4">
        <v>20</v>
      </c>
      <c r="F617" s="4">
        <v>80</v>
      </c>
      <c r="G617" s="4">
        <v>1</v>
      </c>
      <c r="H617" s="1">
        <v>4</v>
      </c>
    </row>
    <row r="618" spans="1:8" x14ac:dyDescent="0.15">
      <c r="A618" s="4">
        <v>200.02132</v>
      </c>
      <c r="B618" s="4">
        <v>289</v>
      </c>
      <c r="C618" s="4">
        <v>0.25495000000000001</v>
      </c>
      <c r="D618" s="4">
        <v>99.104550000000003</v>
      </c>
      <c r="E618" s="4">
        <v>20</v>
      </c>
      <c r="F618" s="4">
        <v>80</v>
      </c>
      <c r="G618" s="4">
        <v>1</v>
      </c>
      <c r="H618" s="1">
        <v>4</v>
      </c>
    </row>
    <row r="619" spans="1:8" x14ac:dyDescent="0.15">
      <c r="A619" s="4">
        <v>200.01899</v>
      </c>
      <c r="B619" s="4">
        <v>289.5</v>
      </c>
      <c r="C619" s="4">
        <v>0.25230999999999998</v>
      </c>
      <c r="D619" s="4">
        <v>99.096580000000003</v>
      </c>
      <c r="E619" s="4">
        <v>20</v>
      </c>
      <c r="F619" s="4">
        <v>80</v>
      </c>
      <c r="G619" s="4">
        <v>1</v>
      </c>
      <c r="H619" s="1">
        <v>4</v>
      </c>
    </row>
    <row r="620" spans="1:8" x14ac:dyDescent="0.15">
      <c r="A620" s="4">
        <v>200.0214</v>
      </c>
      <c r="B620" s="4">
        <v>290</v>
      </c>
      <c r="C620" s="4">
        <v>0.25263999999999998</v>
      </c>
      <c r="D620" s="4">
        <v>99.115899999999996</v>
      </c>
      <c r="E620" s="4">
        <v>20</v>
      </c>
      <c r="F620" s="4">
        <v>80</v>
      </c>
      <c r="G620" s="4">
        <v>1</v>
      </c>
      <c r="H620" s="1">
        <v>4</v>
      </c>
    </row>
  </sheetData>
  <pageMargins left="0.7" right="0.7" top="0.75" bottom="0.75" header="0.3" footer="0.3"/>
  <pageSetup paperSize="9" orientation="portrait" horizontalDpi="0" verticalDpi="0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CDB30-3EFE-704A-8DD3-4FB28F88E48C}">
  <dimension ref="A1:J684"/>
  <sheetViews>
    <sheetView topLeftCell="A171" workbookViewId="0">
      <selection activeCell="C205" sqref="C205:C684"/>
    </sheetView>
  </sheetViews>
  <sheetFormatPr baseColWidth="10" defaultColWidth="12" defaultRowHeight="13" x14ac:dyDescent="0.15"/>
  <cols>
    <col min="1" max="1" width="35" customWidth="1"/>
    <col min="2" max="2" width="30" customWidth="1"/>
  </cols>
  <sheetData>
    <row r="1" spans="1:2" x14ac:dyDescent="0.15">
      <c r="A1" t="s">
        <v>0</v>
      </c>
      <c r="B1" t="s">
        <v>71</v>
      </c>
    </row>
    <row r="2" spans="1:2" x14ac:dyDescent="0.15">
      <c r="A2" t="s">
        <v>2</v>
      </c>
      <c r="B2" t="s">
        <v>72</v>
      </c>
    </row>
    <row r="3" spans="1:2" x14ac:dyDescent="0.15">
      <c r="A3" t="s">
        <v>4</v>
      </c>
      <c r="B3" t="s">
        <v>5</v>
      </c>
    </row>
    <row r="4" spans="1:2" x14ac:dyDescent="0.15">
      <c r="A4" t="s">
        <v>6</v>
      </c>
      <c r="B4" t="s">
        <v>7</v>
      </c>
    </row>
    <row r="5" spans="1:2" x14ac:dyDescent="0.15">
      <c r="A5" t="s">
        <v>8</v>
      </c>
      <c r="B5" t="s">
        <v>73</v>
      </c>
    </row>
    <row r="6" spans="1:2" x14ac:dyDescent="0.15">
      <c r="A6" t="s">
        <v>10</v>
      </c>
      <c r="B6" t="s">
        <v>74</v>
      </c>
    </row>
    <row r="7" spans="1:2" x14ac:dyDescent="0.15">
      <c r="A7" t="s">
        <v>12</v>
      </c>
      <c r="B7" t="s">
        <v>75</v>
      </c>
    </row>
    <row r="8" spans="1:2" x14ac:dyDescent="0.15">
      <c r="A8" t="s">
        <v>14</v>
      </c>
      <c r="B8" s="1">
        <v>113397</v>
      </c>
    </row>
    <row r="9" spans="1:2" x14ac:dyDescent="0.15">
      <c r="A9" t="s">
        <v>15</v>
      </c>
      <c r="B9" t="s">
        <v>76</v>
      </c>
    </row>
    <row r="10" spans="1:2" x14ac:dyDescent="0.15">
      <c r="A10" t="s">
        <v>17</v>
      </c>
      <c r="B10" t="s">
        <v>77</v>
      </c>
    </row>
    <row r="11" spans="1:2" x14ac:dyDescent="0.15">
      <c r="A11" t="s">
        <v>19</v>
      </c>
      <c r="B11" t="s">
        <v>20</v>
      </c>
    </row>
    <row r="12" spans="1:2" x14ac:dyDescent="0.15">
      <c r="A12" t="s">
        <v>23</v>
      </c>
      <c r="B12" s="1">
        <v>53</v>
      </c>
    </row>
    <row r="13" spans="1:2" x14ac:dyDescent="0.15">
      <c r="A13" t="s">
        <v>25</v>
      </c>
      <c r="B13" t="s">
        <v>34</v>
      </c>
    </row>
    <row r="14" spans="1:2" x14ac:dyDescent="0.15">
      <c r="A14" t="s">
        <v>27</v>
      </c>
      <c r="B14" t="s">
        <v>78</v>
      </c>
    </row>
    <row r="15" spans="1:2" x14ac:dyDescent="0.15">
      <c r="A15" t="s">
        <v>29</v>
      </c>
      <c r="B15" t="s">
        <v>73</v>
      </c>
    </row>
    <row r="16" spans="1:2" x14ac:dyDescent="0.15">
      <c r="A16" t="s">
        <v>30</v>
      </c>
      <c r="B16" s="7">
        <v>5.4752999999999998</v>
      </c>
    </row>
    <row r="17" spans="1:5" x14ac:dyDescent="0.15">
      <c r="A17" t="s">
        <v>31</v>
      </c>
      <c r="B17" t="s">
        <v>79</v>
      </c>
    </row>
    <row r="18" spans="1:5" x14ac:dyDescent="0.15">
      <c r="A18" t="s">
        <v>36</v>
      </c>
      <c r="B18" t="s">
        <v>37</v>
      </c>
    </row>
    <row r="19" spans="1:5" x14ac:dyDescent="0.15">
      <c r="A19" t="s">
        <v>38</v>
      </c>
      <c r="B19" s="7">
        <v>143.851</v>
      </c>
    </row>
    <row r="20" spans="1:5" x14ac:dyDescent="0.15">
      <c r="A20" t="s">
        <v>39</v>
      </c>
      <c r="B20" t="s">
        <v>28</v>
      </c>
    </row>
    <row r="21" spans="1:5" x14ac:dyDescent="0.15">
      <c r="A21" t="s">
        <v>80</v>
      </c>
      <c r="B21" s="1">
        <v>2000</v>
      </c>
    </row>
    <row r="22" spans="1:5" x14ac:dyDescent="0.15">
      <c r="A22" t="s">
        <v>49</v>
      </c>
      <c r="B22" s="1">
        <v>20</v>
      </c>
    </row>
    <row r="23" spans="1:5" x14ac:dyDescent="0.15">
      <c r="A23" t="s">
        <v>51</v>
      </c>
      <c r="B23" t="s">
        <v>81</v>
      </c>
    </row>
    <row r="24" spans="1:5" x14ac:dyDescent="0.15">
      <c r="A24" t="s">
        <v>53</v>
      </c>
      <c r="B24" t="s">
        <v>82</v>
      </c>
    </row>
    <row r="25" spans="1:5" x14ac:dyDescent="0.15">
      <c r="A25" t="s">
        <v>55</v>
      </c>
      <c r="B25" t="s">
        <v>83</v>
      </c>
    </row>
    <row r="26" spans="1:5" x14ac:dyDescent="0.15">
      <c r="A26" t="s">
        <v>57</v>
      </c>
      <c r="B26" t="s">
        <v>58</v>
      </c>
    </row>
    <row r="27" spans="1:5" x14ac:dyDescent="0.15">
      <c r="A27" t="s">
        <v>59</v>
      </c>
      <c r="B27" t="s">
        <v>84</v>
      </c>
    </row>
    <row r="28" spans="1:5" x14ac:dyDescent="0.15">
      <c r="A28" t="s">
        <v>61</v>
      </c>
      <c r="B28" t="s">
        <v>85</v>
      </c>
    </row>
    <row r="29" spans="1:5" x14ac:dyDescent="0.15">
      <c r="A29" t="s">
        <v>86</v>
      </c>
      <c r="B29" t="s">
        <v>87</v>
      </c>
    </row>
    <row r="31" spans="1:5" x14ac:dyDescent="0.15">
      <c r="A31" t="s">
        <v>63</v>
      </c>
      <c r="B31" t="s">
        <v>64</v>
      </c>
      <c r="C31" t="s">
        <v>66</v>
      </c>
      <c r="D31" t="s">
        <v>70</v>
      </c>
      <c r="E31" s="8" t="s">
        <v>99</v>
      </c>
    </row>
    <row r="32" spans="1:5" x14ac:dyDescent="0.15">
      <c r="A32" s="4">
        <v>47.892000000000003</v>
      </c>
      <c r="B32" s="4">
        <v>0.5</v>
      </c>
      <c r="C32" s="4">
        <v>100.02557</v>
      </c>
      <c r="D32" s="1">
        <v>1</v>
      </c>
    </row>
    <row r="33" spans="1:4" x14ac:dyDescent="0.15">
      <c r="A33" s="4">
        <v>53.603000000000002</v>
      </c>
      <c r="B33" s="4">
        <v>1</v>
      </c>
      <c r="C33" s="4">
        <v>100</v>
      </c>
      <c r="D33" s="1">
        <v>1</v>
      </c>
    </row>
    <row r="34" spans="1:4" x14ac:dyDescent="0.15">
      <c r="A34" s="4">
        <v>61.335000000000001</v>
      </c>
      <c r="B34" s="4">
        <v>1.5</v>
      </c>
      <c r="C34" s="4">
        <v>99.963470000000001</v>
      </c>
      <c r="D34" s="1">
        <v>1</v>
      </c>
    </row>
    <row r="35" spans="1:4" x14ac:dyDescent="0.15">
      <c r="A35" s="4">
        <v>70.694000000000003</v>
      </c>
      <c r="B35" s="4">
        <v>2</v>
      </c>
      <c r="C35" s="4">
        <v>99.901380000000003</v>
      </c>
      <c r="D35" s="1">
        <v>1</v>
      </c>
    </row>
    <row r="36" spans="1:4" x14ac:dyDescent="0.15">
      <c r="A36" s="4">
        <v>81.081999999999994</v>
      </c>
      <c r="B36" s="4">
        <v>2.5</v>
      </c>
      <c r="C36" s="4">
        <v>99.773529999999994</v>
      </c>
      <c r="D36" s="1">
        <v>1</v>
      </c>
    </row>
    <row r="37" spans="1:4" x14ac:dyDescent="0.15">
      <c r="A37" s="4">
        <v>92.107140000000001</v>
      </c>
      <c r="B37" s="4">
        <v>3</v>
      </c>
      <c r="C37" s="4">
        <v>99.636719999999997</v>
      </c>
      <c r="D37" s="1">
        <v>2</v>
      </c>
    </row>
    <row r="38" spans="1:4" x14ac:dyDescent="0.15">
      <c r="A38" s="4">
        <v>101.30361000000001</v>
      </c>
      <c r="B38" s="4">
        <v>3.5</v>
      </c>
      <c r="C38" s="4">
        <v>99.384370000000004</v>
      </c>
      <c r="D38" s="1">
        <v>2</v>
      </c>
    </row>
    <row r="39" spans="1:4" x14ac:dyDescent="0.15">
      <c r="A39" s="4">
        <v>106.39344</v>
      </c>
      <c r="B39" s="4">
        <v>4</v>
      </c>
      <c r="C39" s="4">
        <v>99.273809999999997</v>
      </c>
      <c r="D39" s="1">
        <v>2</v>
      </c>
    </row>
    <row r="40" spans="1:4" x14ac:dyDescent="0.15">
      <c r="A40" s="4">
        <v>108.85115999999999</v>
      </c>
      <c r="B40" s="4">
        <v>4.5</v>
      </c>
      <c r="C40" s="4">
        <v>99.140749999999997</v>
      </c>
      <c r="D40" s="1">
        <v>2</v>
      </c>
    </row>
    <row r="41" spans="1:4" x14ac:dyDescent="0.15">
      <c r="A41" s="4">
        <v>109.68492999999999</v>
      </c>
      <c r="B41" s="4">
        <v>5</v>
      </c>
      <c r="C41" s="4">
        <v>99.040610000000001</v>
      </c>
      <c r="D41" s="1">
        <v>2</v>
      </c>
    </row>
    <row r="42" spans="1:4" x14ac:dyDescent="0.15">
      <c r="A42" s="4">
        <v>109.57943</v>
      </c>
      <c r="B42" s="4">
        <v>5.5</v>
      </c>
      <c r="C42" s="4">
        <v>98.985669999999999</v>
      </c>
      <c r="D42" s="1">
        <v>2</v>
      </c>
    </row>
    <row r="43" spans="1:4" x14ac:dyDescent="0.15">
      <c r="A43" s="4">
        <v>108.99495</v>
      </c>
      <c r="B43" s="4">
        <v>6</v>
      </c>
      <c r="C43" s="4">
        <v>98.940029999999993</v>
      </c>
      <c r="D43" s="1">
        <v>2</v>
      </c>
    </row>
    <row r="44" spans="1:4" x14ac:dyDescent="0.15">
      <c r="A44" s="4">
        <v>108.21646</v>
      </c>
      <c r="B44" s="4">
        <v>6.5</v>
      </c>
      <c r="C44" s="4">
        <v>98.899330000000006</v>
      </c>
      <c r="D44" s="1">
        <v>2</v>
      </c>
    </row>
    <row r="45" spans="1:4" x14ac:dyDescent="0.15">
      <c r="A45" s="4">
        <v>107.41647</v>
      </c>
      <c r="B45" s="4">
        <v>7</v>
      </c>
      <c r="C45" s="4">
        <v>98.855050000000006</v>
      </c>
      <c r="D45" s="1">
        <v>2</v>
      </c>
    </row>
    <row r="46" spans="1:4" x14ac:dyDescent="0.15">
      <c r="A46" s="4">
        <v>106.67925</v>
      </c>
      <c r="B46" s="4">
        <v>7.5</v>
      </c>
      <c r="C46" s="4">
        <v>98.827470000000005</v>
      </c>
      <c r="D46" s="1">
        <v>2</v>
      </c>
    </row>
    <row r="47" spans="1:4" x14ac:dyDescent="0.15">
      <c r="A47" s="4">
        <v>106.06281</v>
      </c>
      <c r="B47" s="4">
        <v>8</v>
      </c>
      <c r="C47" s="4">
        <v>98.803569999999993</v>
      </c>
      <c r="D47" s="1">
        <v>2</v>
      </c>
    </row>
    <row r="48" spans="1:4" x14ac:dyDescent="0.15">
      <c r="A48" s="4">
        <v>105.57332</v>
      </c>
      <c r="B48" s="4">
        <v>8.5</v>
      </c>
      <c r="C48" s="4">
        <v>98.801680000000005</v>
      </c>
      <c r="D48" s="1">
        <v>2</v>
      </c>
    </row>
    <row r="49" spans="1:4" x14ac:dyDescent="0.15">
      <c r="A49" s="4">
        <v>105.20083</v>
      </c>
      <c r="B49" s="4">
        <v>9</v>
      </c>
      <c r="C49" s="4">
        <v>98.791510000000002</v>
      </c>
      <c r="D49" s="1">
        <v>2</v>
      </c>
    </row>
    <row r="50" spans="1:4" x14ac:dyDescent="0.15">
      <c r="A50" s="4">
        <v>104.93738999999999</v>
      </c>
      <c r="B50" s="4">
        <v>9.5</v>
      </c>
      <c r="C50" s="4">
        <v>98.737769999999998</v>
      </c>
      <c r="D50" s="1">
        <v>2</v>
      </c>
    </row>
    <row r="51" spans="1:4" x14ac:dyDescent="0.15">
      <c r="A51" s="4">
        <v>104.76174</v>
      </c>
      <c r="B51" s="4">
        <v>10</v>
      </c>
      <c r="C51" s="4">
        <v>98.750739999999993</v>
      </c>
      <c r="D51" s="1">
        <v>2</v>
      </c>
    </row>
    <row r="52" spans="1:4" x14ac:dyDescent="0.15">
      <c r="A52" s="4">
        <v>104.65206000000001</v>
      </c>
      <c r="B52" s="4">
        <v>10.5</v>
      </c>
      <c r="C52" s="4">
        <v>98.745189999999994</v>
      </c>
      <c r="D52" s="1">
        <v>2</v>
      </c>
    </row>
    <row r="53" spans="1:4" x14ac:dyDescent="0.15">
      <c r="A53" s="4">
        <v>104.59752</v>
      </c>
      <c r="B53" s="4">
        <v>11</v>
      </c>
      <c r="C53" s="4">
        <v>98.752899999999997</v>
      </c>
      <c r="D53" s="1">
        <v>2</v>
      </c>
    </row>
    <row r="54" spans="1:4" x14ac:dyDescent="0.15">
      <c r="A54" s="4">
        <v>104.57732</v>
      </c>
      <c r="B54" s="4">
        <v>11.5</v>
      </c>
      <c r="C54" s="4">
        <v>98.714169999999996</v>
      </c>
      <c r="D54" s="1">
        <v>2</v>
      </c>
    </row>
    <row r="55" spans="1:4" x14ac:dyDescent="0.15">
      <c r="A55" s="4">
        <v>104.58034000000001</v>
      </c>
      <c r="B55" s="4">
        <v>12</v>
      </c>
      <c r="C55" s="4">
        <v>98.725129999999993</v>
      </c>
      <c r="D55" s="1">
        <v>2</v>
      </c>
    </row>
    <row r="56" spans="1:4" x14ac:dyDescent="0.15">
      <c r="A56" s="4">
        <v>104.60352</v>
      </c>
      <c r="B56" s="4">
        <v>12.5</v>
      </c>
      <c r="C56" s="4">
        <v>98.714060000000003</v>
      </c>
      <c r="D56" s="1">
        <v>2</v>
      </c>
    </row>
    <row r="57" spans="1:4" x14ac:dyDescent="0.15">
      <c r="A57" s="4">
        <v>104.63059</v>
      </c>
      <c r="B57" s="4">
        <v>13</v>
      </c>
      <c r="C57" s="4">
        <v>98.715950000000007</v>
      </c>
      <c r="D57" s="1">
        <v>2</v>
      </c>
    </row>
    <row r="58" spans="1:4" x14ac:dyDescent="0.15">
      <c r="A58" s="4">
        <v>104.65979</v>
      </c>
      <c r="B58" s="4">
        <v>13.5</v>
      </c>
      <c r="C58" s="4">
        <v>98.677800000000005</v>
      </c>
      <c r="D58" s="1">
        <v>2</v>
      </c>
    </row>
    <row r="59" spans="1:4" x14ac:dyDescent="0.15">
      <c r="A59" s="4">
        <v>104.68854</v>
      </c>
      <c r="B59" s="4">
        <v>14</v>
      </c>
      <c r="C59" s="4">
        <v>98.673720000000003</v>
      </c>
      <c r="D59" s="1">
        <v>2</v>
      </c>
    </row>
    <row r="60" spans="1:4" x14ac:dyDescent="0.15">
      <c r="A60" s="4">
        <v>104.72450000000001</v>
      </c>
      <c r="B60" s="4">
        <v>14.5</v>
      </c>
      <c r="C60" s="4">
        <v>98.664659999999998</v>
      </c>
      <c r="D60" s="1">
        <v>2</v>
      </c>
    </row>
    <row r="61" spans="1:4" x14ac:dyDescent="0.15">
      <c r="A61" s="4">
        <v>104.74872999999999</v>
      </c>
      <c r="B61" s="4">
        <v>15</v>
      </c>
      <c r="C61" s="4">
        <v>98.677170000000004</v>
      </c>
      <c r="D61" s="1">
        <v>2</v>
      </c>
    </row>
    <row r="62" spans="1:4" x14ac:dyDescent="0.15">
      <c r="A62" s="4">
        <v>104.77777</v>
      </c>
      <c r="B62" s="4">
        <v>15.5</v>
      </c>
      <c r="C62" s="4">
        <v>98.655519999999996</v>
      </c>
      <c r="D62" s="1">
        <v>2</v>
      </c>
    </row>
    <row r="63" spans="1:4" x14ac:dyDescent="0.15">
      <c r="A63" s="4">
        <v>104.80159</v>
      </c>
      <c r="B63" s="4">
        <v>16</v>
      </c>
      <c r="C63" s="4">
        <v>98.666380000000004</v>
      </c>
      <c r="D63" s="1">
        <v>2</v>
      </c>
    </row>
    <row r="64" spans="1:4" x14ac:dyDescent="0.15">
      <c r="A64" s="4">
        <v>104.82144</v>
      </c>
      <c r="B64" s="4">
        <v>16.5</v>
      </c>
      <c r="C64" s="4">
        <v>98.64658</v>
      </c>
      <c r="D64" s="1">
        <v>2</v>
      </c>
    </row>
    <row r="65" spans="1:4" x14ac:dyDescent="0.15">
      <c r="A65" s="4">
        <v>104.83345</v>
      </c>
      <c r="B65" s="4">
        <v>17</v>
      </c>
      <c r="C65" s="4">
        <v>98.633589999999998</v>
      </c>
      <c r="D65" s="1">
        <v>2</v>
      </c>
    </row>
    <row r="66" spans="1:4" x14ac:dyDescent="0.15">
      <c r="A66" s="4">
        <v>104.84848</v>
      </c>
      <c r="B66" s="4">
        <v>17.5</v>
      </c>
      <c r="C66" s="4">
        <v>98.644189999999995</v>
      </c>
      <c r="D66" s="1">
        <v>2</v>
      </c>
    </row>
    <row r="67" spans="1:4" x14ac:dyDescent="0.15">
      <c r="A67" s="4">
        <v>104.86355</v>
      </c>
      <c r="B67" s="4">
        <v>18</v>
      </c>
      <c r="C67" s="4">
        <v>98.635429999999999</v>
      </c>
      <c r="D67" s="1">
        <v>2</v>
      </c>
    </row>
    <row r="68" spans="1:4" x14ac:dyDescent="0.15">
      <c r="A68" s="4">
        <v>104.88048000000001</v>
      </c>
      <c r="B68" s="4">
        <v>18.5</v>
      </c>
      <c r="C68" s="4">
        <v>98.638499999999993</v>
      </c>
      <c r="D68" s="1">
        <v>2</v>
      </c>
    </row>
    <row r="69" spans="1:4" x14ac:dyDescent="0.15">
      <c r="A69" s="4">
        <v>104.89045</v>
      </c>
      <c r="B69" s="4">
        <v>19</v>
      </c>
      <c r="C69" s="4">
        <v>98.620900000000006</v>
      </c>
      <c r="D69" s="1">
        <v>2</v>
      </c>
    </row>
    <row r="70" spans="1:4" x14ac:dyDescent="0.15">
      <c r="A70" s="4">
        <v>104.89453</v>
      </c>
      <c r="B70" s="4">
        <v>19.5</v>
      </c>
      <c r="C70" s="4">
        <v>98.624709999999993</v>
      </c>
      <c r="D70" s="1">
        <v>2</v>
      </c>
    </row>
    <row r="71" spans="1:4" x14ac:dyDescent="0.15">
      <c r="A71" s="4">
        <v>104.90145</v>
      </c>
      <c r="B71" s="4">
        <v>20</v>
      </c>
      <c r="C71" s="4">
        <v>98.593260000000001</v>
      </c>
      <c r="D71" s="1">
        <v>2</v>
      </c>
    </row>
    <row r="72" spans="1:4" x14ac:dyDescent="0.15">
      <c r="A72" s="4">
        <v>104.91151000000001</v>
      </c>
      <c r="B72" s="4">
        <v>20.5</v>
      </c>
      <c r="C72" s="4">
        <v>98.584689999999995</v>
      </c>
      <c r="D72" s="1">
        <v>2</v>
      </c>
    </row>
    <row r="73" spans="1:4" x14ac:dyDescent="0.15">
      <c r="A73" s="4">
        <v>104.91736</v>
      </c>
      <c r="B73" s="4">
        <v>21</v>
      </c>
      <c r="C73" s="4">
        <v>98.588269999999994</v>
      </c>
      <c r="D73" s="1">
        <v>2</v>
      </c>
    </row>
    <row r="74" spans="1:4" x14ac:dyDescent="0.15">
      <c r="A74" s="4">
        <v>104.92268</v>
      </c>
      <c r="B74" s="4">
        <v>21.5</v>
      </c>
      <c r="C74" s="4">
        <v>98.600859999999997</v>
      </c>
      <c r="D74" s="1">
        <v>2</v>
      </c>
    </row>
    <row r="75" spans="1:4" x14ac:dyDescent="0.15">
      <c r="A75" s="4">
        <v>104.93155</v>
      </c>
      <c r="B75" s="4">
        <v>22</v>
      </c>
      <c r="C75" s="4">
        <v>98.593789999999998</v>
      </c>
      <c r="D75" s="1">
        <v>2</v>
      </c>
    </row>
    <row r="76" spans="1:4" x14ac:dyDescent="0.15">
      <c r="A76" s="4">
        <v>104.93545</v>
      </c>
      <c r="B76" s="4">
        <v>22.5</v>
      </c>
      <c r="C76" s="4">
        <v>98.599410000000006</v>
      </c>
      <c r="D76" s="1">
        <v>2</v>
      </c>
    </row>
    <row r="77" spans="1:4" x14ac:dyDescent="0.15">
      <c r="A77" s="4">
        <v>104.94356000000001</v>
      </c>
      <c r="B77" s="4">
        <v>23</v>
      </c>
      <c r="C77" s="4">
        <v>98.584350000000001</v>
      </c>
      <c r="D77" s="1">
        <v>2</v>
      </c>
    </row>
    <row r="78" spans="1:4" x14ac:dyDescent="0.15">
      <c r="A78" s="4">
        <v>104.94646</v>
      </c>
      <c r="B78" s="4">
        <v>23.5</v>
      </c>
      <c r="C78" s="4">
        <v>98.577359999999999</v>
      </c>
      <c r="D78" s="1">
        <v>2</v>
      </c>
    </row>
    <row r="79" spans="1:4" x14ac:dyDescent="0.15">
      <c r="A79" s="4">
        <v>104.94963</v>
      </c>
      <c r="B79" s="4">
        <v>24</v>
      </c>
      <c r="C79" s="4">
        <v>98.568460000000002</v>
      </c>
      <c r="D79" s="1">
        <v>2</v>
      </c>
    </row>
    <row r="80" spans="1:4" x14ac:dyDescent="0.15">
      <c r="A80" s="4">
        <v>104.95341000000001</v>
      </c>
      <c r="B80" s="4">
        <v>24.5</v>
      </c>
      <c r="C80" s="4">
        <v>98.562619999999995</v>
      </c>
      <c r="D80" s="1">
        <v>2</v>
      </c>
    </row>
    <row r="81" spans="1:4" x14ac:dyDescent="0.15">
      <c r="A81" s="4">
        <v>104.95265999999999</v>
      </c>
      <c r="B81" s="4">
        <v>25</v>
      </c>
      <c r="C81" s="4">
        <v>98.549329999999998</v>
      </c>
      <c r="D81" s="1">
        <v>2</v>
      </c>
    </row>
    <row r="82" spans="1:4" x14ac:dyDescent="0.15">
      <c r="A82" s="4">
        <v>104.95862</v>
      </c>
      <c r="B82" s="4">
        <v>25.5</v>
      </c>
      <c r="C82" s="4">
        <v>98.560860000000005</v>
      </c>
      <c r="D82" s="1">
        <v>2</v>
      </c>
    </row>
    <row r="83" spans="1:4" x14ac:dyDescent="0.15">
      <c r="A83" s="4">
        <v>104.96338</v>
      </c>
      <c r="B83" s="4">
        <v>26</v>
      </c>
      <c r="C83" s="4">
        <v>98.580550000000002</v>
      </c>
      <c r="D83" s="1">
        <v>2</v>
      </c>
    </row>
    <row r="84" spans="1:4" x14ac:dyDescent="0.15">
      <c r="A84" s="4">
        <v>104.96753</v>
      </c>
      <c r="B84" s="4">
        <v>26.5</v>
      </c>
      <c r="C84" s="4">
        <v>98.545079999999999</v>
      </c>
      <c r="D84" s="1">
        <v>2</v>
      </c>
    </row>
    <row r="85" spans="1:4" x14ac:dyDescent="0.15">
      <c r="A85" s="4">
        <v>104.96832999999999</v>
      </c>
      <c r="B85" s="4">
        <v>27</v>
      </c>
      <c r="C85" s="4">
        <v>98.58426</v>
      </c>
      <c r="D85" s="1">
        <v>2</v>
      </c>
    </row>
    <row r="86" spans="1:4" x14ac:dyDescent="0.15">
      <c r="A86" s="4">
        <v>104.96845</v>
      </c>
      <c r="B86" s="4">
        <v>27.5</v>
      </c>
      <c r="C86" s="4">
        <v>98.566850000000002</v>
      </c>
      <c r="D86" s="1">
        <v>2</v>
      </c>
    </row>
    <row r="87" spans="1:4" x14ac:dyDescent="0.15">
      <c r="A87" s="4">
        <v>104.97348</v>
      </c>
      <c r="B87" s="4">
        <v>28</v>
      </c>
      <c r="C87" s="4">
        <v>98.505719999999997</v>
      </c>
      <c r="D87" s="1">
        <v>2</v>
      </c>
    </row>
    <row r="88" spans="1:4" x14ac:dyDescent="0.15">
      <c r="A88" s="4">
        <v>104.97562000000001</v>
      </c>
      <c r="B88" s="4">
        <v>28.5</v>
      </c>
      <c r="C88" s="4">
        <v>98.531390000000002</v>
      </c>
      <c r="D88" s="1">
        <v>2</v>
      </c>
    </row>
    <row r="89" spans="1:4" x14ac:dyDescent="0.15">
      <c r="A89" s="4">
        <v>104.97853000000001</v>
      </c>
      <c r="B89" s="4">
        <v>29</v>
      </c>
      <c r="C89" s="4">
        <v>98.524559999999994</v>
      </c>
      <c r="D89" s="1">
        <v>2</v>
      </c>
    </row>
    <row r="90" spans="1:4" x14ac:dyDescent="0.15">
      <c r="A90" s="4">
        <v>104.97745999999999</v>
      </c>
      <c r="B90" s="4">
        <v>29.5</v>
      </c>
      <c r="C90" s="4">
        <v>98.515180000000001</v>
      </c>
      <c r="D90" s="1">
        <v>2</v>
      </c>
    </row>
    <row r="91" spans="1:4" x14ac:dyDescent="0.15">
      <c r="A91" s="4">
        <v>104.98154</v>
      </c>
      <c r="B91" s="4">
        <v>30</v>
      </c>
      <c r="C91" s="4">
        <v>98.522639999999996</v>
      </c>
      <c r="D91" s="1">
        <v>2</v>
      </c>
    </row>
    <row r="92" spans="1:4" x14ac:dyDescent="0.15">
      <c r="A92" s="4">
        <v>104.98154</v>
      </c>
      <c r="B92" s="4">
        <v>30.5</v>
      </c>
      <c r="C92" s="4">
        <v>98.528059999999996</v>
      </c>
      <c r="D92" s="1">
        <v>2</v>
      </c>
    </row>
    <row r="93" spans="1:4" x14ac:dyDescent="0.15">
      <c r="A93" s="4">
        <v>104.9866</v>
      </c>
      <c r="B93" s="4">
        <v>31</v>
      </c>
      <c r="C93" s="4">
        <v>98.52413</v>
      </c>
      <c r="D93" s="1">
        <v>2</v>
      </c>
    </row>
    <row r="94" spans="1:4" x14ac:dyDescent="0.15">
      <c r="A94" s="4">
        <v>104.98953</v>
      </c>
      <c r="B94" s="4">
        <v>31.5</v>
      </c>
      <c r="C94" s="4">
        <v>98.504099999999994</v>
      </c>
      <c r="D94" s="1">
        <v>2</v>
      </c>
    </row>
    <row r="95" spans="1:4" x14ac:dyDescent="0.15">
      <c r="A95" s="4">
        <v>104.98851000000001</v>
      </c>
      <c r="B95" s="4">
        <v>32</v>
      </c>
      <c r="C95" s="4">
        <v>98.511709999999994</v>
      </c>
      <c r="D95" s="1">
        <v>2</v>
      </c>
    </row>
    <row r="96" spans="1:4" x14ac:dyDescent="0.15">
      <c r="A96" s="4">
        <v>104.98645</v>
      </c>
      <c r="B96" s="4">
        <v>32.5</v>
      </c>
      <c r="C96" s="4">
        <v>98.509550000000004</v>
      </c>
      <c r="D96" s="1">
        <v>2</v>
      </c>
    </row>
    <row r="97" spans="1:4" x14ac:dyDescent="0.15">
      <c r="A97" s="4">
        <v>104.98681000000001</v>
      </c>
      <c r="B97" s="4">
        <v>33</v>
      </c>
      <c r="C97" s="4">
        <v>98.498909999999995</v>
      </c>
      <c r="D97" s="1">
        <v>3</v>
      </c>
    </row>
    <row r="98" spans="1:4" x14ac:dyDescent="0.15">
      <c r="A98" s="4">
        <v>105.7809</v>
      </c>
      <c r="B98" s="4">
        <v>33.5</v>
      </c>
      <c r="C98" s="4">
        <v>98.493930000000006</v>
      </c>
      <c r="D98" s="1">
        <v>3</v>
      </c>
    </row>
    <row r="99" spans="1:4" x14ac:dyDescent="0.15">
      <c r="A99" s="4">
        <v>107.34654999999999</v>
      </c>
      <c r="B99" s="4">
        <v>34</v>
      </c>
      <c r="C99" s="4">
        <v>98.502350000000007</v>
      </c>
      <c r="D99" s="1">
        <v>3</v>
      </c>
    </row>
    <row r="100" spans="1:4" x14ac:dyDescent="0.15">
      <c r="A100" s="4">
        <v>109.43656</v>
      </c>
      <c r="B100" s="4">
        <v>34.5</v>
      </c>
      <c r="C100" s="4">
        <v>98.491219999999998</v>
      </c>
      <c r="D100" s="1">
        <v>3</v>
      </c>
    </row>
    <row r="101" spans="1:4" x14ac:dyDescent="0.15">
      <c r="A101" s="4">
        <v>111.87179</v>
      </c>
      <c r="B101" s="4">
        <v>35</v>
      </c>
      <c r="C101" s="4">
        <v>98.49315</v>
      </c>
      <c r="D101" s="1">
        <v>3</v>
      </c>
    </row>
    <row r="102" spans="1:4" x14ac:dyDescent="0.15">
      <c r="A102" s="4">
        <v>114.52118</v>
      </c>
      <c r="B102" s="4">
        <v>35.5</v>
      </c>
      <c r="C102" s="4">
        <v>98.478759999999994</v>
      </c>
      <c r="D102" s="1">
        <v>3</v>
      </c>
    </row>
    <row r="103" spans="1:4" x14ac:dyDescent="0.15">
      <c r="A103" s="4">
        <v>117.26064</v>
      </c>
      <c r="B103" s="4">
        <v>36</v>
      </c>
      <c r="C103" s="4">
        <v>98.445719999999994</v>
      </c>
      <c r="D103" s="1">
        <v>3</v>
      </c>
    </row>
    <row r="104" spans="1:4" x14ac:dyDescent="0.15">
      <c r="A104" s="4">
        <v>120.01582000000001</v>
      </c>
      <c r="B104" s="4">
        <v>36.5</v>
      </c>
      <c r="C104" s="4">
        <v>98.45317</v>
      </c>
      <c r="D104" s="1">
        <v>3</v>
      </c>
    </row>
    <row r="105" spans="1:4" x14ac:dyDescent="0.15">
      <c r="A105" s="4">
        <v>122.76067</v>
      </c>
      <c r="B105" s="4">
        <v>37</v>
      </c>
      <c r="C105" s="4">
        <v>98.433340000000001</v>
      </c>
      <c r="D105" s="1">
        <v>3</v>
      </c>
    </row>
    <row r="106" spans="1:4" x14ac:dyDescent="0.15">
      <c r="A106" s="4">
        <v>125.49611</v>
      </c>
      <c r="B106" s="4">
        <v>37.5</v>
      </c>
      <c r="C106" s="4">
        <v>98.409469999999999</v>
      </c>
      <c r="D106" s="1">
        <v>3</v>
      </c>
    </row>
    <row r="107" spans="1:4" x14ac:dyDescent="0.15">
      <c r="A107" s="4">
        <v>128.20397</v>
      </c>
      <c r="B107" s="4">
        <v>38</v>
      </c>
      <c r="C107" s="4">
        <v>98.396699999999996</v>
      </c>
      <c r="D107" s="1">
        <v>3</v>
      </c>
    </row>
    <row r="108" spans="1:4" x14ac:dyDescent="0.15">
      <c r="A108" s="4">
        <v>130.86395999999999</v>
      </c>
      <c r="B108" s="4">
        <v>38.5</v>
      </c>
      <c r="C108" s="4">
        <v>98.392679999999999</v>
      </c>
      <c r="D108" s="1">
        <v>3</v>
      </c>
    </row>
    <row r="109" spans="1:4" x14ac:dyDescent="0.15">
      <c r="A109" s="4">
        <v>133.46477999999999</v>
      </c>
      <c r="B109" s="4">
        <v>39</v>
      </c>
      <c r="C109" s="4">
        <v>98.357079999999996</v>
      </c>
      <c r="D109" s="1">
        <v>3</v>
      </c>
    </row>
    <row r="110" spans="1:4" x14ac:dyDescent="0.15">
      <c r="A110" s="4">
        <v>136.06093000000001</v>
      </c>
      <c r="B110" s="4">
        <v>39.5</v>
      </c>
      <c r="C110" s="4">
        <v>98.340739999999997</v>
      </c>
      <c r="D110" s="1">
        <v>3</v>
      </c>
    </row>
    <row r="111" spans="1:4" x14ac:dyDescent="0.15">
      <c r="A111" s="4">
        <v>138.65204</v>
      </c>
      <c r="B111" s="4">
        <v>40</v>
      </c>
      <c r="C111" s="4">
        <v>98.31814</v>
      </c>
      <c r="D111" s="1">
        <v>3</v>
      </c>
    </row>
    <row r="112" spans="1:4" x14ac:dyDescent="0.15">
      <c r="A112" s="4">
        <v>141.20513</v>
      </c>
      <c r="B112" s="4">
        <v>40.5</v>
      </c>
      <c r="C112" s="4">
        <v>98.28828</v>
      </c>
      <c r="D112" s="1">
        <v>3</v>
      </c>
    </row>
    <row r="113" spans="1:4" x14ac:dyDescent="0.15">
      <c r="A113" s="4">
        <v>143.73589999999999</v>
      </c>
      <c r="B113" s="4">
        <v>41</v>
      </c>
      <c r="C113" s="4">
        <v>98.271320000000003</v>
      </c>
      <c r="D113" s="1">
        <v>3</v>
      </c>
    </row>
    <row r="114" spans="1:4" x14ac:dyDescent="0.15">
      <c r="A114" s="4">
        <v>146.29758000000001</v>
      </c>
      <c r="B114" s="4">
        <v>41.5</v>
      </c>
      <c r="C114" s="4">
        <v>98.245040000000003</v>
      </c>
      <c r="D114" s="1">
        <v>3</v>
      </c>
    </row>
    <row r="115" spans="1:4" x14ac:dyDescent="0.15">
      <c r="A115" s="4">
        <v>148.81512000000001</v>
      </c>
      <c r="B115" s="4">
        <v>42</v>
      </c>
      <c r="C115" s="4">
        <v>98.200720000000004</v>
      </c>
      <c r="D115" s="1">
        <v>3</v>
      </c>
    </row>
    <row r="116" spans="1:4" x14ac:dyDescent="0.15">
      <c r="A116" s="4">
        <v>151.33232000000001</v>
      </c>
      <c r="B116" s="4">
        <v>42.5</v>
      </c>
      <c r="C116" s="4">
        <v>98.179180000000002</v>
      </c>
      <c r="D116" s="1">
        <v>3</v>
      </c>
    </row>
    <row r="117" spans="1:4" x14ac:dyDescent="0.15">
      <c r="A117" s="4">
        <v>153.88263000000001</v>
      </c>
      <c r="B117" s="4">
        <v>43</v>
      </c>
      <c r="C117" s="4">
        <v>98.150660000000002</v>
      </c>
      <c r="D117" s="1">
        <v>3</v>
      </c>
    </row>
    <row r="118" spans="1:4" x14ac:dyDescent="0.15">
      <c r="A118" s="4">
        <v>156.39708999999999</v>
      </c>
      <c r="B118" s="4">
        <v>43.5</v>
      </c>
      <c r="C118" s="4">
        <v>98.148390000000006</v>
      </c>
      <c r="D118" s="1">
        <v>3</v>
      </c>
    </row>
    <row r="119" spans="1:4" x14ac:dyDescent="0.15">
      <c r="A119" s="4">
        <v>158.90975</v>
      </c>
      <c r="B119" s="4">
        <v>44</v>
      </c>
      <c r="C119" s="4">
        <v>98.10857</v>
      </c>
      <c r="D119" s="1">
        <v>3</v>
      </c>
    </row>
    <row r="120" spans="1:4" x14ac:dyDescent="0.15">
      <c r="A120" s="4">
        <v>161.4375</v>
      </c>
      <c r="B120" s="4">
        <v>44.5</v>
      </c>
      <c r="C120" s="4">
        <v>98.080749999999995</v>
      </c>
      <c r="D120" s="1">
        <v>3</v>
      </c>
    </row>
    <row r="121" spans="1:4" x14ac:dyDescent="0.15">
      <c r="A121" s="4">
        <v>163.93898999999999</v>
      </c>
      <c r="B121" s="4">
        <v>45</v>
      </c>
      <c r="C121" s="4">
        <v>98.032979999999995</v>
      </c>
      <c r="D121" s="1">
        <v>3</v>
      </c>
    </row>
    <row r="122" spans="1:4" x14ac:dyDescent="0.15">
      <c r="A122" s="4">
        <v>166.4658</v>
      </c>
      <c r="B122" s="4">
        <v>45.5</v>
      </c>
      <c r="C122" s="4">
        <v>97.996790000000004</v>
      </c>
      <c r="D122" s="1">
        <v>3</v>
      </c>
    </row>
    <row r="123" spans="1:4" x14ac:dyDescent="0.15">
      <c r="A123" s="4">
        <v>168.97107</v>
      </c>
      <c r="B123" s="4">
        <v>46</v>
      </c>
      <c r="C123" s="4">
        <v>97.990899999999996</v>
      </c>
      <c r="D123" s="1">
        <v>3</v>
      </c>
    </row>
    <row r="124" spans="1:4" x14ac:dyDescent="0.15">
      <c r="A124" s="4">
        <v>171.47649999999999</v>
      </c>
      <c r="B124" s="4">
        <v>46.5</v>
      </c>
      <c r="C124" s="4">
        <v>97.954499999999996</v>
      </c>
      <c r="D124" s="1">
        <v>3</v>
      </c>
    </row>
    <row r="125" spans="1:4" x14ac:dyDescent="0.15">
      <c r="A125" s="4">
        <v>173.98165</v>
      </c>
      <c r="B125" s="4">
        <v>47</v>
      </c>
      <c r="C125" s="4">
        <v>97.912120000000002</v>
      </c>
      <c r="D125" s="1">
        <v>3</v>
      </c>
    </row>
    <row r="126" spans="1:4" x14ac:dyDescent="0.15">
      <c r="A126" s="4">
        <v>176.48227</v>
      </c>
      <c r="B126" s="4">
        <v>47.5</v>
      </c>
      <c r="C126" s="4">
        <v>97.899169999999998</v>
      </c>
      <c r="D126" s="1">
        <v>3</v>
      </c>
    </row>
    <row r="127" spans="1:4" x14ac:dyDescent="0.15">
      <c r="A127" s="4">
        <v>178.98429999999999</v>
      </c>
      <c r="B127" s="4">
        <v>48</v>
      </c>
      <c r="C127" s="4">
        <v>97.862920000000003</v>
      </c>
      <c r="D127" s="1">
        <v>3</v>
      </c>
    </row>
    <row r="128" spans="1:4" x14ac:dyDescent="0.15">
      <c r="A128" s="4">
        <v>181.48840000000001</v>
      </c>
      <c r="B128" s="4">
        <v>48.5</v>
      </c>
      <c r="C128" s="4">
        <v>97.807130000000001</v>
      </c>
      <c r="D128" s="1">
        <v>3</v>
      </c>
    </row>
    <row r="129" spans="1:4" x14ac:dyDescent="0.15">
      <c r="A129" s="4">
        <v>183.98951</v>
      </c>
      <c r="B129" s="4">
        <v>49</v>
      </c>
      <c r="C129" s="4">
        <v>97.793040000000005</v>
      </c>
      <c r="D129" s="1">
        <v>3</v>
      </c>
    </row>
    <row r="130" spans="1:4" x14ac:dyDescent="0.15">
      <c r="A130" s="4">
        <v>186.48634999999999</v>
      </c>
      <c r="B130" s="4">
        <v>49.5</v>
      </c>
      <c r="C130" s="4">
        <v>97.758809999999997</v>
      </c>
      <c r="D130" s="1">
        <v>3</v>
      </c>
    </row>
    <row r="131" spans="1:4" x14ac:dyDescent="0.15">
      <c r="A131" s="4">
        <v>188.98849999999999</v>
      </c>
      <c r="B131" s="4">
        <v>50</v>
      </c>
      <c r="C131" s="4">
        <v>97.701840000000004</v>
      </c>
      <c r="D131" s="1">
        <v>3</v>
      </c>
    </row>
    <row r="132" spans="1:4" x14ac:dyDescent="0.15">
      <c r="A132" s="4">
        <v>191.49451999999999</v>
      </c>
      <c r="B132" s="4">
        <v>50.5</v>
      </c>
      <c r="C132" s="4">
        <v>97.709519999999998</v>
      </c>
      <c r="D132" s="1">
        <v>3</v>
      </c>
    </row>
    <row r="133" spans="1:4" x14ac:dyDescent="0.15">
      <c r="A133" s="4">
        <v>193.99403000000001</v>
      </c>
      <c r="B133" s="4">
        <v>51</v>
      </c>
      <c r="C133" s="4">
        <v>97.654989999999998</v>
      </c>
      <c r="D133" s="1">
        <v>3</v>
      </c>
    </row>
    <row r="134" spans="1:4" x14ac:dyDescent="0.15">
      <c r="A134" s="4">
        <v>196.49592999999999</v>
      </c>
      <c r="B134" s="4">
        <v>51.5</v>
      </c>
      <c r="C134" s="4">
        <v>97.628420000000006</v>
      </c>
      <c r="D134" s="1">
        <v>3</v>
      </c>
    </row>
    <row r="135" spans="1:4" x14ac:dyDescent="0.15">
      <c r="A135" s="4">
        <v>198.99417</v>
      </c>
      <c r="B135" s="4">
        <v>52</v>
      </c>
      <c r="C135" s="4">
        <v>97.587230000000005</v>
      </c>
      <c r="D135" s="1">
        <v>3</v>
      </c>
    </row>
    <row r="136" spans="1:4" x14ac:dyDescent="0.15">
      <c r="A136" s="4">
        <v>201.49234000000001</v>
      </c>
      <c r="B136" s="4">
        <v>52.5</v>
      </c>
      <c r="C136" s="4">
        <v>97.556449999999998</v>
      </c>
      <c r="D136" s="1">
        <v>3</v>
      </c>
    </row>
    <row r="137" spans="1:4" x14ac:dyDescent="0.15">
      <c r="A137" s="4">
        <v>203.99634</v>
      </c>
      <c r="B137" s="4">
        <v>53</v>
      </c>
      <c r="C137" s="4">
        <v>97.515950000000004</v>
      </c>
      <c r="D137" s="1">
        <v>3</v>
      </c>
    </row>
    <row r="138" spans="1:4" x14ac:dyDescent="0.15">
      <c r="A138" s="4">
        <v>206.49354</v>
      </c>
      <c r="B138" s="4">
        <v>53.5</v>
      </c>
      <c r="C138" s="4">
        <v>97.483239999999995</v>
      </c>
      <c r="D138" s="1">
        <v>3</v>
      </c>
    </row>
    <row r="139" spans="1:4" x14ac:dyDescent="0.15">
      <c r="A139" s="4">
        <v>208.99551</v>
      </c>
      <c r="B139" s="4">
        <v>54</v>
      </c>
      <c r="C139" s="4">
        <v>97.450909999999993</v>
      </c>
      <c r="D139" s="1">
        <v>3</v>
      </c>
    </row>
    <row r="140" spans="1:4" x14ac:dyDescent="0.15">
      <c r="A140" s="4">
        <v>211.49834000000001</v>
      </c>
      <c r="B140" s="4">
        <v>54.5</v>
      </c>
      <c r="C140" s="4">
        <v>97.429119999999998</v>
      </c>
      <c r="D140" s="1">
        <v>3</v>
      </c>
    </row>
    <row r="141" spans="1:4" x14ac:dyDescent="0.15">
      <c r="A141" s="4">
        <v>214.00344999999999</v>
      </c>
      <c r="B141" s="4">
        <v>55</v>
      </c>
      <c r="C141" s="4">
        <v>97.40043</v>
      </c>
      <c r="D141" s="1">
        <v>3</v>
      </c>
    </row>
    <row r="142" spans="1:4" x14ac:dyDescent="0.15">
      <c r="A142" s="4">
        <v>216.50312</v>
      </c>
      <c r="B142" s="4">
        <v>55.5</v>
      </c>
      <c r="C142" s="4">
        <v>97.36497</v>
      </c>
      <c r="D142" s="1">
        <v>3</v>
      </c>
    </row>
    <row r="143" spans="1:4" x14ac:dyDescent="0.15">
      <c r="A143" s="4">
        <v>219.00241</v>
      </c>
      <c r="B143" s="4">
        <v>56</v>
      </c>
      <c r="C143" s="4">
        <v>97.315029999999993</v>
      </c>
      <c r="D143" s="1">
        <v>3</v>
      </c>
    </row>
    <row r="144" spans="1:4" x14ac:dyDescent="0.15">
      <c r="A144" s="4">
        <v>221.50876</v>
      </c>
      <c r="B144" s="4">
        <v>56.5</v>
      </c>
      <c r="C144" s="4">
        <v>97.295150000000007</v>
      </c>
      <c r="D144" s="1">
        <v>3</v>
      </c>
    </row>
    <row r="145" spans="1:4" x14ac:dyDescent="0.15">
      <c r="A145" s="4">
        <v>224.00908999999999</v>
      </c>
      <c r="B145" s="4">
        <v>57</v>
      </c>
      <c r="C145" s="4">
        <v>97.214489999999998</v>
      </c>
      <c r="D145" s="1">
        <v>4</v>
      </c>
    </row>
    <row r="146" spans="1:4" x14ac:dyDescent="0.15">
      <c r="A146" s="4">
        <v>225.80052000000001</v>
      </c>
      <c r="B146" s="4">
        <v>57.5</v>
      </c>
      <c r="C146" s="4">
        <v>97.228849999999994</v>
      </c>
      <c r="D146" s="1">
        <v>4</v>
      </c>
    </row>
    <row r="147" spans="1:4" x14ac:dyDescent="0.15">
      <c r="A147" s="4">
        <v>226.40118000000001</v>
      </c>
      <c r="B147" s="4">
        <v>58</v>
      </c>
      <c r="C147" s="4">
        <v>97.188940000000002</v>
      </c>
      <c r="D147" s="1">
        <v>4</v>
      </c>
    </row>
    <row r="148" spans="1:4" x14ac:dyDescent="0.15">
      <c r="A148" s="4">
        <v>226.42238</v>
      </c>
      <c r="B148" s="4">
        <v>58.5</v>
      </c>
      <c r="C148" s="4">
        <v>97.134659999999997</v>
      </c>
      <c r="D148" s="1">
        <v>4</v>
      </c>
    </row>
    <row r="149" spans="1:4" x14ac:dyDescent="0.15">
      <c r="A149" s="4">
        <v>226.21170000000001</v>
      </c>
      <c r="B149" s="4">
        <v>59</v>
      </c>
      <c r="C149" s="4">
        <v>97.129059999999996</v>
      </c>
      <c r="D149" s="1">
        <v>4</v>
      </c>
    </row>
    <row r="150" spans="1:4" x14ac:dyDescent="0.15">
      <c r="A150" s="4">
        <v>225.9195</v>
      </c>
      <c r="B150" s="4">
        <v>59.5</v>
      </c>
      <c r="C150" s="4">
        <v>97.113849999999999</v>
      </c>
      <c r="D150" s="1">
        <v>4</v>
      </c>
    </row>
    <row r="151" spans="1:4" x14ac:dyDescent="0.15">
      <c r="A151" s="4">
        <v>225.64161999999999</v>
      </c>
      <c r="B151" s="4">
        <v>60</v>
      </c>
      <c r="C151" s="4">
        <v>97.105459999999994</v>
      </c>
      <c r="D151" s="1">
        <v>4</v>
      </c>
    </row>
    <row r="152" spans="1:4" x14ac:dyDescent="0.15">
      <c r="A152" s="4">
        <v>225.39885000000001</v>
      </c>
      <c r="B152" s="4">
        <v>60.5</v>
      </c>
      <c r="C152" s="4">
        <v>97.069900000000004</v>
      </c>
      <c r="D152" s="1">
        <v>4</v>
      </c>
    </row>
    <row r="153" spans="1:4" x14ac:dyDescent="0.15">
      <c r="A153" s="4">
        <v>225.21133</v>
      </c>
      <c r="B153" s="4">
        <v>61</v>
      </c>
      <c r="C153" s="4">
        <v>97.057410000000004</v>
      </c>
      <c r="D153" s="1">
        <v>4</v>
      </c>
    </row>
    <row r="154" spans="1:4" x14ac:dyDescent="0.15">
      <c r="A154" s="4">
        <v>225.08138</v>
      </c>
      <c r="B154" s="4">
        <v>61.5</v>
      </c>
      <c r="C154" s="4">
        <v>97.053939999999997</v>
      </c>
      <c r="D154" s="1">
        <v>4</v>
      </c>
    </row>
    <row r="155" spans="1:4" x14ac:dyDescent="0.15">
      <c r="A155" s="4">
        <v>224.97854000000001</v>
      </c>
      <c r="B155" s="4">
        <v>62</v>
      </c>
      <c r="C155" s="4">
        <v>97.004289999999997</v>
      </c>
      <c r="D155" s="1">
        <v>4</v>
      </c>
    </row>
    <row r="156" spans="1:4" x14ac:dyDescent="0.15">
      <c r="A156" s="4">
        <v>224.91884999999999</v>
      </c>
      <c r="B156" s="4">
        <v>62.5</v>
      </c>
      <c r="C156" s="4">
        <v>97.013760000000005</v>
      </c>
      <c r="D156" s="1">
        <v>4</v>
      </c>
    </row>
    <row r="157" spans="1:4" x14ac:dyDescent="0.15">
      <c r="A157" s="4">
        <v>224.88078999999999</v>
      </c>
      <c r="B157" s="4">
        <v>63</v>
      </c>
      <c r="C157" s="4">
        <v>96.969819999999999</v>
      </c>
      <c r="D157" s="1">
        <v>4</v>
      </c>
    </row>
    <row r="158" spans="1:4" x14ac:dyDescent="0.15">
      <c r="A158" s="4">
        <v>224.86184</v>
      </c>
      <c r="B158" s="4">
        <v>63.5</v>
      </c>
      <c r="C158" s="4">
        <v>96.974350000000001</v>
      </c>
      <c r="D158" s="1">
        <v>4</v>
      </c>
    </row>
    <row r="159" spans="1:4" x14ac:dyDescent="0.15">
      <c r="A159" s="4">
        <v>224.85799</v>
      </c>
      <c r="B159" s="4">
        <v>64</v>
      </c>
      <c r="C159" s="4">
        <v>96.962959999999995</v>
      </c>
      <c r="D159" s="1">
        <v>4</v>
      </c>
    </row>
    <row r="160" spans="1:4" x14ac:dyDescent="0.15">
      <c r="A160" s="4">
        <v>224.85398000000001</v>
      </c>
      <c r="B160" s="4">
        <v>64.5</v>
      </c>
      <c r="C160" s="4">
        <v>96.931759999999997</v>
      </c>
      <c r="D160" s="1">
        <v>4</v>
      </c>
    </row>
    <row r="161" spans="1:4" x14ac:dyDescent="0.15">
      <c r="A161" s="4">
        <v>224.86385999999999</v>
      </c>
      <c r="B161" s="4">
        <v>65</v>
      </c>
      <c r="C161" s="4">
        <v>96.934979999999996</v>
      </c>
      <c r="D161" s="1">
        <v>4</v>
      </c>
    </row>
    <row r="162" spans="1:4" x14ac:dyDescent="0.15">
      <c r="A162" s="4">
        <v>224.86798999999999</v>
      </c>
      <c r="B162" s="4">
        <v>65.5</v>
      </c>
      <c r="C162" s="4">
        <v>96.90249</v>
      </c>
      <c r="D162" s="1">
        <v>4</v>
      </c>
    </row>
    <row r="163" spans="1:4" x14ac:dyDescent="0.15">
      <c r="A163" s="4">
        <v>224.87711999999999</v>
      </c>
      <c r="B163" s="4">
        <v>66</v>
      </c>
      <c r="C163" s="4">
        <v>96.870379999999997</v>
      </c>
      <c r="D163" s="1">
        <v>4</v>
      </c>
    </row>
    <row r="164" spans="1:4" x14ac:dyDescent="0.15">
      <c r="A164" s="4">
        <v>224.89115000000001</v>
      </c>
      <c r="B164" s="4">
        <v>66.5</v>
      </c>
      <c r="C164" s="4">
        <v>96.904589999999999</v>
      </c>
      <c r="D164" s="1">
        <v>4</v>
      </c>
    </row>
    <row r="165" spans="1:4" x14ac:dyDescent="0.15">
      <c r="A165" s="4">
        <v>224.90017</v>
      </c>
      <c r="B165" s="4">
        <v>67</v>
      </c>
      <c r="C165" s="4">
        <v>96.859030000000004</v>
      </c>
      <c r="D165" s="1">
        <v>4</v>
      </c>
    </row>
    <row r="166" spans="1:4" x14ac:dyDescent="0.15">
      <c r="A166" s="4">
        <v>224.90899999999999</v>
      </c>
      <c r="B166" s="4">
        <v>67.5</v>
      </c>
      <c r="C166" s="4">
        <v>96.836299999999994</v>
      </c>
      <c r="D166" s="1">
        <v>4</v>
      </c>
    </row>
    <row r="167" spans="1:4" x14ac:dyDescent="0.15">
      <c r="A167" s="4">
        <v>224.92094</v>
      </c>
      <c r="B167" s="4">
        <v>68</v>
      </c>
      <c r="C167" s="4">
        <v>96.831410000000005</v>
      </c>
      <c r="D167" s="1">
        <v>4</v>
      </c>
    </row>
    <row r="168" spans="1:4" x14ac:dyDescent="0.15">
      <c r="A168" s="4">
        <v>224.92904999999999</v>
      </c>
      <c r="B168" s="4">
        <v>68.5</v>
      </c>
      <c r="C168" s="4">
        <v>96.822249999999997</v>
      </c>
      <c r="D168" s="1">
        <v>4</v>
      </c>
    </row>
    <row r="169" spans="1:4" x14ac:dyDescent="0.15">
      <c r="A169" s="4">
        <v>224.93303</v>
      </c>
      <c r="B169" s="4">
        <v>69</v>
      </c>
      <c r="C169" s="4">
        <v>96.799790000000002</v>
      </c>
      <c r="D169" s="1">
        <v>4</v>
      </c>
    </row>
    <row r="170" spans="1:4" x14ac:dyDescent="0.15">
      <c r="A170" s="4">
        <v>224.94094999999999</v>
      </c>
      <c r="B170" s="4">
        <v>69.5</v>
      </c>
      <c r="C170" s="4">
        <v>96.800070000000005</v>
      </c>
      <c r="D170" s="1">
        <v>4</v>
      </c>
    </row>
    <row r="171" spans="1:4" x14ac:dyDescent="0.15">
      <c r="A171" s="4">
        <v>224.94291999999999</v>
      </c>
      <c r="B171" s="4">
        <v>70</v>
      </c>
      <c r="C171" s="4">
        <v>96.791319999999999</v>
      </c>
      <c r="D171" s="1">
        <v>4</v>
      </c>
    </row>
    <row r="172" spans="1:4" x14ac:dyDescent="0.15">
      <c r="A172" s="4">
        <v>224.95005</v>
      </c>
      <c r="B172" s="4">
        <v>70.5</v>
      </c>
      <c r="C172" s="4">
        <v>96.789410000000004</v>
      </c>
      <c r="D172" s="1">
        <v>4</v>
      </c>
    </row>
    <row r="173" spans="1:4" x14ac:dyDescent="0.15">
      <c r="A173" s="4">
        <v>224.95408</v>
      </c>
      <c r="B173" s="4">
        <v>71</v>
      </c>
      <c r="C173" s="4">
        <v>96.755859999999998</v>
      </c>
      <c r="D173" s="1">
        <v>4</v>
      </c>
    </row>
    <row r="174" spans="1:4" x14ac:dyDescent="0.15">
      <c r="A174" s="4">
        <v>224.96193</v>
      </c>
      <c r="B174" s="4">
        <v>71.5</v>
      </c>
      <c r="C174" s="4">
        <v>96.746769999999998</v>
      </c>
      <c r="D174" s="1">
        <v>4</v>
      </c>
    </row>
    <row r="175" spans="1:4" x14ac:dyDescent="0.15">
      <c r="A175" s="4">
        <v>224.96806000000001</v>
      </c>
      <c r="B175" s="4">
        <v>72</v>
      </c>
      <c r="C175" s="4">
        <v>96.743989999999997</v>
      </c>
      <c r="D175" s="1">
        <v>4</v>
      </c>
    </row>
    <row r="176" spans="1:4" x14ac:dyDescent="0.15">
      <c r="A176" s="4">
        <v>224.96404999999999</v>
      </c>
      <c r="B176" s="4">
        <v>72.5</v>
      </c>
      <c r="C176" s="4">
        <v>96.720020000000005</v>
      </c>
      <c r="D176" s="1">
        <v>4</v>
      </c>
    </row>
    <row r="177" spans="1:4" x14ac:dyDescent="0.15">
      <c r="A177" s="4">
        <v>224.96893</v>
      </c>
      <c r="B177" s="4">
        <v>73</v>
      </c>
      <c r="C177" s="4">
        <v>96.741669999999999</v>
      </c>
      <c r="D177" s="1">
        <v>4</v>
      </c>
    </row>
    <row r="178" spans="1:4" x14ac:dyDescent="0.15">
      <c r="A178" s="4">
        <v>224.97583</v>
      </c>
      <c r="B178" s="4">
        <v>73.5</v>
      </c>
      <c r="C178" s="4">
        <v>96.723370000000003</v>
      </c>
      <c r="D178" s="1">
        <v>4</v>
      </c>
    </row>
    <row r="179" spans="1:4" x14ac:dyDescent="0.15">
      <c r="A179" s="4">
        <v>224.97399999999999</v>
      </c>
      <c r="B179" s="4">
        <v>74</v>
      </c>
      <c r="C179" s="4">
        <v>96.701189999999997</v>
      </c>
      <c r="D179" s="1">
        <v>4</v>
      </c>
    </row>
    <row r="180" spans="1:4" x14ac:dyDescent="0.15">
      <c r="A180" s="4">
        <v>224.97909000000001</v>
      </c>
      <c r="B180" s="4">
        <v>74.5</v>
      </c>
      <c r="C180" s="4">
        <v>96.693759999999997</v>
      </c>
      <c r="D180" s="1">
        <v>4</v>
      </c>
    </row>
    <row r="181" spans="1:4" x14ac:dyDescent="0.15">
      <c r="A181" s="4">
        <v>224.98002</v>
      </c>
      <c r="B181" s="4">
        <v>75</v>
      </c>
      <c r="C181" s="4">
        <v>96.681160000000006</v>
      </c>
      <c r="D181" s="1">
        <v>4</v>
      </c>
    </row>
    <row r="182" spans="1:4" x14ac:dyDescent="0.15">
      <c r="A182" s="4">
        <v>224.97897</v>
      </c>
      <c r="B182" s="4">
        <v>75.5</v>
      </c>
      <c r="C182" s="4">
        <v>96.674310000000006</v>
      </c>
      <c r="D182" s="1">
        <v>4</v>
      </c>
    </row>
    <row r="183" spans="1:4" x14ac:dyDescent="0.15">
      <c r="A183" s="4">
        <v>224.97880000000001</v>
      </c>
      <c r="B183" s="4">
        <v>76</v>
      </c>
      <c r="C183" s="4">
        <v>96.642769999999999</v>
      </c>
      <c r="D183" s="1">
        <v>4</v>
      </c>
    </row>
    <row r="184" spans="1:4" x14ac:dyDescent="0.15">
      <c r="A184" s="4">
        <v>224.98509000000001</v>
      </c>
      <c r="B184" s="4">
        <v>76.5</v>
      </c>
      <c r="C184" s="4">
        <v>96.635279999999995</v>
      </c>
      <c r="D184" s="1">
        <v>4</v>
      </c>
    </row>
    <row r="185" spans="1:4" x14ac:dyDescent="0.15">
      <c r="A185" s="4">
        <v>224.98813000000001</v>
      </c>
      <c r="B185" s="4">
        <v>77</v>
      </c>
      <c r="C185" s="4">
        <v>96.606679999999997</v>
      </c>
      <c r="D185" s="1">
        <v>4</v>
      </c>
    </row>
    <row r="186" spans="1:4" x14ac:dyDescent="0.15">
      <c r="A186" s="4">
        <v>224.98905999999999</v>
      </c>
      <c r="B186" s="4">
        <v>77.5</v>
      </c>
      <c r="C186" s="4">
        <v>96.606290000000001</v>
      </c>
      <c r="D186" s="1">
        <v>4</v>
      </c>
    </row>
    <row r="187" spans="1:4" x14ac:dyDescent="0.15">
      <c r="A187" s="4">
        <v>224.99206000000001</v>
      </c>
      <c r="B187" s="4">
        <v>78</v>
      </c>
      <c r="C187" s="4">
        <v>96.606769999999997</v>
      </c>
      <c r="D187" s="1">
        <v>4</v>
      </c>
    </row>
    <row r="188" spans="1:4" x14ac:dyDescent="0.15">
      <c r="A188" s="4">
        <v>224.99198999999999</v>
      </c>
      <c r="B188" s="4">
        <v>78.5</v>
      </c>
      <c r="C188" s="4">
        <v>96.589780000000005</v>
      </c>
      <c r="D188" s="1">
        <v>4</v>
      </c>
    </row>
    <row r="189" spans="1:4" x14ac:dyDescent="0.15">
      <c r="A189" s="4">
        <v>224.99100999999999</v>
      </c>
      <c r="B189" s="4">
        <v>79</v>
      </c>
      <c r="C189" s="4">
        <v>96.575479999999999</v>
      </c>
      <c r="D189" s="1">
        <v>4</v>
      </c>
    </row>
    <row r="190" spans="1:4" x14ac:dyDescent="0.15">
      <c r="A190" s="4">
        <v>224.99212</v>
      </c>
      <c r="B190" s="4">
        <v>79.5</v>
      </c>
      <c r="C190" s="4">
        <v>96.581819999999993</v>
      </c>
      <c r="D190" s="1">
        <v>4</v>
      </c>
    </row>
    <row r="191" spans="1:4" x14ac:dyDescent="0.15">
      <c r="A191" s="4">
        <v>224.99305000000001</v>
      </c>
      <c r="B191" s="4">
        <v>80</v>
      </c>
      <c r="C191" s="4">
        <v>96.570080000000004</v>
      </c>
      <c r="D191" s="1">
        <v>4</v>
      </c>
    </row>
    <row r="192" spans="1:4" x14ac:dyDescent="0.15">
      <c r="A192" s="4">
        <v>224.99404000000001</v>
      </c>
      <c r="B192" s="4">
        <v>80.5</v>
      </c>
      <c r="C192" s="4">
        <v>96.538880000000006</v>
      </c>
      <c r="D192" s="1">
        <v>4</v>
      </c>
    </row>
    <row r="193" spans="1:4" x14ac:dyDescent="0.15">
      <c r="A193" s="4">
        <v>224.99402000000001</v>
      </c>
      <c r="B193" s="4">
        <v>81</v>
      </c>
      <c r="C193" s="4">
        <v>96.523780000000002</v>
      </c>
      <c r="D193" s="1">
        <v>4</v>
      </c>
    </row>
    <row r="194" spans="1:4" x14ac:dyDescent="0.15">
      <c r="A194" s="4">
        <v>224.99198999999999</v>
      </c>
      <c r="B194" s="4">
        <v>81.5</v>
      </c>
      <c r="C194" s="4">
        <v>96.533670000000001</v>
      </c>
      <c r="D194" s="1">
        <v>4</v>
      </c>
    </row>
    <row r="195" spans="1:4" x14ac:dyDescent="0.15">
      <c r="A195" s="4">
        <v>224.99695</v>
      </c>
      <c r="B195" s="4">
        <v>82</v>
      </c>
      <c r="C195" s="4">
        <v>96.503190000000004</v>
      </c>
      <c r="D195" s="1">
        <v>4</v>
      </c>
    </row>
    <row r="196" spans="1:4" x14ac:dyDescent="0.15">
      <c r="A196" s="4">
        <v>224.994</v>
      </c>
      <c r="B196" s="4">
        <v>82.5</v>
      </c>
      <c r="C196" s="4">
        <v>96.508300000000006</v>
      </c>
      <c r="D196" s="1">
        <v>4</v>
      </c>
    </row>
    <row r="197" spans="1:4" x14ac:dyDescent="0.15">
      <c r="A197" s="4">
        <v>224.99678</v>
      </c>
      <c r="B197" s="4">
        <v>83</v>
      </c>
      <c r="C197" s="4">
        <v>96.504040000000003</v>
      </c>
      <c r="D197" s="1">
        <v>4</v>
      </c>
    </row>
    <row r="198" spans="1:4" x14ac:dyDescent="0.15">
      <c r="A198" s="4">
        <v>224.99798999999999</v>
      </c>
      <c r="B198" s="4">
        <v>83.5</v>
      </c>
      <c r="C198" s="4">
        <v>96.483990000000006</v>
      </c>
      <c r="D198" s="1">
        <v>4</v>
      </c>
    </row>
    <row r="199" spans="1:4" x14ac:dyDescent="0.15">
      <c r="A199" s="4">
        <v>224.99893</v>
      </c>
      <c r="B199" s="4">
        <v>84</v>
      </c>
      <c r="C199" s="4">
        <v>96.468109999999996</v>
      </c>
      <c r="D199" s="1">
        <v>4</v>
      </c>
    </row>
    <row r="200" spans="1:4" x14ac:dyDescent="0.15">
      <c r="A200" s="4">
        <v>224.99594999999999</v>
      </c>
      <c r="B200" s="4">
        <v>84.5</v>
      </c>
      <c r="C200" s="4">
        <v>96.470979999999997</v>
      </c>
      <c r="D200" s="1">
        <v>4</v>
      </c>
    </row>
    <row r="201" spans="1:4" x14ac:dyDescent="0.15">
      <c r="A201" s="4">
        <v>225.00002000000001</v>
      </c>
      <c r="B201" s="4">
        <v>85</v>
      </c>
      <c r="C201" s="4">
        <v>96.447509999999994</v>
      </c>
      <c r="D201" s="1">
        <v>4</v>
      </c>
    </row>
    <row r="202" spans="1:4" x14ac:dyDescent="0.15">
      <c r="A202" s="4">
        <v>225.0042</v>
      </c>
      <c r="B202" s="4">
        <v>85.5</v>
      </c>
      <c r="C202" s="4">
        <v>96.431479999999993</v>
      </c>
      <c r="D202" s="1">
        <v>4</v>
      </c>
    </row>
    <row r="203" spans="1:4" x14ac:dyDescent="0.15">
      <c r="A203" s="4">
        <v>225.00200000000001</v>
      </c>
      <c r="B203" s="4">
        <v>86</v>
      </c>
      <c r="C203" s="4">
        <v>96.433170000000004</v>
      </c>
      <c r="D203" s="1">
        <v>4</v>
      </c>
    </row>
    <row r="204" spans="1:4" x14ac:dyDescent="0.15">
      <c r="A204" s="4">
        <v>225.00594000000001</v>
      </c>
      <c r="B204" s="4">
        <v>86.5</v>
      </c>
      <c r="C204" s="4">
        <v>96.436580000000006</v>
      </c>
      <c r="D204" s="1">
        <v>4</v>
      </c>
    </row>
    <row r="205" spans="1:4" x14ac:dyDescent="0.15">
      <c r="A205" s="4">
        <v>225.00028</v>
      </c>
      <c r="B205" s="4">
        <v>87</v>
      </c>
      <c r="C205" s="4">
        <v>96.412930000000003</v>
      </c>
      <c r="D205" s="1">
        <v>5</v>
      </c>
    </row>
    <row r="206" spans="1:4" x14ac:dyDescent="0.15">
      <c r="A206" s="4">
        <v>225.21154999999999</v>
      </c>
      <c r="B206" s="4">
        <v>87.5</v>
      </c>
      <c r="C206" s="4">
        <v>96.48939</v>
      </c>
      <c r="D206" s="1">
        <v>5</v>
      </c>
    </row>
    <row r="207" spans="1:4" x14ac:dyDescent="0.15">
      <c r="A207" s="4">
        <v>225.37519</v>
      </c>
      <c r="B207" s="4">
        <v>88</v>
      </c>
      <c r="C207" s="4">
        <v>96.643860000000004</v>
      </c>
      <c r="D207" s="1">
        <v>5</v>
      </c>
    </row>
    <row r="208" spans="1:4" x14ac:dyDescent="0.15">
      <c r="A208" s="4">
        <v>225.34948</v>
      </c>
      <c r="B208" s="4">
        <v>88.5</v>
      </c>
      <c r="C208" s="4">
        <v>96.727270000000004</v>
      </c>
      <c r="D208" s="1">
        <v>5</v>
      </c>
    </row>
    <row r="209" spans="1:10" x14ac:dyDescent="0.15">
      <c r="A209" s="4">
        <v>225.25546</v>
      </c>
      <c r="B209" s="4">
        <v>89</v>
      </c>
      <c r="C209" s="4">
        <v>96.804040000000001</v>
      </c>
      <c r="D209" s="1">
        <v>5</v>
      </c>
    </row>
    <row r="210" spans="1:10" x14ac:dyDescent="0.15">
      <c r="A210" s="4">
        <v>225.15756999999999</v>
      </c>
      <c r="B210" s="4">
        <v>89.5</v>
      </c>
      <c r="C210" s="4">
        <v>96.834879999999998</v>
      </c>
      <c r="D210" s="1">
        <v>5</v>
      </c>
    </row>
    <row r="211" spans="1:10" x14ac:dyDescent="0.15">
      <c r="A211" s="4">
        <v>225.07776999999999</v>
      </c>
      <c r="B211" s="4">
        <v>90</v>
      </c>
      <c r="C211" s="4">
        <v>96.838570000000004</v>
      </c>
      <c r="D211" s="1">
        <v>5</v>
      </c>
    </row>
    <row r="212" spans="1:10" x14ac:dyDescent="0.15">
      <c r="A212" s="4">
        <v>225.02271999999999</v>
      </c>
      <c r="B212" s="4">
        <v>90.5</v>
      </c>
      <c r="C212" s="4">
        <v>96.886449999999996</v>
      </c>
      <c r="D212" s="1">
        <v>5</v>
      </c>
    </row>
    <row r="213" spans="1:10" x14ac:dyDescent="0.15">
      <c r="A213" s="4">
        <v>224.98786000000001</v>
      </c>
      <c r="B213" s="4">
        <v>91</v>
      </c>
      <c r="C213" s="4">
        <v>96.906019999999998</v>
      </c>
      <c r="D213" s="1">
        <v>5</v>
      </c>
    </row>
    <row r="214" spans="1:10" x14ac:dyDescent="0.15">
      <c r="A214" s="4">
        <v>224.96079</v>
      </c>
      <c r="B214" s="4">
        <v>91.5</v>
      </c>
      <c r="C214" s="4">
        <v>96.900170000000003</v>
      </c>
      <c r="D214" s="1">
        <v>5</v>
      </c>
    </row>
    <row r="215" spans="1:10" x14ac:dyDescent="0.15">
      <c r="A215" s="4">
        <v>224.95097000000001</v>
      </c>
      <c r="B215" s="4">
        <v>92</v>
      </c>
      <c r="C215" s="4">
        <v>96.902519999999996</v>
      </c>
      <c r="D215" s="1">
        <v>5</v>
      </c>
      <c r="I215" s="8" t="s">
        <v>108</v>
      </c>
      <c r="J215" s="8" t="s">
        <v>107</v>
      </c>
    </row>
    <row r="216" spans="1:10" x14ac:dyDescent="0.15">
      <c r="A216" s="9">
        <v>224.94900000000001</v>
      </c>
      <c r="B216" s="9">
        <v>92.5</v>
      </c>
      <c r="C216" s="9">
        <v>96.930459999999997</v>
      </c>
      <c r="D216" s="10">
        <v>5</v>
      </c>
      <c r="E216">
        <f t="shared" ref="E216:E223" si="0">($C$216-C216)/$G$216</f>
        <v>0</v>
      </c>
      <c r="F216" s="8" t="s">
        <v>105</v>
      </c>
      <c r="G216">
        <f>Table25[[#This Row],[Mass/%]]*(1-0.3488)</f>
        <v>63.121115551999999</v>
      </c>
      <c r="H216" s="4"/>
      <c r="I216">
        <f>(B684-B206)/60</f>
        <v>3.9833333333333334</v>
      </c>
      <c r="J216" s="4">
        <f>C205-C684</f>
        <v>6.0532400000000024</v>
      </c>
    </row>
    <row r="217" spans="1:10" x14ac:dyDescent="0.15">
      <c r="A217" s="4">
        <v>224.95199</v>
      </c>
      <c r="B217" s="4">
        <v>93</v>
      </c>
      <c r="C217" s="4">
        <v>96.907830000000004</v>
      </c>
      <c r="D217" s="1">
        <v>5</v>
      </c>
      <c r="E217">
        <f>($C$216-C217)/$G$216</f>
        <v>3.5851711114562746E-4</v>
      </c>
      <c r="H217" s="4"/>
    </row>
    <row r="218" spans="1:10" x14ac:dyDescent="0.15">
      <c r="A218" s="4">
        <v>224.95696000000001</v>
      </c>
      <c r="B218" s="4">
        <v>93.5</v>
      </c>
      <c r="C218" s="4">
        <v>96.891589999999994</v>
      </c>
      <c r="D218" s="1">
        <v>5</v>
      </c>
      <c r="E218">
        <f t="shared" si="0"/>
        <v>6.1580027000602091E-4</v>
      </c>
      <c r="H218" s="4"/>
    </row>
    <row r="219" spans="1:10" x14ac:dyDescent="0.15">
      <c r="A219" s="4">
        <v>224.96493000000001</v>
      </c>
      <c r="B219" s="4">
        <v>94</v>
      </c>
      <c r="C219" s="4">
        <v>96.924440000000004</v>
      </c>
      <c r="D219" s="1">
        <v>5</v>
      </c>
      <c r="E219">
        <f t="shared" si="0"/>
        <v>9.537220543944617E-5</v>
      </c>
      <c r="H219" s="4"/>
    </row>
    <row r="220" spans="1:10" x14ac:dyDescent="0.15">
      <c r="A220" s="4">
        <v>224.96706</v>
      </c>
      <c r="B220" s="4">
        <v>94.5</v>
      </c>
      <c r="C220" s="4">
        <v>96.902780000000007</v>
      </c>
      <c r="D220" s="1">
        <v>5</v>
      </c>
      <c r="E220">
        <f t="shared" si="0"/>
        <v>4.3852203431332491E-4</v>
      </c>
      <c r="H220" s="4"/>
    </row>
    <row r="221" spans="1:10" x14ac:dyDescent="0.15">
      <c r="A221" s="4">
        <v>224.97107</v>
      </c>
      <c r="B221" s="4">
        <v>95</v>
      </c>
      <c r="C221" s="4">
        <v>96.896640000000005</v>
      </c>
      <c r="D221" s="1">
        <v>5</v>
      </c>
      <c r="E221">
        <f t="shared" si="0"/>
        <v>5.3579534683809832E-4</v>
      </c>
      <c r="H221" s="4"/>
    </row>
    <row r="222" spans="1:10" x14ac:dyDescent="0.15">
      <c r="A222" s="4">
        <v>224.97413</v>
      </c>
      <c r="B222" s="4">
        <v>95.5</v>
      </c>
      <c r="C222" s="4">
        <v>96.869860000000003</v>
      </c>
      <c r="D222" s="1">
        <v>5</v>
      </c>
      <c r="E222">
        <f t="shared" si="0"/>
        <v>9.600590780128196E-4</v>
      </c>
      <c r="H222" s="4"/>
    </row>
    <row r="223" spans="1:10" x14ac:dyDescent="0.15">
      <c r="A223" s="4">
        <v>224.98101</v>
      </c>
      <c r="B223" s="4">
        <v>96</v>
      </c>
      <c r="C223" s="4">
        <v>96.886080000000007</v>
      </c>
      <c r="D223" s="1">
        <v>5</v>
      </c>
      <c r="E223">
        <f t="shared" si="0"/>
        <v>7.0309277033338909E-4</v>
      </c>
      <c r="H223" s="4"/>
    </row>
    <row r="224" spans="1:10" x14ac:dyDescent="0.15">
      <c r="A224" s="4">
        <v>224.98102</v>
      </c>
      <c r="B224" s="4">
        <v>96.5</v>
      </c>
      <c r="C224" s="4">
        <v>96.845849999999999</v>
      </c>
      <c r="D224" s="1">
        <v>5</v>
      </c>
      <c r="E224">
        <f t="shared" ref="E224:E287" si="1">($C$216-C224)/$G$216</f>
        <v>1.3404389206381347E-3</v>
      </c>
      <c r="H224" s="4"/>
    </row>
    <row r="225" spans="1:8" x14ac:dyDescent="0.15">
      <c r="A225" s="4">
        <v>224.98217</v>
      </c>
      <c r="B225" s="4">
        <v>97</v>
      </c>
      <c r="C225" s="4">
        <v>96.848370000000003</v>
      </c>
      <c r="D225" s="1">
        <v>5</v>
      </c>
      <c r="E225">
        <f t="shared" si="1"/>
        <v>1.3005156718494141E-3</v>
      </c>
      <c r="H225" s="4"/>
    </row>
    <row r="226" spans="1:8" x14ac:dyDescent="0.15">
      <c r="A226" s="4">
        <v>224.98204000000001</v>
      </c>
      <c r="B226" s="4">
        <v>97.5</v>
      </c>
      <c r="C226" s="4">
        <v>96.837040000000002</v>
      </c>
      <c r="D226" s="1">
        <v>5</v>
      </c>
      <c r="E226">
        <f t="shared" si="1"/>
        <v>1.4800118658079501E-3</v>
      </c>
      <c r="H226" s="4"/>
    </row>
    <row r="227" spans="1:8" x14ac:dyDescent="0.15">
      <c r="A227" s="4">
        <v>224.98598999999999</v>
      </c>
      <c r="B227" s="4">
        <v>98</v>
      </c>
      <c r="C227" s="4">
        <v>96.825190000000006</v>
      </c>
      <c r="D227" s="1">
        <v>5</v>
      </c>
      <c r="E227">
        <f t="shared" si="1"/>
        <v>1.6677461904688203E-3</v>
      </c>
      <c r="H227" s="4"/>
    </row>
    <row r="228" spans="1:8" x14ac:dyDescent="0.15">
      <c r="A228" s="4">
        <v>224.99007</v>
      </c>
      <c r="B228" s="4">
        <v>98.5</v>
      </c>
      <c r="C228" s="4">
        <v>96.807100000000005</v>
      </c>
      <c r="D228" s="1">
        <v>5</v>
      </c>
      <c r="E228">
        <f t="shared" si="1"/>
        <v>1.9543380835588282E-3</v>
      </c>
      <c r="H228" s="4"/>
    </row>
    <row r="229" spans="1:8" x14ac:dyDescent="0.15">
      <c r="A229" s="4">
        <v>224.98903999999999</v>
      </c>
      <c r="B229" s="4">
        <v>99</v>
      </c>
      <c r="C229" s="4">
        <v>96.778019999999998</v>
      </c>
      <c r="D229" s="1">
        <v>5</v>
      </c>
      <c r="E229">
        <f t="shared" si="1"/>
        <v>2.4150397005328035E-3</v>
      </c>
      <c r="H229" s="4"/>
    </row>
    <row r="230" spans="1:8" x14ac:dyDescent="0.15">
      <c r="A230" s="4">
        <v>224.98989</v>
      </c>
      <c r="B230" s="4">
        <v>99.5</v>
      </c>
      <c r="C230" s="4">
        <v>96.775109999999998</v>
      </c>
      <c r="D230" s="1">
        <v>5</v>
      </c>
      <c r="E230">
        <f t="shared" si="1"/>
        <v>2.4611415473482752E-3</v>
      </c>
      <c r="H230" s="4"/>
    </row>
    <row r="231" spans="1:8" x14ac:dyDescent="0.15">
      <c r="A231" s="4">
        <v>224.99293</v>
      </c>
      <c r="B231" s="4">
        <v>100</v>
      </c>
      <c r="C231" s="4">
        <v>96.754300000000001</v>
      </c>
      <c r="D231" s="1">
        <v>5</v>
      </c>
      <c r="E231">
        <f t="shared" si="1"/>
        <v>2.7908252010355071E-3</v>
      </c>
      <c r="H231" s="4"/>
    </row>
    <row r="232" spans="1:8" x14ac:dyDescent="0.15">
      <c r="A232" s="4">
        <v>224.99489</v>
      </c>
      <c r="B232" s="4">
        <v>100.5</v>
      </c>
      <c r="C232" s="4">
        <v>96.763620000000003</v>
      </c>
      <c r="D232" s="1">
        <v>5</v>
      </c>
      <c r="E232">
        <f t="shared" si="1"/>
        <v>2.6431725507536138E-3</v>
      </c>
      <c r="H232" s="4"/>
    </row>
    <row r="233" spans="1:8" x14ac:dyDescent="0.15">
      <c r="A233" s="4">
        <v>224.99395000000001</v>
      </c>
      <c r="B233" s="4">
        <v>101</v>
      </c>
      <c r="C233" s="4">
        <v>96.756190000000004</v>
      </c>
      <c r="D233" s="1">
        <v>5</v>
      </c>
      <c r="E233">
        <f t="shared" si="1"/>
        <v>2.7608827644439666E-3</v>
      </c>
      <c r="H233" s="4"/>
    </row>
    <row r="234" spans="1:8" x14ac:dyDescent="0.15">
      <c r="A234" s="4">
        <v>224.99408</v>
      </c>
      <c r="B234" s="4">
        <v>101.5</v>
      </c>
      <c r="C234" s="4">
        <v>96.718239999999994</v>
      </c>
      <c r="D234" s="1">
        <v>5</v>
      </c>
      <c r="E234">
        <f t="shared" si="1"/>
        <v>3.3621078801304213E-3</v>
      </c>
      <c r="H234" s="4"/>
    </row>
    <row r="235" spans="1:8" x14ac:dyDescent="0.15">
      <c r="A235" s="4">
        <v>224.99501000000001</v>
      </c>
      <c r="B235" s="4">
        <v>102</v>
      </c>
      <c r="C235" s="4">
        <v>96.705200000000005</v>
      </c>
      <c r="D235" s="1">
        <v>5</v>
      </c>
      <c r="E235">
        <f t="shared" si="1"/>
        <v>3.5686948500525065E-3</v>
      </c>
      <c r="H235" s="4"/>
    </row>
    <row r="236" spans="1:8" x14ac:dyDescent="0.15">
      <c r="A236" s="4">
        <v>224.99687</v>
      </c>
      <c r="B236" s="4">
        <v>102.5</v>
      </c>
      <c r="C236" s="4">
        <v>96.69623</v>
      </c>
      <c r="D236" s="1">
        <v>5</v>
      </c>
      <c r="E236">
        <f t="shared" si="1"/>
        <v>3.7108026046693498E-3</v>
      </c>
      <c r="H236" s="4"/>
    </row>
    <row r="237" spans="1:8" x14ac:dyDescent="0.15">
      <c r="A237" s="4">
        <v>224.99292</v>
      </c>
      <c r="B237" s="4">
        <v>103</v>
      </c>
      <c r="C237" s="4">
        <v>96.677109999999999</v>
      </c>
      <c r="D237" s="1">
        <v>5</v>
      </c>
      <c r="E237">
        <f t="shared" si="1"/>
        <v>4.0137123335737702E-3</v>
      </c>
      <c r="H237" s="4"/>
    </row>
    <row r="238" spans="1:8" x14ac:dyDescent="0.15">
      <c r="A238" s="4">
        <v>224.99786</v>
      </c>
      <c r="B238" s="4">
        <v>103.5</v>
      </c>
      <c r="C238" s="4">
        <v>96.678089999999997</v>
      </c>
      <c r="D238" s="1">
        <v>5</v>
      </c>
      <c r="E238">
        <f t="shared" si="1"/>
        <v>3.9981866257115398E-3</v>
      </c>
      <c r="H238" s="4"/>
    </row>
    <row r="239" spans="1:8" x14ac:dyDescent="0.15">
      <c r="A239" s="4">
        <v>224.99697</v>
      </c>
      <c r="B239" s="4">
        <v>104</v>
      </c>
      <c r="C239" s="4">
        <v>96.659450000000007</v>
      </c>
      <c r="D239" s="1">
        <v>5</v>
      </c>
      <c r="E239">
        <f t="shared" si="1"/>
        <v>4.2934919262751017E-3</v>
      </c>
      <c r="H239" s="4"/>
    </row>
    <row r="240" spans="1:8" x14ac:dyDescent="0.15">
      <c r="A240" s="4">
        <v>224.99498</v>
      </c>
      <c r="B240" s="4">
        <v>104.5</v>
      </c>
      <c r="C240" s="4">
        <v>96.644970000000001</v>
      </c>
      <c r="D240" s="1">
        <v>5</v>
      </c>
      <c r="E240">
        <f t="shared" si="1"/>
        <v>4.5228921812195382E-3</v>
      </c>
      <c r="H240" s="4"/>
    </row>
    <row r="241" spans="1:8" x14ac:dyDescent="0.15">
      <c r="A241" s="4">
        <v>224.99901</v>
      </c>
      <c r="B241" s="4">
        <v>105</v>
      </c>
      <c r="C241" s="4">
        <v>96.627129999999994</v>
      </c>
      <c r="D241" s="1">
        <v>5</v>
      </c>
      <c r="E241">
        <f t="shared" si="1"/>
        <v>4.8055234345488603E-3</v>
      </c>
      <c r="H241" s="4"/>
    </row>
    <row r="242" spans="1:8" x14ac:dyDescent="0.15">
      <c r="A242" s="4">
        <v>224.99904000000001</v>
      </c>
      <c r="B242" s="4">
        <v>105.5</v>
      </c>
      <c r="C242" s="4">
        <v>96.617940000000004</v>
      </c>
      <c r="D242" s="1">
        <v>5</v>
      </c>
      <c r="E242">
        <f t="shared" si="1"/>
        <v>4.9511165521549452E-3</v>
      </c>
      <c r="H242" s="4"/>
    </row>
    <row r="243" spans="1:8" x14ac:dyDescent="0.15">
      <c r="A243" s="4">
        <v>224.99997999999999</v>
      </c>
      <c r="B243" s="4">
        <v>106</v>
      </c>
      <c r="C243" s="4">
        <v>96.593890000000002</v>
      </c>
      <c r="D243" s="1">
        <v>5</v>
      </c>
      <c r="E243">
        <f t="shared" si="1"/>
        <v>5.3321300971419612E-3</v>
      </c>
      <c r="H243" s="4"/>
    </row>
    <row r="244" spans="1:8" x14ac:dyDescent="0.15">
      <c r="A244" s="4">
        <v>224.99896000000001</v>
      </c>
      <c r="B244" s="4">
        <v>106.5</v>
      </c>
      <c r="C244" s="4">
        <v>96.587959999999995</v>
      </c>
      <c r="D244" s="1">
        <v>5</v>
      </c>
      <c r="E244">
        <f t="shared" si="1"/>
        <v>5.4260764722677494E-3</v>
      </c>
      <c r="H244" s="4"/>
    </row>
    <row r="245" spans="1:8" x14ac:dyDescent="0.15">
      <c r="A245" s="4">
        <v>225.00088</v>
      </c>
      <c r="B245" s="4">
        <v>107</v>
      </c>
      <c r="C245" s="4">
        <v>96.560389999999998</v>
      </c>
      <c r="D245" s="1">
        <v>5</v>
      </c>
      <c r="E245">
        <f t="shared" si="1"/>
        <v>5.8628558250864542E-3</v>
      </c>
      <c r="H245" s="4"/>
    </row>
    <row r="246" spans="1:8" x14ac:dyDescent="0.15">
      <c r="A246" s="4">
        <v>225.00599</v>
      </c>
      <c r="B246" s="4">
        <v>107.5</v>
      </c>
      <c r="C246" s="4">
        <v>96.552530000000004</v>
      </c>
      <c r="D246" s="1">
        <v>5</v>
      </c>
      <c r="E246">
        <f t="shared" si="1"/>
        <v>5.9873783391652582E-3</v>
      </c>
      <c r="H246" s="4"/>
    </row>
    <row r="247" spans="1:8" x14ac:dyDescent="0.15">
      <c r="A247" s="4">
        <v>225.00091</v>
      </c>
      <c r="B247" s="4">
        <v>108</v>
      </c>
      <c r="C247" s="4">
        <v>96.530320000000003</v>
      </c>
      <c r="D247" s="1">
        <v>5</v>
      </c>
      <c r="E247">
        <f t="shared" si="1"/>
        <v>6.3392415755129158E-3</v>
      </c>
      <c r="H247" s="4"/>
    </row>
    <row r="248" spans="1:8" x14ac:dyDescent="0.15">
      <c r="A248" s="4">
        <v>224.99898999999999</v>
      </c>
      <c r="B248" s="4">
        <v>108.5</v>
      </c>
      <c r="C248" s="4">
        <v>96.512680000000003</v>
      </c>
      <c r="D248" s="1">
        <v>5</v>
      </c>
      <c r="E248">
        <f t="shared" si="1"/>
        <v>6.6187043170335092E-3</v>
      </c>
      <c r="H248" s="4"/>
    </row>
    <row r="249" spans="1:8" x14ac:dyDescent="0.15">
      <c r="A249" s="4">
        <v>224.99504999999999</v>
      </c>
      <c r="B249" s="4">
        <v>109</v>
      </c>
      <c r="C249" s="4">
        <v>96.493309999999994</v>
      </c>
      <c r="D249" s="1">
        <v>5</v>
      </c>
      <c r="E249">
        <f t="shared" si="1"/>
        <v>6.9255746856988409E-3</v>
      </c>
      <c r="H249" s="4"/>
    </row>
    <row r="250" spans="1:8" x14ac:dyDescent="0.15">
      <c r="A250" s="4">
        <v>224.99993000000001</v>
      </c>
      <c r="B250" s="4">
        <v>109.5</v>
      </c>
      <c r="C250" s="4">
        <v>96.473129999999998</v>
      </c>
      <c r="D250" s="1">
        <v>5</v>
      </c>
      <c r="E250">
        <f t="shared" si="1"/>
        <v>7.2452775271888929E-3</v>
      </c>
      <c r="H250" s="4"/>
    </row>
    <row r="251" spans="1:8" x14ac:dyDescent="0.15">
      <c r="A251" s="4">
        <v>224.99992</v>
      </c>
      <c r="B251" s="4">
        <v>110</v>
      </c>
      <c r="C251" s="4">
        <v>96.444159999999997</v>
      </c>
      <c r="D251" s="1">
        <v>5</v>
      </c>
      <c r="E251">
        <f t="shared" si="1"/>
        <v>7.7042364626680225E-3</v>
      </c>
      <c r="H251" s="4"/>
    </row>
    <row r="252" spans="1:8" x14ac:dyDescent="0.15">
      <c r="A252" s="4">
        <v>225.00094999999999</v>
      </c>
      <c r="B252" s="4">
        <v>110.5</v>
      </c>
      <c r="C252" s="4">
        <v>96.444509999999994</v>
      </c>
      <c r="D252" s="1">
        <v>5</v>
      </c>
      <c r="E252">
        <f t="shared" si="1"/>
        <v>7.698691567002972E-3</v>
      </c>
      <c r="H252" s="4"/>
    </row>
    <row r="253" spans="1:8" x14ac:dyDescent="0.15">
      <c r="A253" s="4">
        <v>224.99897000000001</v>
      </c>
      <c r="B253" s="4">
        <v>111</v>
      </c>
      <c r="C253" s="4">
        <v>96.407960000000003</v>
      </c>
      <c r="D253" s="1">
        <v>5</v>
      </c>
      <c r="E253">
        <f t="shared" si="1"/>
        <v>8.2777371000287755E-3</v>
      </c>
      <c r="H253" s="4"/>
    </row>
    <row r="254" spans="1:8" x14ac:dyDescent="0.15">
      <c r="A254" s="4">
        <v>225.00098</v>
      </c>
      <c r="B254" s="4">
        <v>111.5</v>
      </c>
      <c r="C254" s="4">
        <v>96.404399999999995</v>
      </c>
      <c r="D254" s="1">
        <v>5</v>
      </c>
      <c r="E254">
        <f t="shared" si="1"/>
        <v>8.3341366102223906E-3</v>
      </c>
      <c r="H254" s="4"/>
    </row>
    <row r="255" spans="1:8" x14ac:dyDescent="0.15">
      <c r="A255" s="4">
        <v>225.00304</v>
      </c>
      <c r="B255" s="4">
        <v>112</v>
      </c>
      <c r="C255" s="4">
        <v>96.384320000000002</v>
      </c>
      <c r="D255" s="1">
        <v>5</v>
      </c>
      <c r="E255">
        <f t="shared" si="1"/>
        <v>8.6522551958080774E-3</v>
      </c>
      <c r="H255" s="4"/>
    </row>
    <row r="256" spans="1:8" x14ac:dyDescent="0.15">
      <c r="A256" s="4">
        <v>224.99897000000001</v>
      </c>
      <c r="B256" s="4">
        <v>112.5</v>
      </c>
      <c r="C256" s="4">
        <v>96.368780000000001</v>
      </c>
      <c r="D256" s="1">
        <v>5</v>
      </c>
      <c r="E256">
        <f t="shared" si="1"/>
        <v>8.8984485633381467E-3</v>
      </c>
      <c r="H256" s="4"/>
    </row>
    <row r="257" spans="1:8" x14ac:dyDescent="0.15">
      <c r="A257" s="4">
        <v>225.00711999999999</v>
      </c>
      <c r="B257" s="4">
        <v>113</v>
      </c>
      <c r="C257" s="4">
        <v>96.392560000000003</v>
      </c>
      <c r="D257" s="1">
        <v>5</v>
      </c>
      <c r="E257">
        <f t="shared" si="1"/>
        <v>8.5217125092927788E-3</v>
      </c>
      <c r="H257" s="4"/>
    </row>
    <row r="258" spans="1:8" x14ac:dyDescent="0.15">
      <c r="A258" s="4">
        <v>225.00886</v>
      </c>
      <c r="B258" s="4">
        <v>113.5</v>
      </c>
      <c r="C258" s="4">
        <v>96.331879999999998</v>
      </c>
      <c r="D258" s="1">
        <v>5</v>
      </c>
      <c r="E258">
        <f t="shared" si="1"/>
        <v>9.4830389920292253E-3</v>
      </c>
      <c r="H258" s="4"/>
    </row>
    <row r="259" spans="1:8" x14ac:dyDescent="0.15">
      <c r="A259" s="4">
        <v>225.00287</v>
      </c>
      <c r="B259" s="4">
        <v>114</v>
      </c>
      <c r="C259" s="4">
        <v>96.319710000000001</v>
      </c>
      <c r="D259" s="1">
        <v>5</v>
      </c>
      <c r="E259">
        <f t="shared" si="1"/>
        <v>9.6758429355839268E-3</v>
      </c>
      <c r="H259" s="4"/>
    </row>
    <row r="260" spans="1:8" x14ac:dyDescent="0.15">
      <c r="A260" s="4">
        <v>224.99988999999999</v>
      </c>
      <c r="B260" s="4">
        <v>114.5</v>
      </c>
      <c r="C260" s="4">
        <v>96.303460000000001</v>
      </c>
      <c r="D260" s="1">
        <v>5</v>
      </c>
      <c r="E260">
        <f t="shared" si="1"/>
        <v>9.9332845200345767E-3</v>
      </c>
      <c r="H260" s="4"/>
    </row>
    <row r="261" spans="1:8" x14ac:dyDescent="0.15">
      <c r="A261" s="4">
        <v>225.00398999999999</v>
      </c>
      <c r="B261" s="4">
        <v>115</v>
      </c>
      <c r="C261" s="4">
        <v>96.280029999999996</v>
      </c>
      <c r="D261" s="1">
        <v>5</v>
      </c>
      <c r="E261">
        <f t="shared" si="1"/>
        <v>1.0304475678414894E-2</v>
      </c>
      <c r="H261" s="4"/>
    </row>
    <row r="262" spans="1:8" x14ac:dyDescent="0.15">
      <c r="A262" s="4">
        <v>225.00296</v>
      </c>
      <c r="B262" s="4">
        <v>115.5</v>
      </c>
      <c r="C262" s="4">
        <v>96.274060000000006</v>
      </c>
      <c r="D262" s="1">
        <v>5</v>
      </c>
      <c r="E262">
        <f t="shared" si="1"/>
        <v>1.0399055755902158E-2</v>
      </c>
      <c r="H262" s="4"/>
    </row>
    <row r="263" spans="1:8" x14ac:dyDescent="0.15">
      <c r="A263" s="4">
        <v>225.00291000000001</v>
      </c>
      <c r="B263" s="4">
        <v>116</v>
      </c>
      <c r="C263" s="4">
        <v>96.255120000000005</v>
      </c>
      <c r="D263" s="1">
        <v>5</v>
      </c>
      <c r="E263">
        <f t="shared" si="1"/>
        <v>1.0699113824178812E-2</v>
      </c>
      <c r="H263" s="4"/>
    </row>
    <row r="264" spans="1:8" x14ac:dyDescent="0.15">
      <c r="A264" s="4">
        <v>225.00403</v>
      </c>
      <c r="B264" s="4">
        <v>116.5</v>
      </c>
      <c r="C264" s="4">
        <v>96.226780000000005</v>
      </c>
      <c r="D264" s="1">
        <v>5</v>
      </c>
      <c r="E264">
        <f t="shared" si="1"/>
        <v>1.1148091947460761E-2</v>
      </c>
      <c r="H264" s="4"/>
    </row>
    <row r="265" spans="1:8" x14ac:dyDescent="0.15">
      <c r="A265" s="4">
        <v>225.00409999999999</v>
      </c>
      <c r="B265" s="4">
        <v>117</v>
      </c>
      <c r="C265" s="4">
        <v>96.196269999999998</v>
      </c>
      <c r="D265" s="1">
        <v>5</v>
      </c>
      <c r="E265">
        <f t="shared" si="1"/>
        <v>1.1631448423866382E-2</v>
      </c>
      <c r="H265" s="4"/>
    </row>
    <row r="266" spans="1:8" x14ac:dyDescent="0.15">
      <c r="A266" s="4">
        <v>225.00199000000001</v>
      </c>
      <c r="B266" s="4">
        <v>117.5</v>
      </c>
      <c r="C266" s="4">
        <v>96.212090000000003</v>
      </c>
      <c r="D266" s="1">
        <v>5</v>
      </c>
      <c r="E266">
        <f t="shared" si="1"/>
        <v>1.1380819139804182E-2</v>
      </c>
      <c r="H266" s="4"/>
    </row>
    <row r="267" spans="1:8" x14ac:dyDescent="0.15">
      <c r="A267" s="4">
        <v>225.00683000000001</v>
      </c>
      <c r="B267" s="4">
        <v>118</v>
      </c>
      <c r="C267" s="4">
        <v>96.186959999999999</v>
      </c>
      <c r="D267" s="1">
        <v>5</v>
      </c>
      <c r="E267">
        <f t="shared" si="1"/>
        <v>1.1778942648557793E-2</v>
      </c>
      <c r="H267" s="4"/>
    </row>
    <row r="268" spans="1:8" x14ac:dyDescent="0.15">
      <c r="A268" s="4">
        <v>225.00173000000001</v>
      </c>
      <c r="B268" s="4">
        <v>118.5</v>
      </c>
      <c r="C268" s="4">
        <v>96.149559999999994</v>
      </c>
      <c r="D268" s="1">
        <v>5</v>
      </c>
      <c r="E268">
        <f t="shared" si="1"/>
        <v>1.237145435677047E-2</v>
      </c>
      <c r="H268" s="4"/>
    </row>
    <row r="269" spans="1:8" x14ac:dyDescent="0.15">
      <c r="A269" s="4">
        <v>225.00210999999999</v>
      </c>
      <c r="B269" s="4">
        <v>119</v>
      </c>
      <c r="C269" s="4">
        <v>96.13176</v>
      </c>
      <c r="D269" s="1">
        <v>5</v>
      </c>
      <c r="E269">
        <f t="shared" si="1"/>
        <v>1.2653451907737865E-2</v>
      </c>
      <c r="H269" s="4"/>
    </row>
    <row r="270" spans="1:8" x14ac:dyDescent="0.15">
      <c r="A270" s="4">
        <v>225.00491</v>
      </c>
      <c r="B270" s="4">
        <v>119.5</v>
      </c>
      <c r="C270" s="4">
        <v>96.124290000000002</v>
      </c>
      <c r="D270" s="1">
        <v>5</v>
      </c>
      <c r="E270">
        <f t="shared" si="1"/>
        <v>1.2771795823789919E-2</v>
      </c>
      <c r="H270" s="4"/>
    </row>
    <row r="271" spans="1:8" x14ac:dyDescent="0.15">
      <c r="A271" s="4">
        <v>225.00484</v>
      </c>
      <c r="B271" s="4">
        <v>120</v>
      </c>
      <c r="C271" s="4">
        <v>96.089410000000001</v>
      </c>
      <c r="D271" s="1">
        <v>5</v>
      </c>
      <c r="E271">
        <f t="shared" si="1"/>
        <v>1.3324384283213874E-2</v>
      </c>
      <c r="H271" s="4"/>
    </row>
    <row r="272" spans="1:8" x14ac:dyDescent="0.15">
      <c r="A272" s="4">
        <v>225.00604999999999</v>
      </c>
      <c r="B272" s="4">
        <v>120.5</v>
      </c>
      <c r="C272" s="4">
        <v>96.075140000000005</v>
      </c>
      <c r="D272" s="1">
        <v>5</v>
      </c>
      <c r="E272">
        <f t="shared" si="1"/>
        <v>1.3550457600759101E-2</v>
      </c>
      <c r="H272" s="4"/>
    </row>
    <row r="273" spans="1:8" x14ac:dyDescent="0.15">
      <c r="A273" s="4">
        <v>225.00707</v>
      </c>
      <c r="B273" s="4">
        <v>121</v>
      </c>
      <c r="C273" s="4">
        <v>96.062439999999995</v>
      </c>
      <c r="D273" s="1">
        <v>5</v>
      </c>
      <c r="E273">
        <f t="shared" si="1"/>
        <v>1.3751658100606842E-2</v>
      </c>
      <c r="H273" s="4"/>
    </row>
    <row r="274" spans="1:8" x14ac:dyDescent="0.15">
      <c r="A274" s="4">
        <v>225.00301999999999</v>
      </c>
      <c r="B274" s="4">
        <v>121.5</v>
      </c>
      <c r="C274" s="4">
        <v>96.036360000000002</v>
      </c>
      <c r="D274" s="1">
        <v>5</v>
      </c>
      <c r="E274">
        <f t="shared" si="1"/>
        <v>1.4164832040451238E-2</v>
      </c>
      <c r="H274" s="4"/>
    </row>
    <row r="275" spans="1:8" x14ac:dyDescent="0.15">
      <c r="A275" s="4">
        <v>225.01094000000001</v>
      </c>
      <c r="B275" s="4">
        <v>122</v>
      </c>
      <c r="C275" s="4">
        <v>96.022390000000001</v>
      </c>
      <c r="D275" s="1">
        <v>5</v>
      </c>
      <c r="E275">
        <f t="shared" si="1"/>
        <v>1.4386152590283597E-2</v>
      </c>
      <c r="H275" s="4"/>
    </row>
    <row r="276" spans="1:8" x14ac:dyDescent="0.15">
      <c r="A276" s="4">
        <v>225.00798</v>
      </c>
      <c r="B276" s="4">
        <v>122.5</v>
      </c>
      <c r="C276" s="4">
        <v>96.031660000000002</v>
      </c>
      <c r="D276" s="1">
        <v>5</v>
      </c>
      <c r="E276">
        <f t="shared" si="1"/>
        <v>1.4239292067953886E-2</v>
      </c>
      <c r="H276" s="4"/>
    </row>
    <row r="277" spans="1:8" x14ac:dyDescent="0.15">
      <c r="A277" s="4">
        <v>225.00701000000001</v>
      </c>
      <c r="B277" s="4">
        <v>123</v>
      </c>
      <c r="C277" s="4">
        <v>95.982470000000006</v>
      </c>
      <c r="D277" s="1">
        <v>5</v>
      </c>
      <c r="E277">
        <f t="shared" si="1"/>
        <v>1.5018587547284768E-2</v>
      </c>
      <c r="H277" s="4"/>
    </row>
    <row r="278" spans="1:8" x14ac:dyDescent="0.15">
      <c r="A278" s="4">
        <v>225.00207</v>
      </c>
      <c r="B278" s="4">
        <v>123.5</v>
      </c>
      <c r="C278" s="4">
        <v>95.965350000000001</v>
      </c>
      <c r="D278" s="1">
        <v>5</v>
      </c>
      <c r="E278">
        <f t="shared" si="1"/>
        <v>1.5289812158103027E-2</v>
      </c>
      <c r="H278" s="4"/>
    </row>
    <row r="279" spans="1:8" x14ac:dyDescent="0.15">
      <c r="A279" s="4">
        <v>225.00518</v>
      </c>
      <c r="B279" s="4">
        <v>124</v>
      </c>
      <c r="C279" s="4">
        <v>95.939930000000004</v>
      </c>
      <c r="D279" s="1">
        <v>5</v>
      </c>
      <c r="E279">
        <f t="shared" si="1"/>
        <v>1.5692530008979026E-2</v>
      </c>
      <c r="H279" s="4"/>
    </row>
    <row r="280" spans="1:8" x14ac:dyDescent="0.15">
      <c r="A280" s="4">
        <v>225.0018</v>
      </c>
      <c r="B280" s="4">
        <v>124.5</v>
      </c>
      <c r="C280" s="4">
        <v>95.93065</v>
      </c>
      <c r="D280" s="1">
        <v>5</v>
      </c>
      <c r="E280">
        <f t="shared" si="1"/>
        <v>1.5839548956899218E-2</v>
      </c>
      <c r="H280" s="4"/>
    </row>
    <row r="281" spans="1:8" x14ac:dyDescent="0.15">
      <c r="A281" s="4">
        <v>225.0069</v>
      </c>
      <c r="B281" s="4">
        <v>125</v>
      </c>
      <c r="C281" s="4">
        <v>95.935699999999997</v>
      </c>
      <c r="D281" s="1">
        <v>5</v>
      </c>
      <c r="E281">
        <f t="shared" si="1"/>
        <v>1.5759544033731518E-2</v>
      </c>
      <c r="H281" s="4"/>
    </row>
    <row r="282" spans="1:8" x14ac:dyDescent="0.15">
      <c r="A282" s="4">
        <v>225.00702000000001</v>
      </c>
      <c r="B282" s="4">
        <v>125.5</v>
      </c>
      <c r="C282" s="4">
        <v>95.893469999999994</v>
      </c>
      <c r="D282" s="1">
        <v>5</v>
      </c>
      <c r="E282">
        <f t="shared" si="1"/>
        <v>1.6428575302122425E-2</v>
      </c>
      <c r="H282" s="4"/>
    </row>
    <row r="283" spans="1:8" x14ac:dyDescent="0.15">
      <c r="A283" s="4">
        <v>225.0059</v>
      </c>
      <c r="B283" s="4">
        <v>126</v>
      </c>
      <c r="C283" s="4">
        <v>95.868560000000002</v>
      </c>
      <c r="D283" s="1">
        <v>5</v>
      </c>
      <c r="E283">
        <f t="shared" si="1"/>
        <v>1.6823213447886346E-2</v>
      </c>
      <c r="H283" s="4"/>
    </row>
    <row r="284" spans="1:8" x14ac:dyDescent="0.15">
      <c r="A284" s="4">
        <v>225.00192000000001</v>
      </c>
      <c r="B284" s="4">
        <v>126.5</v>
      </c>
      <c r="C284" s="4">
        <v>95.843109999999996</v>
      </c>
      <c r="D284" s="1">
        <v>5</v>
      </c>
      <c r="E284">
        <f t="shared" si="1"/>
        <v>1.7226406575533787E-2</v>
      </c>
      <c r="H284" s="4"/>
    </row>
    <row r="285" spans="1:8" x14ac:dyDescent="0.15">
      <c r="A285" s="4">
        <v>225.005</v>
      </c>
      <c r="B285" s="4">
        <v>127</v>
      </c>
      <c r="C285" s="4">
        <v>95.820549999999997</v>
      </c>
      <c r="D285" s="1">
        <v>5</v>
      </c>
      <c r="E285">
        <f t="shared" si="1"/>
        <v>1.7583814707546493E-2</v>
      </c>
      <c r="H285" s="4"/>
    </row>
    <row r="286" spans="1:8" x14ac:dyDescent="0.15">
      <c r="A286" s="4">
        <v>225.00898000000001</v>
      </c>
      <c r="B286" s="4">
        <v>127.5</v>
      </c>
      <c r="C286" s="4">
        <v>95.822620000000001</v>
      </c>
      <c r="D286" s="1">
        <v>5</v>
      </c>
      <c r="E286">
        <f t="shared" si="1"/>
        <v>1.7551020610327189E-2</v>
      </c>
      <c r="H286" s="4"/>
    </row>
    <row r="287" spans="1:8" x14ac:dyDescent="0.15">
      <c r="A287" s="4">
        <v>225.00503</v>
      </c>
      <c r="B287" s="4">
        <v>128</v>
      </c>
      <c r="C287" s="4">
        <v>95.791669999999996</v>
      </c>
      <c r="D287" s="1">
        <v>5</v>
      </c>
      <c r="E287">
        <f t="shared" si="1"/>
        <v>1.8041347812711741E-2</v>
      </c>
      <c r="H287" s="4"/>
    </row>
    <row r="288" spans="1:8" x14ac:dyDescent="0.15">
      <c r="A288" s="4">
        <v>225.00599</v>
      </c>
      <c r="B288" s="4">
        <v>128.5</v>
      </c>
      <c r="C288" s="4">
        <v>95.795609999999996</v>
      </c>
      <c r="D288" s="1">
        <v>5</v>
      </c>
      <c r="E288">
        <f t="shared" ref="E288:E351" si="2">($C$216-C288)/$G$216</f>
        <v>1.7978928130081857E-2</v>
      </c>
      <c r="H288" s="4"/>
    </row>
    <row r="289" spans="1:8" x14ac:dyDescent="0.15">
      <c r="A289" s="4">
        <v>225.00400999999999</v>
      </c>
      <c r="B289" s="4">
        <v>129</v>
      </c>
      <c r="C289" s="4">
        <v>95.753889999999998</v>
      </c>
      <c r="D289" s="1">
        <v>5</v>
      </c>
      <c r="E289">
        <f t="shared" si="2"/>
        <v>1.8639879693360686E-2</v>
      </c>
      <c r="H289" s="4"/>
    </row>
    <row r="290" spans="1:8" x14ac:dyDescent="0.15">
      <c r="A290" s="4">
        <v>225.00502</v>
      </c>
      <c r="B290" s="4">
        <v>129.5</v>
      </c>
      <c r="C290" s="4">
        <v>95.744519999999994</v>
      </c>
      <c r="D290" s="1">
        <v>5</v>
      </c>
      <c r="E290">
        <f t="shared" si="2"/>
        <v>1.8788324471594762E-2</v>
      </c>
      <c r="H290" s="4"/>
    </row>
    <row r="291" spans="1:8" x14ac:dyDescent="0.15">
      <c r="A291" s="4">
        <v>225.00697</v>
      </c>
      <c r="B291" s="4">
        <v>130</v>
      </c>
      <c r="C291" s="4">
        <v>95.728629999999995</v>
      </c>
      <c r="D291" s="1">
        <v>5</v>
      </c>
      <c r="E291">
        <f t="shared" si="2"/>
        <v>1.9040062734789878E-2</v>
      </c>
      <c r="H291" s="4"/>
    </row>
    <row r="292" spans="1:8" x14ac:dyDescent="0.15">
      <c r="A292" s="4">
        <v>225.00308000000001</v>
      </c>
      <c r="B292" s="4">
        <v>130.5</v>
      </c>
      <c r="C292" s="4">
        <v>95.694749999999999</v>
      </c>
      <c r="D292" s="1">
        <v>5</v>
      </c>
      <c r="E292">
        <f t="shared" si="2"/>
        <v>1.9576808635170639E-2</v>
      </c>
      <c r="H292" s="4"/>
    </row>
    <row r="293" spans="1:8" x14ac:dyDescent="0.15">
      <c r="A293" s="4">
        <v>225.00409999999999</v>
      </c>
      <c r="B293" s="4">
        <v>131</v>
      </c>
      <c r="C293" s="4">
        <v>95.662450000000007</v>
      </c>
      <c r="D293" s="1">
        <v>5</v>
      </c>
      <c r="E293">
        <f t="shared" si="2"/>
        <v>2.0088523292263211E-2</v>
      </c>
      <c r="H293" s="4"/>
    </row>
    <row r="294" spans="1:8" x14ac:dyDescent="0.15">
      <c r="A294" s="4">
        <v>225.00592</v>
      </c>
      <c r="B294" s="4">
        <v>131.5</v>
      </c>
      <c r="C294" s="4">
        <v>95.649500000000003</v>
      </c>
      <c r="D294" s="1">
        <v>5</v>
      </c>
      <c r="E294">
        <f t="shared" si="2"/>
        <v>2.0293684431871638E-2</v>
      </c>
      <c r="H294" s="4"/>
    </row>
    <row r="295" spans="1:8" x14ac:dyDescent="0.15">
      <c r="A295" s="4">
        <v>225.00792000000001</v>
      </c>
      <c r="B295" s="4">
        <v>132</v>
      </c>
      <c r="C295" s="4">
        <v>95.650959999999998</v>
      </c>
      <c r="D295" s="1">
        <v>5</v>
      </c>
      <c r="E295">
        <f t="shared" si="2"/>
        <v>2.0270554295668777E-2</v>
      </c>
      <c r="H295" s="4"/>
    </row>
    <row r="296" spans="1:8" x14ac:dyDescent="0.15">
      <c r="A296" s="4">
        <v>225.00505999999999</v>
      </c>
      <c r="B296" s="4">
        <v>132.5</v>
      </c>
      <c r="C296" s="4">
        <v>95.623630000000006</v>
      </c>
      <c r="D296" s="1">
        <v>5</v>
      </c>
      <c r="E296">
        <f t="shared" si="2"/>
        <v>2.0703531434317052E-2</v>
      </c>
      <c r="H296" s="4"/>
    </row>
    <row r="297" spans="1:8" x14ac:dyDescent="0.15">
      <c r="A297" s="4">
        <v>225.00295</v>
      </c>
      <c r="B297" s="4">
        <v>133</v>
      </c>
      <c r="C297" s="4">
        <v>95.590980000000002</v>
      </c>
      <c r="D297" s="1">
        <v>5</v>
      </c>
      <c r="E297">
        <f t="shared" si="2"/>
        <v>2.1220790987074897E-2</v>
      </c>
      <c r="H297" s="4"/>
    </row>
    <row r="298" spans="1:8" x14ac:dyDescent="0.15">
      <c r="A298" s="4">
        <v>225.00606999999999</v>
      </c>
      <c r="B298" s="4">
        <v>133.5</v>
      </c>
      <c r="C298" s="4">
        <v>95.58229</v>
      </c>
      <c r="D298" s="1">
        <v>5</v>
      </c>
      <c r="E298">
        <f t="shared" si="2"/>
        <v>2.1358462825159609E-2</v>
      </c>
      <c r="H298" s="4"/>
    </row>
    <row r="299" spans="1:8" x14ac:dyDescent="0.15">
      <c r="A299" s="4">
        <v>225.00702999999999</v>
      </c>
      <c r="B299" s="4">
        <v>134</v>
      </c>
      <c r="C299" s="4">
        <v>95.570629999999994</v>
      </c>
      <c r="D299" s="1">
        <v>5</v>
      </c>
      <c r="E299">
        <f t="shared" si="2"/>
        <v>2.1543187063602458E-2</v>
      </c>
      <c r="H299" s="4"/>
    </row>
    <row r="300" spans="1:8" x14ac:dyDescent="0.15">
      <c r="A300" s="4">
        <v>225.00400999999999</v>
      </c>
      <c r="B300" s="4">
        <v>134.5</v>
      </c>
      <c r="C300" s="4">
        <v>95.530879999999996</v>
      </c>
      <c r="D300" s="1">
        <v>5</v>
      </c>
      <c r="E300">
        <f t="shared" si="2"/>
        <v>2.2172928785566346E-2</v>
      </c>
      <c r="H300" s="4"/>
    </row>
    <row r="301" spans="1:8" x14ac:dyDescent="0.15">
      <c r="A301" s="4">
        <v>225.00198</v>
      </c>
      <c r="B301" s="4">
        <v>135</v>
      </c>
      <c r="C301" s="4">
        <v>95.519639999999995</v>
      </c>
      <c r="D301" s="1">
        <v>5</v>
      </c>
      <c r="E301">
        <f t="shared" si="2"/>
        <v>2.2350999149210998E-2</v>
      </c>
      <c r="H301" s="4"/>
    </row>
    <row r="302" spans="1:8" x14ac:dyDescent="0.15">
      <c r="A302" s="4">
        <v>225.0042</v>
      </c>
      <c r="B302" s="4">
        <v>135.5</v>
      </c>
      <c r="C302" s="4">
        <v>95.517870000000002</v>
      </c>
      <c r="D302" s="1">
        <v>5</v>
      </c>
      <c r="E302">
        <f t="shared" si="2"/>
        <v>2.2379040478717211E-2</v>
      </c>
      <c r="H302" s="4"/>
    </row>
    <row r="303" spans="1:8" x14ac:dyDescent="0.15">
      <c r="A303" s="4">
        <v>225.0061</v>
      </c>
      <c r="B303" s="4">
        <v>136</v>
      </c>
      <c r="C303" s="4">
        <v>95.485240000000005</v>
      </c>
      <c r="D303" s="1">
        <v>5</v>
      </c>
      <c r="E303">
        <f t="shared" si="2"/>
        <v>2.2895983180294094E-2</v>
      </c>
      <c r="H303" s="4"/>
    </row>
    <row r="304" spans="1:8" x14ac:dyDescent="0.15">
      <c r="A304" s="4">
        <v>225.01392000000001</v>
      </c>
      <c r="B304" s="4">
        <v>136.5</v>
      </c>
      <c r="C304" s="4">
        <v>95.475480000000005</v>
      </c>
      <c r="D304" s="1">
        <v>5</v>
      </c>
      <c r="E304">
        <f t="shared" si="2"/>
        <v>2.3050606556554921E-2</v>
      </c>
      <c r="H304" s="4"/>
    </row>
    <row r="305" spans="1:8" x14ac:dyDescent="0.15">
      <c r="A305" s="4">
        <v>225.0119</v>
      </c>
      <c r="B305" s="4">
        <v>137</v>
      </c>
      <c r="C305" s="4">
        <v>95.453609999999998</v>
      </c>
      <c r="D305" s="1">
        <v>5</v>
      </c>
      <c r="E305">
        <f t="shared" si="2"/>
        <v>2.339708332282801E-2</v>
      </c>
      <c r="H305" s="4"/>
    </row>
    <row r="306" spans="1:8" x14ac:dyDescent="0.15">
      <c r="A306" s="4">
        <v>225.01194000000001</v>
      </c>
      <c r="B306" s="4">
        <v>137.5</v>
      </c>
      <c r="C306" s="4">
        <v>95.457710000000006</v>
      </c>
      <c r="D306" s="1">
        <v>5</v>
      </c>
      <c r="E306">
        <f t="shared" si="2"/>
        <v>2.3332128830751097E-2</v>
      </c>
      <c r="H306" s="4"/>
    </row>
    <row r="307" spans="1:8" x14ac:dyDescent="0.15">
      <c r="A307" s="4">
        <v>225.00702999999999</v>
      </c>
      <c r="B307" s="4">
        <v>138</v>
      </c>
      <c r="C307" s="4">
        <v>95.408510000000007</v>
      </c>
      <c r="D307" s="1">
        <v>5</v>
      </c>
      <c r="E307">
        <f t="shared" si="2"/>
        <v>2.411158273567246E-2</v>
      </c>
      <c r="H307" s="4"/>
    </row>
    <row r="308" spans="1:8" x14ac:dyDescent="0.15">
      <c r="A308" s="4">
        <v>225.00496999999999</v>
      </c>
      <c r="B308" s="4">
        <v>138.5</v>
      </c>
      <c r="C308" s="4">
        <v>95.395709999999994</v>
      </c>
      <c r="D308" s="1">
        <v>5</v>
      </c>
      <c r="E308">
        <f t="shared" si="2"/>
        <v>2.4314367491424568E-2</v>
      </c>
      <c r="H308" s="4"/>
    </row>
    <row r="309" spans="1:8" x14ac:dyDescent="0.15">
      <c r="A309" s="4">
        <v>225.00597999999999</v>
      </c>
      <c r="B309" s="4">
        <v>139</v>
      </c>
      <c r="C309" s="4">
        <v>95.386319999999998</v>
      </c>
      <c r="D309" s="1">
        <v>5</v>
      </c>
      <c r="E309">
        <f t="shared" si="2"/>
        <v>2.446312912083938E-2</v>
      </c>
      <c r="H309" s="4"/>
    </row>
    <row r="310" spans="1:8" x14ac:dyDescent="0.15">
      <c r="A310" s="4">
        <v>225.00700000000001</v>
      </c>
      <c r="B310" s="4">
        <v>139.5</v>
      </c>
      <c r="C310" s="4">
        <v>95.355270000000004</v>
      </c>
      <c r="D310" s="1">
        <v>5</v>
      </c>
      <c r="E310">
        <f t="shared" si="2"/>
        <v>2.4955040579128073E-2</v>
      </c>
      <c r="H310" s="4"/>
    </row>
    <row r="311" spans="1:8" x14ac:dyDescent="0.15">
      <c r="A311" s="4">
        <v>225.00306</v>
      </c>
      <c r="B311" s="4">
        <v>140</v>
      </c>
      <c r="C311" s="4">
        <v>95.32647</v>
      </c>
      <c r="D311" s="1">
        <v>5</v>
      </c>
      <c r="E311">
        <f t="shared" si="2"/>
        <v>2.5411306279569917E-2</v>
      </c>
      <c r="H311" s="4"/>
    </row>
    <row r="312" spans="1:8" x14ac:dyDescent="0.15">
      <c r="A312" s="4">
        <v>225.00008</v>
      </c>
      <c r="B312" s="4">
        <v>140.5</v>
      </c>
      <c r="C312" s="4">
        <v>95.309299999999993</v>
      </c>
      <c r="D312" s="1">
        <v>5</v>
      </c>
      <c r="E312">
        <f t="shared" si="2"/>
        <v>2.5683323018340361E-2</v>
      </c>
      <c r="H312" s="4"/>
    </row>
    <row r="313" spans="1:8" x14ac:dyDescent="0.15">
      <c r="A313" s="4">
        <v>225.00604999999999</v>
      </c>
      <c r="B313" s="4">
        <v>141</v>
      </c>
      <c r="C313" s="4">
        <v>95.299170000000004</v>
      </c>
      <c r="D313" s="1">
        <v>5</v>
      </c>
      <c r="E313">
        <f t="shared" si="2"/>
        <v>2.5843808141446975E-2</v>
      </c>
      <c r="H313" s="4"/>
    </row>
    <row r="314" spans="1:8" x14ac:dyDescent="0.15">
      <c r="A314" s="4">
        <v>225.00191000000001</v>
      </c>
      <c r="B314" s="4">
        <v>141.5</v>
      </c>
      <c r="C314" s="4">
        <v>95.271640000000005</v>
      </c>
      <c r="D314" s="1">
        <v>5</v>
      </c>
      <c r="E314">
        <f t="shared" si="2"/>
        <v>2.6279953791903978E-2</v>
      </c>
      <c r="H314" s="4"/>
    </row>
    <row r="315" spans="1:8" x14ac:dyDescent="0.15">
      <c r="A315" s="4">
        <v>225.00103999999999</v>
      </c>
      <c r="B315" s="4">
        <v>142</v>
      </c>
      <c r="C315" s="4">
        <v>95.254480000000001</v>
      </c>
      <c r="D315" s="1">
        <v>5</v>
      </c>
      <c r="E315">
        <f t="shared" si="2"/>
        <v>2.6551812105083939E-2</v>
      </c>
      <c r="H315" s="4"/>
    </row>
    <row r="316" spans="1:8" x14ac:dyDescent="0.15">
      <c r="A316" s="4">
        <v>225.00103999999999</v>
      </c>
      <c r="B316" s="4">
        <v>142.5</v>
      </c>
      <c r="C316" s="4">
        <v>95.207530000000006</v>
      </c>
      <c r="D316" s="1">
        <v>5</v>
      </c>
      <c r="E316">
        <f t="shared" si="2"/>
        <v>2.7295620252158231E-2</v>
      </c>
      <c r="H316" s="4"/>
    </row>
    <row r="317" spans="1:8" x14ac:dyDescent="0.15">
      <c r="A317" s="4">
        <v>225.00897000000001</v>
      </c>
      <c r="B317" s="4">
        <v>143</v>
      </c>
      <c r="C317" s="4">
        <v>95.224029999999999</v>
      </c>
      <c r="D317" s="1">
        <v>5</v>
      </c>
      <c r="E317">
        <f t="shared" si="2"/>
        <v>2.7034218027946894E-2</v>
      </c>
      <c r="H317" s="4"/>
    </row>
    <row r="318" spans="1:8" x14ac:dyDescent="0.15">
      <c r="A318" s="4">
        <v>225.00599</v>
      </c>
      <c r="B318" s="4">
        <v>143.5</v>
      </c>
      <c r="C318" s="4">
        <v>95.188699999999997</v>
      </c>
      <c r="D318" s="1">
        <v>5</v>
      </c>
      <c r="E318">
        <f t="shared" si="2"/>
        <v>2.7593935638940265E-2</v>
      </c>
      <c r="H318" s="4"/>
    </row>
    <row r="319" spans="1:8" x14ac:dyDescent="0.15">
      <c r="A319" s="4">
        <v>225.00989000000001</v>
      </c>
      <c r="B319" s="4">
        <v>144</v>
      </c>
      <c r="C319" s="4">
        <v>95.192949999999996</v>
      </c>
      <c r="D319" s="1">
        <v>5</v>
      </c>
      <c r="E319">
        <f t="shared" si="2"/>
        <v>2.7526604763007032E-2</v>
      </c>
      <c r="H319" s="4"/>
    </row>
    <row r="320" spans="1:8" x14ac:dyDescent="0.15">
      <c r="A320" s="4">
        <v>225.00395</v>
      </c>
      <c r="B320" s="4">
        <v>144.5</v>
      </c>
      <c r="C320" s="4">
        <v>95.152990000000003</v>
      </c>
      <c r="D320" s="1">
        <v>5</v>
      </c>
      <c r="E320">
        <f t="shared" si="2"/>
        <v>2.8159673422369903E-2</v>
      </c>
      <c r="H320" s="4"/>
    </row>
    <row r="321" spans="1:8" x14ac:dyDescent="0.15">
      <c r="A321" s="4">
        <v>225.00814</v>
      </c>
      <c r="B321" s="4">
        <v>145</v>
      </c>
      <c r="C321" s="4">
        <v>95.125540000000001</v>
      </c>
      <c r="D321" s="1">
        <v>5</v>
      </c>
      <c r="E321">
        <f t="shared" si="2"/>
        <v>2.8594551668103506E-2</v>
      </c>
      <c r="H321" s="4"/>
    </row>
    <row r="322" spans="1:8" x14ac:dyDescent="0.15">
      <c r="A322" s="4">
        <v>225.00497999999999</v>
      </c>
      <c r="B322" s="4">
        <v>145.5</v>
      </c>
      <c r="C322" s="4">
        <v>95.090180000000004</v>
      </c>
      <c r="D322" s="1">
        <v>5</v>
      </c>
      <c r="E322">
        <f t="shared" si="2"/>
        <v>2.9154744555868094E-2</v>
      </c>
      <c r="H322" s="4"/>
    </row>
    <row r="323" spans="1:8" x14ac:dyDescent="0.15">
      <c r="A323" s="4">
        <v>225.00403</v>
      </c>
      <c r="B323" s="4">
        <v>146</v>
      </c>
      <c r="C323" s="4">
        <v>95.079909999999998</v>
      </c>
      <c r="D323" s="1">
        <v>5</v>
      </c>
      <c r="E323">
        <f t="shared" si="2"/>
        <v>2.9317447637240996E-2</v>
      </c>
      <c r="H323" s="4"/>
    </row>
    <row r="324" spans="1:8" x14ac:dyDescent="0.15">
      <c r="A324" s="4">
        <v>225.00711999999999</v>
      </c>
      <c r="B324" s="4">
        <v>146.5</v>
      </c>
      <c r="C324" s="4">
        <v>95.067149999999998</v>
      </c>
      <c r="D324" s="1">
        <v>5</v>
      </c>
      <c r="E324">
        <f t="shared" si="2"/>
        <v>2.9519598690631178E-2</v>
      </c>
      <c r="H324" s="4"/>
    </row>
    <row r="325" spans="1:8" x14ac:dyDescent="0.15">
      <c r="A325" s="4">
        <v>225.00792999999999</v>
      </c>
      <c r="B325" s="4">
        <v>147</v>
      </c>
      <c r="C325" s="4">
        <v>95.047219999999996</v>
      </c>
      <c r="D325" s="1">
        <v>5</v>
      </c>
      <c r="E325">
        <f t="shared" si="2"/>
        <v>2.9835340892360545E-2</v>
      </c>
      <c r="H325" s="4"/>
    </row>
    <row r="326" spans="1:8" x14ac:dyDescent="0.15">
      <c r="A326" s="4">
        <v>225.01075</v>
      </c>
      <c r="B326" s="4">
        <v>147.5</v>
      </c>
      <c r="C326" s="4">
        <v>95.039259999999999</v>
      </c>
      <c r="D326" s="1">
        <v>5</v>
      </c>
      <c r="E326">
        <f t="shared" si="2"/>
        <v>2.9961447662343713E-2</v>
      </c>
      <c r="H326" s="4"/>
    </row>
    <row r="327" spans="1:8" x14ac:dyDescent="0.15">
      <c r="A327" s="4">
        <v>225.00692000000001</v>
      </c>
      <c r="B327" s="4">
        <v>148</v>
      </c>
      <c r="C327" s="4">
        <v>94.990189999999998</v>
      </c>
      <c r="D327" s="1">
        <v>5</v>
      </c>
      <c r="E327">
        <f t="shared" si="2"/>
        <v>3.0738842034589493E-2</v>
      </c>
      <c r="H327" s="4"/>
    </row>
    <row r="328" spans="1:8" x14ac:dyDescent="0.15">
      <c r="A328" s="4">
        <v>225.00482</v>
      </c>
      <c r="B328" s="4">
        <v>148.5</v>
      </c>
      <c r="C328" s="4">
        <v>94.973609999999994</v>
      </c>
      <c r="D328" s="1">
        <v>5</v>
      </c>
      <c r="E328">
        <f t="shared" si="2"/>
        <v>3.1001511663524457E-2</v>
      </c>
      <c r="H328" s="4"/>
    </row>
    <row r="329" spans="1:8" x14ac:dyDescent="0.15">
      <c r="A329" s="4">
        <v>225.00907000000001</v>
      </c>
      <c r="B329" s="4">
        <v>149</v>
      </c>
      <c r="C329" s="4">
        <v>94.968050000000005</v>
      </c>
      <c r="D329" s="1">
        <v>5</v>
      </c>
      <c r="E329">
        <f t="shared" si="2"/>
        <v>3.1089596291804005E-2</v>
      </c>
      <c r="H329" s="4"/>
    </row>
    <row r="330" spans="1:8" x14ac:dyDescent="0.15">
      <c r="A330" s="4">
        <v>225.00398000000001</v>
      </c>
      <c r="B330" s="4">
        <v>149.5</v>
      </c>
      <c r="C330" s="4">
        <v>94.936660000000003</v>
      </c>
      <c r="D330" s="1">
        <v>5</v>
      </c>
      <c r="E330">
        <f t="shared" si="2"/>
        <v>3.1586894220167493E-2</v>
      </c>
      <c r="H330" s="4"/>
    </row>
    <row r="331" spans="1:8" x14ac:dyDescent="0.15">
      <c r="A331" s="4">
        <v>225.00004999999999</v>
      </c>
      <c r="B331" s="4">
        <v>150</v>
      </c>
      <c r="C331" s="4">
        <v>94.902550000000005</v>
      </c>
      <c r="D331" s="1">
        <v>5</v>
      </c>
      <c r="E331">
        <f t="shared" si="2"/>
        <v>3.2127283909128203E-2</v>
      </c>
      <c r="H331" s="4"/>
    </row>
    <row r="332" spans="1:8" x14ac:dyDescent="0.15">
      <c r="A332" s="4">
        <v>225.005</v>
      </c>
      <c r="B332" s="4">
        <v>150.5</v>
      </c>
      <c r="C332" s="4">
        <v>94.875929999999997</v>
      </c>
      <c r="D332" s="1">
        <v>5</v>
      </c>
      <c r="E332">
        <f t="shared" si="2"/>
        <v>3.2549012830856122E-2</v>
      </c>
      <c r="H332" s="4"/>
    </row>
    <row r="333" spans="1:8" x14ac:dyDescent="0.15">
      <c r="A333" s="4">
        <v>225.01093</v>
      </c>
      <c r="B333" s="4">
        <v>151</v>
      </c>
      <c r="C333" s="4">
        <v>94.886179999999996</v>
      </c>
      <c r="D333" s="1">
        <v>5</v>
      </c>
      <c r="E333">
        <f t="shared" si="2"/>
        <v>3.238662660066418E-2</v>
      </c>
      <c r="H333" s="4"/>
    </row>
    <row r="334" spans="1:8" x14ac:dyDescent="0.15">
      <c r="A334" s="4">
        <v>225.00798</v>
      </c>
      <c r="B334" s="4">
        <v>151.5</v>
      </c>
      <c r="C334" s="4">
        <v>94.840400000000002</v>
      </c>
      <c r="D334" s="1">
        <v>5</v>
      </c>
      <c r="E334">
        <f t="shared" si="2"/>
        <v>3.3111898953657994E-2</v>
      </c>
      <c r="H334" s="4"/>
    </row>
    <row r="335" spans="1:8" x14ac:dyDescent="0.15">
      <c r="A335" s="4">
        <v>225.00805</v>
      </c>
      <c r="B335" s="4">
        <v>152</v>
      </c>
      <c r="C335" s="4">
        <v>94.829459999999997</v>
      </c>
      <c r="D335" s="1">
        <v>5</v>
      </c>
      <c r="E335">
        <f t="shared" si="2"/>
        <v>3.3285216549589776E-2</v>
      </c>
      <c r="H335" s="4"/>
    </row>
    <row r="336" spans="1:8" x14ac:dyDescent="0.15">
      <c r="A336" s="4">
        <v>225.005</v>
      </c>
      <c r="B336" s="4">
        <v>152.5</v>
      </c>
      <c r="C336" s="4">
        <v>94.820300000000003</v>
      </c>
      <c r="D336" s="1">
        <v>5</v>
      </c>
      <c r="E336">
        <f t="shared" si="2"/>
        <v>3.3430334390424643E-2</v>
      </c>
      <c r="H336" s="4"/>
    </row>
    <row r="337" spans="1:8" x14ac:dyDescent="0.15">
      <c r="A337" s="4">
        <v>225.00502</v>
      </c>
      <c r="B337" s="4">
        <v>153</v>
      </c>
      <c r="C337" s="4">
        <v>94.802260000000004</v>
      </c>
      <c r="D337" s="1">
        <v>5</v>
      </c>
      <c r="E337">
        <f t="shared" si="2"/>
        <v>3.3716134155562467E-2</v>
      </c>
      <c r="H337" s="4"/>
    </row>
    <row r="338" spans="1:8" x14ac:dyDescent="0.15">
      <c r="A338" s="4">
        <v>225.00390999999999</v>
      </c>
      <c r="B338" s="4">
        <v>153.5</v>
      </c>
      <c r="C338" s="4">
        <v>94.762270000000001</v>
      </c>
      <c r="D338" s="1">
        <v>5</v>
      </c>
      <c r="E338">
        <f t="shared" si="2"/>
        <v>3.4349678091696784E-2</v>
      </c>
      <c r="H338" s="4"/>
    </row>
    <row r="339" spans="1:8" x14ac:dyDescent="0.15">
      <c r="A339" s="4">
        <v>225.00585000000001</v>
      </c>
      <c r="B339" s="4">
        <v>154</v>
      </c>
      <c r="C339" s="4">
        <v>94.750979999999998</v>
      </c>
      <c r="D339" s="1">
        <v>5</v>
      </c>
      <c r="E339">
        <f t="shared" si="2"/>
        <v>3.4528540583293618E-2</v>
      </c>
      <c r="H339" s="4"/>
    </row>
    <row r="340" spans="1:8" x14ac:dyDescent="0.15">
      <c r="A340" s="4">
        <v>225.00977</v>
      </c>
      <c r="B340" s="4">
        <v>154.5</v>
      </c>
      <c r="C340" s="4">
        <v>94.744739999999993</v>
      </c>
      <c r="D340" s="1">
        <v>5</v>
      </c>
      <c r="E340">
        <f t="shared" si="2"/>
        <v>3.4627398151722756E-2</v>
      </c>
      <c r="H340" s="4"/>
    </row>
    <row r="341" spans="1:8" x14ac:dyDescent="0.15">
      <c r="A341" s="4">
        <v>225.00894</v>
      </c>
      <c r="B341" s="4">
        <v>155</v>
      </c>
      <c r="C341" s="4">
        <v>94.692409999999995</v>
      </c>
      <c r="D341" s="1">
        <v>5</v>
      </c>
      <c r="E341">
        <f t="shared" si="2"/>
        <v>3.5456439266449064E-2</v>
      </c>
      <c r="H341" s="4"/>
    </row>
    <row r="342" spans="1:8" x14ac:dyDescent="0.15">
      <c r="A342" s="4">
        <v>225.00698</v>
      </c>
      <c r="B342" s="4">
        <v>155.5</v>
      </c>
      <c r="C342" s="4">
        <v>94.688429999999997</v>
      </c>
      <c r="D342" s="1">
        <v>5</v>
      </c>
      <c r="E342">
        <f t="shared" si="2"/>
        <v>3.5519492651440644E-2</v>
      </c>
      <c r="H342" s="4"/>
    </row>
    <row r="343" spans="1:8" x14ac:dyDescent="0.15">
      <c r="A343" s="4">
        <v>225.00606999999999</v>
      </c>
      <c r="B343" s="4">
        <v>156</v>
      </c>
      <c r="C343" s="4">
        <v>94.645510000000002</v>
      </c>
      <c r="D343" s="1">
        <v>5</v>
      </c>
      <c r="E343">
        <f t="shared" si="2"/>
        <v>3.6199455285571169E-2</v>
      </c>
      <c r="H343" s="4"/>
    </row>
    <row r="344" spans="1:8" x14ac:dyDescent="0.15">
      <c r="A344" s="4">
        <v>225.00515999999999</v>
      </c>
      <c r="B344" s="4">
        <v>156.5</v>
      </c>
      <c r="C344" s="4">
        <v>94.64161</v>
      </c>
      <c r="D344" s="1">
        <v>5</v>
      </c>
      <c r="E344">
        <f t="shared" si="2"/>
        <v>3.626124126583935E-2</v>
      </c>
      <c r="H344" s="4"/>
    </row>
    <row r="345" spans="1:8" x14ac:dyDescent="0.15">
      <c r="A345" s="4">
        <v>225.00395</v>
      </c>
      <c r="B345" s="4">
        <v>157</v>
      </c>
      <c r="C345" s="4">
        <v>94.60284</v>
      </c>
      <c r="D345" s="1">
        <v>5</v>
      </c>
      <c r="E345">
        <f t="shared" si="2"/>
        <v>3.6875457279941008E-2</v>
      </c>
      <c r="H345" s="4"/>
    </row>
    <row r="346" spans="1:8" x14ac:dyDescent="0.15">
      <c r="A346" s="4">
        <v>225.00711000000001</v>
      </c>
      <c r="B346" s="4">
        <v>157.5</v>
      </c>
      <c r="C346" s="4">
        <v>94.610079999999996</v>
      </c>
      <c r="D346" s="1">
        <v>5</v>
      </c>
      <c r="E346">
        <f t="shared" si="2"/>
        <v>3.6760757152468904E-2</v>
      </c>
      <c r="H346" s="4"/>
    </row>
    <row r="347" spans="1:8" x14ac:dyDescent="0.15">
      <c r="A347" s="4">
        <v>225.00201999999999</v>
      </c>
      <c r="B347" s="4">
        <v>158</v>
      </c>
      <c r="C347" s="4">
        <v>94.55556</v>
      </c>
      <c r="D347" s="1">
        <v>5</v>
      </c>
      <c r="E347">
        <f t="shared" si="2"/>
        <v>3.7624493471499612E-2</v>
      </c>
      <c r="H347" s="4"/>
    </row>
    <row r="348" spans="1:8" x14ac:dyDescent="0.15">
      <c r="A348" s="4">
        <v>225.00595000000001</v>
      </c>
      <c r="B348" s="4">
        <v>158.5</v>
      </c>
      <c r="C348" s="4">
        <v>94.564009999999996</v>
      </c>
      <c r="D348" s="1">
        <v>5</v>
      </c>
      <c r="E348">
        <f t="shared" si="2"/>
        <v>3.7490623847585329E-2</v>
      </c>
      <c r="H348" s="4"/>
    </row>
    <row r="349" spans="1:8" x14ac:dyDescent="0.15">
      <c r="A349" s="4">
        <v>225.00509</v>
      </c>
      <c r="B349" s="4">
        <v>159</v>
      </c>
      <c r="C349" s="4">
        <v>94.523300000000006</v>
      </c>
      <c r="D349" s="1">
        <v>5</v>
      </c>
      <c r="E349">
        <f t="shared" si="2"/>
        <v>3.8135574426230487E-2</v>
      </c>
      <c r="H349" s="4"/>
    </row>
    <row r="350" spans="1:8" x14ac:dyDescent="0.15">
      <c r="A350" s="4">
        <v>225.00394</v>
      </c>
      <c r="B350" s="4">
        <v>159.5</v>
      </c>
      <c r="C350" s="4">
        <v>94.507930000000002</v>
      </c>
      <c r="D350" s="1">
        <v>5</v>
      </c>
      <c r="E350">
        <f t="shared" si="2"/>
        <v>3.8379074558723268E-2</v>
      </c>
      <c r="H350" s="4"/>
    </row>
    <row r="351" spans="1:8" x14ac:dyDescent="0.15">
      <c r="A351" s="4">
        <v>225.00704999999999</v>
      </c>
      <c r="B351" s="4">
        <v>160</v>
      </c>
      <c r="C351" s="4">
        <v>94.510069999999999</v>
      </c>
      <c r="D351" s="1">
        <v>5</v>
      </c>
      <c r="E351">
        <f t="shared" si="2"/>
        <v>3.8345171482371043E-2</v>
      </c>
      <c r="H351" s="4"/>
    </row>
    <row r="352" spans="1:8" x14ac:dyDescent="0.15">
      <c r="A352" s="4">
        <v>225.00800000000001</v>
      </c>
      <c r="B352" s="4">
        <v>160.5</v>
      </c>
      <c r="C352" s="4">
        <v>94.462530000000001</v>
      </c>
      <c r="D352" s="1">
        <v>5</v>
      </c>
      <c r="E352">
        <f t="shared" ref="E352:E415" si="3">($C$216-C352)/$G$216</f>
        <v>3.9098326739280813E-2</v>
      </c>
      <c r="H352" s="4"/>
    </row>
    <row r="353" spans="1:8" x14ac:dyDescent="0.15">
      <c r="A353" s="4">
        <v>225.00298000000001</v>
      </c>
      <c r="B353" s="4">
        <v>161</v>
      </c>
      <c r="C353" s="4">
        <v>94.430660000000003</v>
      </c>
      <c r="D353" s="1">
        <v>5</v>
      </c>
      <c r="E353">
        <f t="shared" si="3"/>
        <v>3.9603229095984932E-2</v>
      </c>
      <c r="H353" s="4"/>
    </row>
    <row r="354" spans="1:8" x14ac:dyDescent="0.15">
      <c r="A354" s="4">
        <v>225.00894</v>
      </c>
      <c r="B354" s="4">
        <v>161.5</v>
      </c>
      <c r="C354" s="4">
        <v>94.440029999999993</v>
      </c>
      <c r="D354" s="1">
        <v>5</v>
      </c>
      <c r="E354">
        <f t="shared" si="3"/>
        <v>3.9454784317751082E-2</v>
      </c>
      <c r="H354" s="4"/>
    </row>
    <row r="355" spans="1:8" x14ac:dyDescent="0.15">
      <c r="A355" s="4">
        <v>225.00693999999999</v>
      </c>
      <c r="B355" s="4">
        <v>162</v>
      </c>
      <c r="C355" s="4">
        <v>94.411479999999997</v>
      </c>
      <c r="D355" s="1">
        <v>5</v>
      </c>
      <c r="E355">
        <f t="shared" si="3"/>
        <v>3.9907089378432015E-2</v>
      </c>
      <c r="H355" s="4"/>
    </row>
    <row r="356" spans="1:8" x14ac:dyDescent="0.15">
      <c r="A356" s="4">
        <v>225.00792000000001</v>
      </c>
      <c r="B356" s="4">
        <v>162.5</v>
      </c>
      <c r="C356" s="4">
        <v>94.394869999999997</v>
      </c>
      <c r="D356" s="1">
        <v>5</v>
      </c>
      <c r="E356">
        <f t="shared" si="3"/>
        <v>4.0170234284138198E-2</v>
      </c>
      <c r="H356" s="4"/>
    </row>
    <row r="357" spans="1:8" x14ac:dyDescent="0.15">
      <c r="A357" s="4">
        <v>225.00790000000001</v>
      </c>
      <c r="B357" s="4">
        <v>163</v>
      </c>
      <c r="C357" s="4">
        <v>94.375870000000006</v>
      </c>
      <c r="D357" s="1">
        <v>5</v>
      </c>
      <c r="E357">
        <f t="shared" si="3"/>
        <v>4.0471242905957293E-2</v>
      </c>
      <c r="H357" s="4"/>
    </row>
    <row r="358" spans="1:8" x14ac:dyDescent="0.15">
      <c r="A358" s="4">
        <v>225.00407000000001</v>
      </c>
      <c r="B358" s="4">
        <v>163.5</v>
      </c>
      <c r="C358" s="4">
        <v>94.349450000000004</v>
      </c>
      <c r="D358" s="1">
        <v>5</v>
      </c>
      <c r="E358">
        <f t="shared" si="3"/>
        <v>4.088980331587648E-2</v>
      </c>
      <c r="H358" s="4"/>
    </row>
    <row r="359" spans="1:8" x14ac:dyDescent="0.15">
      <c r="A359" s="4">
        <v>225.00591</v>
      </c>
      <c r="B359" s="4">
        <v>164</v>
      </c>
      <c r="C359" s="4">
        <v>94.342060000000004</v>
      </c>
      <c r="D359" s="1">
        <v>5</v>
      </c>
      <c r="E359">
        <f t="shared" si="3"/>
        <v>4.1006879827205134E-2</v>
      </c>
      <c r="H359" s="4"/>
    </row>
    <row r="360" spans="1:8" x14ac:dyDescent="0.15">
      <c r="A360" s="4">
        <v>225.00692000000001</v>
      </c>
      <c r="B360" s="4">
        <v>164.5</v>
      </c>
      <c r="C360" s="4">
        <v>94.344589999999997</v>
      </c>
      <c r="D360" s="1">
        <v>5</v>
      </c>
      <c r="E360">
        <f t="shared" si="3"/>
        <v>4.0966798152826153E-2</v>
      </c>
      <c r="H360" s="4"/>
    </row>
    <row r="361" spans="1:8" x14ac:dyDescent="0.15">
      <c r="A361" s="4">
        <v>225.00895</v>
      </c>
      <c r="B361" s="4">
        <v>165</v>
      </c>
      <c r="C361" s="4">
        <v>94.303719999999998</v>
      </c>
      <c r="D361" s="1">
        <v>5</v>
      </c>
      <c r="E361">
        <f t="shared" si="3"/>
        <v>4.161428354091834E-2</v>
      </c>
      <c r="H361" s="4"/>
    </row>
    <row r="362" spans="1:8" x14ac:dyDescent="0.15">
      <c r="A362" s="4">
        <v>225.00398000000001</v>
      </c>
      <c r="B362" s="4">
        <v>165.5</v>
      </c>
      <c r="C362" s="4">
        <v>94.283019999999993</v>
      </c>
      <c r="D362" s="1">
        <v>5</v>
      </c>
      <c r="E362">
        <f t="shared" si="3"/>
        <v>4.194222451311095E-2</v>
      </c>
      <c r="H362" s="4"/>
    </row>
    <row r="363" spans="1:8" x14ac:dyDescent="0.15">
      <c r="A363" s="4">
        <v>225.00298000000001</v>
      </c>
      <c r="B363" s="4">
        <v>166</v>
      </c>
      <c r="C363" s="4">
        <v>94.239549999999994</v>
      </c>
      <c r="D363" s="1">
        <v>5</v>
      </c>
      <c r="E363">
        <f t="shared" si="3"/>
        <v>4.2630900554715252E-2</v>
      </c>
      <c r="H363" s="4"/>
    </row>
    <row r="364" spans="1:8" x14ac:dyDescent="0.15">
      <c r="A364" s="4">
        <v>225.00790000000001</v>
      </c>
      <c r="B364" s="4">
        <v>166.5</v>
      </c>
      <c r="C364" s="4">
        <v>94.252250000000004</v>
      </c>
      <c r="D364" s="1">
        <v>5</v>
      </c>
      <c r="E364">
        <f t="shared" si="3"/>
        <v>4.2429700054867514E-2</v>
      </c>
      <c r="H364" s="4"/>
    </row>
    <row r="365" spans="1:8" x14ac:dyDescent="0.15">
      <c r="A365" s="4">
        <v>225.00592</v>
      </c>
      <c r="B365" s="4">
        <v>167</v>
      </c>
      <c r="C365" s="4">
        <v>94.201239999999999</v>
      </c>
      <c r="D365" s="1">
        <v>5</v>
      </c>
      <c r="E365">
        <f t="shared" si="3"/>
        <v>4.3237828991657012E-2</v>
      </c>
      <c r="H365" s="4"/>
    </row>
    <row r="366" spans="1:8" x14ac:dyDescent="0.15">
      <c r="A366" s="4">
        <v>225.00800000000001</v>
      </c>
      <c r="B366" s="4">
        <v>167.5</v>
      </c>
      <c r="C366" s="4">
        <v>94.208470000000005</v>
      </c>
      <c r="D366" s="1">
        <v>5</v>
      </c>
      <c r="E366">
        <f t="shared" si="3"/>
        <v>4.3123287289775165E-2</v>
      </c>
      <c r="H366" s="4"/>
    </row>
    <row r="367" spans="1:8" x14ac:dyDescent="0.15">
      <c r="A367" s="4">
        <v>225.00710000000001</v>
      </c>
      <c r="B367" s="4">
        <v>168</v>
      </c>
      <c r="C367" s="4">
        <v>94.184740000000005</v>
      </c>
      <c r="D367" s="1">
        <v>5</v>
      </c>
      <c r="E367">
        <f t="shared" si="3"/>
        <v>4.349923121586835E-2</v>
      </c>
      <c r="H367" s="4"/>
    </row>
    <row r="368" spans="1:8" x14ac:dyDescent="0.15">
      <c r="A368" s="4">
        <v>225.00495000000001</v>
      </c>
      <c r="B368" s="4">
        <v>168.5</v>
      </c>
      <c r="C368" s="4">
        <v>94.164519999999996</v>
      </c>
      <c r="D368" s="1">
        <v>5</v>
      </c>
      <c r="E368">
        <f t="shared" si="3"/>
        <v>4.3819567759720325E-2</v>
      </c>
      <c r="H368" s="4"/>
    </row>
    <row r="369" spans="1:8" x14ac:dyDescent="0.15">
      <c r="A369" s="4">
        <v>225.00711000000001</v>
      </c>
      <c r="B369" s="4">
        <v>169</v>
      </c>
      <c r="C369" s="4">
        <v>94.143109999999993</v>
      </c>
      <c r="D369" s="1">
        <v>5</v>
      </c>
      <c r="E369">
        <f t="shared" si="3"/>
        <v>4.4158756948833519E-2</v>
      </c>
      <c r="H369" s="4"/>
    </row>
    <row r="370" spans="1:8" x14ac:dyDescent="0.15">
      <c r="A370" s="4">
        <v>225.00585000000001</v>
      </c>
      <c r="B370" s="4">
        <v>169.5</v>
      </c>
      <c r="C370" s="4">
        <v>94.117270000000005</v>
      </c>
      <c r="D370" s="1">
        <v>5</v>
      </c>
      <c r="E370">
        <f t="shared" si="3"/>
        <v>4.456812867450749E-2</v>
      </c>
      <c r="H370" s="4"/>
    </row>
    <row r="371" spans="1:8" x14ac:dyDescent="0.15">
      <c r="A371" s="4">
        <v>225.00701000000001</v>
      </c>
      <c r="B371" s="4">
        <v>170</v>
      </c>
      <c r="C371" s="4">
        <v>94.104470000000006</v>
      </c>
      <c r="D371" s="1">
        <v>5</v>
      </c>
      <c r="E371">
        <f t="shared" si="3"/>
        <v>4.4770913430259365E-2</v>
      </c>
      <c r="H371" s="4"/>
    </row>
    <row r="372" spans="1:8" x14ac:dyDescent="0.15">
      <c r="A372" s="4">
        <v>225.00697</v>
      </c>
      <c r="B372" s="4">
        <v>170.5</v>
      </c>
      <c r="C372" s="4">
        <v>94.084040000000002</v>
      </c>
      <c r="D372" s="1">
        <v>5</v>
      </c>
      <c r="E372">
        <f t="shared" si="3"/>
        <v>4.509457691151033E-2</v>
      </c>
      <c r="H372" s="4"/>
    </row>
    <row r="373" spans="1:8" x14ac:dyDescent="0.15">
      <c r="A373" s="4">
        <v>225.00416000000001</v>
      </c>
      <c r="B373" s="4">
        <v>171</v>
      </c>
      <c r="C373" s="4">
        <v>94.065730000000002</v>
      </c>
      <c r="D373" s="1">
        <v>5</v>
      </c>
      <c r="E373">
        <f t="shared" si="3"/>
        <v>4.5384654167589807E-2</v>
      </c>
      <c r="H373" s="4"/>
    </row>
    <row r="374" spans="1:8" x14ac:dyDescent="0.15">
      <c r="A374" s="4">
        <v>225.00497999999999</v>
      </c>
      <c r="B374" s="4">
        <v>171.5</v>
      </c>
      <c r="C374" s="4">
        <v>94.058329999999998</v>
      </c>
      <c r="D374" s="1">
        <v>5</v>
      </c>
      <c r="E374">
        <f t="shared" si="3"/>
        <v>4.550188910450894E-2</v>
      </c>
      <c r="H374" s="4"/>
    </row>
    <row r="375" spans="1:8" x14ac:dyDescent="0.15">
      <c r="A375" s="4">
        <v>225.00308999999999</v>
      </c>
      <c r="B375" s="4">
        <v>172</v>
      </c>
      <c r="C375" s="4">
        <v>94.054670000000002</v>
      </c>
      <c r="D375" s="1">
        <v>5</v>
      </c>
      <c r="E375">
        <f t="shared" si="3"/>
        <v>4.5559872870606692E-2</v>
      </c>
      <c r="H375" s="4"/>
    </row>
    <row r="376" spans="1:8" x14ac:dyDescent="0.15">
      <c r="A376" s="4">
        <v>225.00196</v>
      </c>
      <c r="B376" s="4">
        <v>172.5</v>
      </c>
      <c r="C376" s="4">
        <v>94.033050000000003</v>
      </c>
      <c r="D376" s="1">
        <v>5</v>
      </c>
      <c r="E376">
        <f t="shared" si="3"/>
        <v>4.5902388997118869E-2</v>
      </c>
      <c r="H376" s="4"/>
    </row>
    <row r="377" spans="1:8" x14ac:dyDescent="0.15">
      <c r="A377" s="4">
        <v>225.00405000000001</v>
      </c>
      <c r="B377" s="4">
        <v>173</v>
      </c>
      <c r="C377" s="4">
        <v>94.022040000000004</v>
      </c>
      <c r="D377" s="1">
        <v>5</v>
      </c>
      <c r="E377">
        <f t="shared" si="3"/>
        <v>4.6076815572183578E-2</v>
      </c>
      <c r="H377" s="4"/>
    </row>
    <row r="378" spans="1:8" x14ac:dyDescent="0.15">
      <c r="A378" s="4">
        <v>225.00103999999999</v>
      </c>
      <c r="B378" s="4">
        <v>173.5</v>
      </c>
      <c r="C378" s="4">
        <v>94.002549999999999</v>
      </c>
      <c r="D378" s="1">
        <v>5</v>
      </c>
      <c r="E378">
        <f t="shared" si="3"/>
        <v>4.638558704793401E-2</v>
      </c>
      <c r="H378" s="4"/>
    </row>
    <row r="379" spans="1:8" x14ac:dyDescent="0.15">
      <c r="A379" s="4">
        <v>225.00700000000001</v>
      </c>
      <c r="B379" s="4">
        <v>174</v>
      </c>
      <c r="C379" s="4">
        <v>93.985569999999996</v>
      </c>
      <c r="D379" s="1">
        <v>5</v>
      </c>
      <c r="E379">
        <f t="shared" si="3"/>
        <v>4.6654593700486205E-2</v>
      </c>
      <c r="H379" s="4"/>
    </row>
    <row r="380" spans="1:8" x14ac:dyDescent="0.15">
      <c r="A380" s="4">
        <v>225.00903</v>
      </c>
      <c r="B380" s="4">
        <v>174.5</v>
      </c>
      <c r="C380" s="4">
        <v>93.976910000000004</v>
      </c>
      <c r="D380" s="1">
        <v>5</v>
      </c>
      <c r="E380">
        <f t="shared" si="3"/>
        <v>4.6791790261799471E-2</v>
      </c>
      <c r="H380" s="4"/>
    </row>
    <row r="381" spans="1:8" x14ac:dyDescent="0.15">
      <c r="A381" s="4">
        <v>225.00788</v>
      </c>
      <c r="B381" s="4">
        <v>175</v>
      </c>
      <c r="C381" s="4">
        <v>93.947649999999996</v>
      </c>
      <c r="D381" s="1">
        <v>5</v>
      </c>
      <c r="E381">
        <f t="shared" si="3"/>
        <v>4.7255343539401216E-2</v>
      </c>
      <c r="H381" s="4"/>
    </row>
    <row r="382" spans="1:8" x14ac:dyDescent="0.15">
      <c r="A382" s="4">
        <v>225.00908000000001</v>
      </c>
      <c r="B382" s="4">
        <v>175.5</v>
      </c>
      <c r="C382" s="4">
        <v>93.921430000000001</v>
      </c>
      <c r="D382" s="1">
        <v>5</v>
      </c>
      <c r="E382">
        <f t="shared" si="3"/>
        <v>4.7670735437511672E-2</v>
      </c>
      <c r="H382" s="4"/>
    </row>
    <row r="383" spans="1:8" x14ac:dyDescent="0.15">
      <c r="A383" s="4">
        <v>225.00595999999999</v>
      </c>
      <c r="B383" s="4">
        <v>176</v>
      </c>
      <c r="C383" s="4">
        <v>93.903270000000006</v>
      </c>
      <c r="D383" s="1">
        <v>5</v>
      </c>
      <c r="E383">
        <f t="shared" si="3"/>
        <v>4.7958436309734606E-2</v>
      </c>
      <c r="H383" s="4"/>
    </row>
    <row r="384" spans="1:8" x14ac:dyDescent="0.15">
      <c r="A384" s="4">
        <v>225.00803999999999</v>
      </c>
      <c r="B384" s="4">
        <v>176.5</v>
      </c>
      <c r="C384" s="4">
        <v>93.886740000000003</v>
      </c>
      <c r="D384" s="1">
        <v>5</v>
      </c>
      <c r="E384">
        <f t="shared" si="3"/>
        <v>4.8220313810717383E-2</v>
      </c>
      <c r="H384" s="4"/>
    </row>
    <row r="385" spans="1:8" x14ac:dyDescent="0.15">
      <c r="A385" s="4">
        <v>225.00701000000001</v>
      </c>
      <c r="B385" s="4">
        <v>177</v>
      </c>
      <c r="C385" s="4">
        <v>93.862960000000001</v>
      </c>
      <c r="D385" s="1">
        <v>5</v>
      </c>
      <c r="E385">
        <f t="shared" si="3"/>
        <v>4.8597049864762751E-2</v>
      </c>
      <c r="H385" s="4"/>
    </row>
    <row r="386" spans="1:8" x14ac:dyDescent="0.15">
      <c r="A386" s="4">
        <v>225.00503</v>
      </c>
      <c r="B386" s="4">
        <v>177.5</v>
      </c>
      <c r="C386" s="4">
        <v>93.850279999999998</v>
      </c>
      <c r="D386" s="1">
        <v>5</v>
      </c>
      <c r="E386">
        <f t="shared" si="3"/>
        <v>4.879793351342953E-2</v>
      </c>
      <c r="H386" s="4"/>
    </row>
    <row r="387" spans="1:8" x14ac:dyDescent="0.15">
      <c r="A387" s="4">
        <v>225.00794999999999</v>
      </c>
      <c r="B387" s="4">
        <v>178</v>
      </c>
      <c r="C387" s="4">
        <v>93.843260000000001</v>
      </c>
      <c r="D387" s="1">
        <v>5</v>
      </c>
      <c r="E387">
        <f t="shared" si="3"/>
        <v>4.8909148277912165E-2</v>
      </c>
      <c r="H387" s="4"/>
    </row>
    <row r="388" spans="1:8" x14ac:dyDescent="0.15">
      <c r="A388" s="4">
        <v>225.00989999999999</v>
      </c>
      <c r="B388" s="4">
        <v>178.5</v>
      </c>
      <c r="C388" s="4">
        <v>93.819580000000002</v>
      </c>
      <c r="D388" s="1">
        <v>5</v>
      </c>
      <c r="E388">
        <f t="shared" si="3"/>
        <v>4.9284300076053174E-2</v>
      </c>
      <c r="H388" s="4"/>
    </row>
    <row r="389" spans="1:8" x14ac:dyDescent="0.15">
      <c r="A389" s="4">
        <v>225.00511</v>
      </c>
      <c r="B389" s="4">
        <v>179</v>
      </c>
      <c r="C389" s="4">
        <v>93.819339999999997</v>
      </c>
      <c r="D389" s="1">
        <v>5</v>
      </c>
      <c r="E389">
        <f t="shared" si="3"/>
        <v>4.9288102290223602E-2</v>
      </c>
      <c r="H389" s="4"/>
    </row>
    <row r="390" spans="1:8" x14ac:dyDescent="0.15">
      <c r="A390" s="4">
        <v>225.00683000000001</v>
      </c>
      <c r="B390" s="4">
        <v>179.5</v>
      </c>
      <c r="C390" s="4">
        <v>93.793660000000003</v>
      </c>
      <c r="D390" s="1">
        <v>5</v>
      </c>
      <c r="E390">
        <f t="shared" si="3"/>
        <v>4.9694939206450767E-2</v>
      </c>
      <c r="H390" s="4"/>
    </row>
    <row r="391" spans="1:8" x14ac:dyDescent="0.15">
      <c r="A391" s="4">
        <v>225.00796</v>
      </c>
      <c r="B391" s="4">
        <v>180</v>
      </c>
      <c r="C391" s="4">
        <v>93.76361</v>
      </c>
      <c r="D391" s="1">
        <v>5</v>
      </c>
      <c r="E391">
        <f t="shared" si="3"/>
        <v>5.0171008105696489E-2</v>
      </c>
      <c r="H391" s="4"/>
    </row>
    <row r="392" spans="1:8" x14ac:dyDescent="0.15">
      <c r="A392" s="4">
        <v>225.00384</v>
      </c>
      <c r="B392" s="4">
        <v>180.5</v>
      </c>
      <c r="C392" s="4">
        <v>93.746279999999999</v>
      </c>
      <c r="D392" s="1">
        <v>5</v>
      </c>
      <c r="E392">
        <f t="shared" si="3"/>
        <v>5.044555965391373E-2</v>
      </c>
      <c r="H392" s="4"/>
    </row>
    <row r="393" spans="1:8" x14ac:dyDescent="0.15">
      <c r="A393" s="4">
        <v>225.00289000000001</v>
      </c>
      <c r="B393" s="4">
        <v>181</v>
      </c>
      <c r="C393" s="4">
        <v>93.753410000000002</v>
      </c>
      <c r="D393" s="1">
        <v>5</v>
      </c>
      <c r="E393">
        <f t="shared" si="3"/>
        <v>5.0332602207936249E-2</v>
      </c>
      <c r="H393" s="4"/>
    </row>
    <row r="394" spans="1:8" x14ac:dyDescent="0.15">
      <c r="A394" s="4">
        <v>225.00207</v>
      </c>
      <c r="B394" s="4">
        <v>181.5</v>
      </c>
      <c r="C394" s="4">
        <v>93.717110000000005</v>
      </c>
      <c r="D394" s="1">
        <v>5</v>
      </c>
      <c r="E394">
        <f t="shared" si="3"/>
        <v>5.0907687101201367E-2</v>
      </c>
      <c r="H394" s="4"/>
    </row>
    <row r="395" spans="1:8" x14ac:dyDescent="0.15">
      <c r="A395" s="4">
        <v>225.00691</v>
      </c>
      <c r="B395" s="4">
        <v>182</v>
      </c>
      <c r="C395" s="4">
        <v>93.727450000000005</v>
      </c>
      <c r="D395" s="1">
        <v>5</v>
      </c>
      <c r="E395">
        <f t="shared" si="3"/>
        <v>5.0743875040695538E-2</v>
      </c>
      <c r="H395" s="4"/>
    </row>
    <row r="396" spans="1:8" x14ac:dyDescent="0.15">
      <c r="A396" s="4">
        <v>225.00809000000001</v>
      </c>
      <c r="B396" s="4">
        <v>182.5</v>
      </c>
      <c r="C396" s="4">
        <v>93.707790000000003</v>
      </c>
      <c r="D396" s="1">
        <v>5</v>
      </c>
      <c r="E396">
        <f t="shared" si="3"/>
        <v>5.1055339751483256E-2</v>
      </c>
      <c r="H396" s="4"/>
    </row>
    <row r="397" spans="1:8" x14ac:dyDescent="0.15">
      <c r="A397" s="4">
        <v>225.00811999999999</v>
      </c>
      <c r="B397" s="4">
        <v>183</v>
      </c>
      <c r="C397" s="4">
        <v>93.690089999999998</v>
      </c>
      <c r="D397" s="1">
        <v>5</v>
      </c>
      <c r="E397">
        <f t="shared" si="3"/>
        <v>5.1335753046546514E-2</v>
      </c>
      <c r="H397" s="4"/>
    </row>
    <row r="398" spans="1:8" x14ac:dyDescent="0.15">
      <c r="A398" s="4">
        <v>225.00509</v>
      </c>
      <c r="B398" s="4">
        <v>183.5</v>
      </c>
      <c r="C398" s="4">
        <v>93.664450000000002</v>
      </c>
      <c r="D398" s="1">
        <v>5</v>
      </c>
      <c r="E398">
        <f t="shared" si="3"/>
        <v>5.1741956260411982E-2</v>
      </c>
      <c r="H398" s="4"/>
    </row>
    <row r="399" spans="1:8" x14ac:dyDescent="0.15">
      <c r="A399" s="4">
        <v>225.00398999999999</v>
      </c>
      <c r="B399" s="4">
        <v>184</v>
      </c>
      <c r="C399" s="4">
        <v>93.656800000000004</v>
      </c>
      <c r="D399" s="1">
        <v>5</v>
      </c>
      <c r="E399">
        <f t="shared" si="3"/>
        <v>5.1863151837091802E-2</v>
      </c>
      <c r="H399" s="4"/>
    </row>
    <row r="400" spans="1:8" x14ac:dyDescent="0.15">
      <c r="A400" s="4">
        <v>225.00299000000001</v>
      </c>
      <c r="B400" s="4">
        <v>184.5</v>
      </c>
      <c r="C400" s="4">
        <v>93.635149999999996</v>
      </c>
      <c r="D400" s="1">
        <v>5</v>
      </c>
      <c r="E400">
        <f t="shared" si="3"/>
        <v>5.2206143240375424E-2</v>
      </c>
      <c r="H400" s="4"/>
    </row>
    <row r="401" spans="1:8" x14ac:dyDescent="0.15">
      <c r="A401" s="4">
        <v>225.00494</v>
      </c>
      <c r="B401" s="4">
        <v>185</v>
      </c>
      <c r="C401" s="4">
        <v>93.633499999999998</v>
      </c>
      <c r="D401" s="1">
        <v>5</v>
      </c>
      <c r="E401">
        <f t="shared" si="3"/>
        <v>5.2232283462796535E-2</v>
      </c>
      <c r="H401" s="4"/>
    </row>
    <row r="402" spans="1:8" x14ac:dyDescent="0.15">
      <c r="A402" s="4">
        <v>225.00097</v>
      </c>
      <c r="B402" s="4">
        <v>185.5</v>
      </c>
      <c r="C402" s="4">
        <v>93.601990000000001</v>
      </c>
      <c r="D402" s="1">
        <v>5</v>
      </c>
      <c r="E402">
        <f t="shared" si="3"/>
        <v>5.2731482498245122E-2</v>
      </c>
      <c r="H402" s="4"/>
    </row>
    <row r="403" spans="1:8" x14ac:dyDescent="0.15">
      <c r="A403" s="4">
        <v>225.00706</v>
      </c>
      <c r="B403" s="4">
        <v>186</v>
      </c>
      <c r="C403" s="4">
        <v>93.589169999999996</v>
      </c>
      <c r="D403" s="1">
        <v>5</v>
      </c>
      <c r="E403">
        <f t="shared" si="3"/>
        <v>5.2934584105177963E-2</v>
      </c>
      <c r="H403" s="4"/>
    </row>
    <row r="404" spans="1:8" x14ac:dyDescent="0.15">
      <c r="A404" s="4">
        <v>225.0059</v>
      </c>
      <c r="B404" s="4">
        <v>186.5</v>
      </c>
      <c r="C404" s="4">
        <v>93.568870000000004</v>
      </c>
      <c r="D404" s="1">
        <v>5</v>
      </c>
      <c r="E404">
        <f t="shared" si="3"/>
        <v>5.3256188053753116E-2</v>
      </c>
      <c r="H404" s="4"/>
    </row>
    <row r="405" spans="1:8" x14ac:dyDescent="0.15">
      <c r="A405" s="4">
        <v>225.00300999999999</v>
      </c>
      <c r="B405" s="4">
        <v>187</v>
      </c>
      <c r="C405" s="4">
        <v>93.554760000000002</v>
      </c>
      <c r="D405" s="1">
        <v>5</v>
      </c>
      <c r="E405">
        <f t="shared" si="3"/>
        <v>5.3479726561851543E-2</v>
      </c>
      <c r="H405" s="4"/>
    </row>
    <row r="406" spans="1:8" x14ac:dyDescent="0.15">
      <c r="A406" s="4">
        <v>225.00404</v>
      </c>
      <c r="B406" s="4">
        <v>187.5</v>
      </c>
      <c r="C406" s="4">
        <v>93.53613</v>
      </c>
      <c r="D406" s="1">
        <v>5</v>
      </c>
      <c r="E406">
        <f t="shared" si="3"/>
        <v>5.3774873436824848E-2</v>
      </c>
      <c r="H406" s="4"/>
    </row>
    <row r="407" spans="1:8" x14ac:dyDescent="0.15">
      <c r="A407" s="4">
        <v>225.01</v>
      </c>
      <c r="B407" s="4">
        <v>188</v>
      </c>
      <c r="C407" s="4">
        <v>93.544020000000003</v>
      </c>
      <c r="D407" s="1">
        <v>5</v>
      </c>
      <c r="E407">
        <f t="shared" si="3"/>
        <v>5.36498756459746E-2</v>
      </c>
      <c r="H407" s="4"/>
    </row>
    <row r="408" spans="1:8" x14ac:dyDescent="0.15">
      <c r="A408" s="4">
        <v>225.00790000000001</v>
      </c>
      <c r="B408" s="4">
        <v>188.5</v>
      </c>
      <c r="C408" s="4">
        <v>93.517970000000005</v>
      </c>
      <c r="D408" s="1">
        <v>5</v>
      </c>
      <c r="E408">
        <f t="shared" si="3"/>
        <v>5.4062574309047776E-2</v>
      </c>
      <c r="H408" s="4"/>
    </row>
    <row r="409" spans="1:8" x14ac:dyDescent="0.15">
      <c r="A409" s="4">
        <v>225.00907000000001</v>
      </c>
      <c r="B409" s="4">
        <v>189</v>
      </c>
      <c r="C409" s="4">
        <v>93.494020000000006</v>
      </c>
      <c r="D409" s="1">
        <v>5</v>
      </c>
      <c r="E409">
        <f t="shared" si="3"/>
        <v>5.444200359813043E-2</v>
      </c>
      <c r="H409" s="4"/>
    </row>
    <row r="410" spans="1:8" x14ac:dyDescent="0.15">
      <c r="A410" s="4">
        <v>225.00201000000001</v>
      </c>
      <c r="B410" s="4">
        <v>189.5</v>
      </c>
      <c r="C410" s="4">
        <v>93.481859999999998</v>
      </c>
      <c r="D410" s="1">
        <v>5</v>
      </c>
      <c r="E410">
        <f t="shared" si="3"/>
        <v>5.463464911609487E-2</v>
      </c>
      <c r="H410" s="4"/>
    </row>
    <row r="411" spans="1:8" x14ac:dyDescent="0.15">
      <c r="A411" s="4">
        <v>225.00710000000001</v>
      </c>
      <c r="B411" s="4">
        <v>190</v>
      </c>
      <c r="C411" s="4">
        <v>93.466279999999998</v>
      </c>
      <c r="D411" s="1">
        <v>5</v>
      </c>
      <c r="E411">
        <f t="shared" si="3"/>
        <v>5.4881476185986641E-2</v>
      </c>
      <c r="H411" s="4"/>
    </row>
    <row r="412" spans="1:8" x14ac:dyDescent="0.15">
      <c r="A412" s="4">
        <v>225.00899999999999</v>
      </c>
      <c r="B412" s="4">
        <v>190.5</v>
      </c>
      <c r="C412" s="4">
        <v>93.442909999999998</v>
      </c>
      <c r="D412" s="1">
        <v>5</v>
      </c>
      <c r="E412">
        <f t="shared" si="3"/>
        <v>5.5251716790824294E-2</v>
      </c>
      <c r="H412" s="4"/>
    </row>
    <row r="413" spans="1:8" x14ac:dyDescent="0.15">
      <c r="A413" s="4">
        <v>225.00703999999999</v>
      </c>
      <c r="B413" s="4">
        <v>191</v>
      </c>
      <c r="C413" s="4">
        <v>93.439430000000002</v>
      </c>
      <c r="D413" s="1">
        <v>5</v>
      </c>
      <c r="E413">
        <f t="shared" si="3"/>
        <v>5.5306848896294281E-2</v>
      </c>
      <c r="H413" s="4"/>
    </row>
    <row r="414" spans="1:8" x14ac:dyDescent="0.15">
      <c r="A414" s="4">
        <v>225.005</v>
      </c>
      <c r="B414" s="4">
        <v>191.5</v>
      </c>
      <c r="C414" s="4">
        <v>93.419659999999993</v>
      </c>
      <c r="D414" s="1">
        <v>5</v>
      </c>
      <c r="E414">
        <f t="shared" si="3"/>
        <v>5.5620056288576844E-2</v>
      </c>
      <c r="H414" s="4"/>
    </row>
    <row r="415" spans="1:8" x14ac:dyDescent="0.15">
      <c r="A415" s="4">
        <v>225.00495000000001</v>
      </c>
      <c r="B415" s="4">
        <v>192</v>
      </c>
      <c r="C415" s="4">
        <v>93.403090000000006</v>
      </c>
      <c r="D415" s="1">
        <v>5</v>
      </c>
      <c r="E415">
        <f t="shared" si="3"/>
        <v>5.5882567491921102E-2</v>
      </c>
      <c r="H415" s="4"/>
    </row>
    <row r="416" spans="1:8" x14ac:dyDescent="0.15">
      <c r="A416" s="4">
        <v>225.01214999999999</v>
      </c>
      <c r="B416" s="4">
        <v>192.5</v>
      </c>
      <c r="C416" s="4">
        <v>93.393730000000005</v>
      </c>
      <c r="D416" s="1">
        <v>5</v>
      </c>
      <c r="E416">
        <f t="shared" ref="E416:E479" si="4">($C$216-C416)/$G$216</f>
        <v>5.6030853844564694E-2</v>
      </c>
      <c r="H416" s="4"/>
    </row>
    <row r="417" spans="1:8" x14ac:dyDescent="0.15">
      <c r="A417" s="4">
        <v>225.00308000000001</v>
      </c>
      <c r="B417" s="4">
        <v>193</v>
      </c>
      <c r="C417" s="4">
        <v>93.347949999999997</v>
      </c>
      <c r="D417" s="1">
        <v>5</v>
      </c>
      <c r="E417">
        <f t="shared" si="4"/>
        <v>5.6756126197558737E-2</v>
      </c>
      <c r="H417" s="4"/>
    </row>
    <row r="418" spans="1:8" x14ac:dyDescent="0.15">
      <c r="A418" s="4">
        <v>225.00891999999999</v>
      </c>
      <c r="B418" s="4">
        <v>193.5</v>
      </c>
      <c r="C418" s="4">
        <v>93.342799999999997</v>
      </c>
      <c r="D418" s="1">
        <v>5</v>
      </c>
      <c r="E418">
        <f t="shared" si="4"/>
        <v>5.6837715376630793E-2</v>
      </c>
      <c r="H418" s="4"/>
    </row>
    <row r="419" spans="1:8" x14ac:dyDescent="0.15">
      <c r="A419" s="4">
        <v>225.00400999999999</v>
      </c>
      <c r="B419" s="4">
        <v>194</v>
      </c>
      <c r="C419" s="4">
        <v>93.326449999999994</v>
      </c>
      <c r="D419" s="1">
        <v>5</v>
      </c>
      <c r="E419">
        <f t="shared" si="4"/>
        <v>5.7096741216985811E-2</v>
      </c>
      <c r="H419" s="4"/>
    </row>
    <row r="420" spans="1:8" x14ac:dyDescent="0.15">
      <c r="A420" s="4">
        <v>225.00591</v>
      </c>
      <c r="B420" s="4">
        <v>194.5</v>
      </c>
      <c r="C420" s="4">
        <v>93.324380000000005</v>
      </c>
      <c r="D420" s="1">
        <v>5</v>
      </c>
      <c r="E420">
        <f t="shared" si="4"/>
        <v>5.7129535314204893E-2</v>
      </c>
      <c r="H420" s="4"/>
    </row>
    <row r="421" spans="1:8" x14ac:dyDescent="0.15">
      <c r="A421" s="4">
        <v>225.00592</v>
      </c>
      <c r="B421" s="4">
        <v>195</v>
      </c>
      <c r="C421" s="4">
        <v>93.307450000000003</v>
      </c>
      <c r="D421" s="1">
        <v>5</v>
      </c>
      <c r="E421">
        <f t="shared" si="4"/>
        <v>5.7397749838804905E-2</v>
      </c>
      <c r="H421" s="4"/>
    </row>
    <row r="422" spans="1:8" x14ac:dyDescent="0.15">
      <c r="A422" s="4">
        <v>225.00789</v>
      </c>
      <c r="B422" s="4">
        <v>195.5</v>
      </c>
      <c r="C422" s="4">
        <v>93.302440000000004</v>
      </c>
      <c r="D422" s="1">
        <v>5</v>
      </c>
      <c r="E422">
        <f t="shared" si="4"/>
        <v>5.7477121059610899E-2</v>
      </c>
      <c r="H422" s="4"/>
    </row>
    <row r="423" spans="1:8" x14ac:dyDescent="0.15">
      <c r="A423" s="4">
        <v>225.00608</v>
      </c>
      <c r="B423" s="4">
        <v>196</v>
      </c>
      <c r="C423" s="4">
        <v>93.289590000000004</v>
      </c>
      <c r="D423" s="1">
        <v>5</v>
      </c>
      <c r="E423">
        <f t="shared" si="4"/>
        <v>5.7680697943314964E-2</v>
      </c>
      <c r="H423" s="4"/>
    </row>
    <row r="424" spans="1:8" x14ac:dyDescent="0.15">
      <c r="A424" s="4">
        <v>225.00303</v>
      </c>
      <c r="B424" s="4">
        <v>196.5</v>
      </c>
      <c r="C424" s="4">
        <v>93.254059999999996</v>
      </c>
      <c r="D424" s="1">
        <v>5</v>
      </c>
      <c r="E424">
        <f t="shared" si="4"/>
        <v>5.8243584066117064E-2</v>
      </c>
      <c r="H424" s="4"/>
    </row>
    <row r="425" spans="1:8" x14ac:dyDescent="0.15">
      <c r="A425" s="4">
        <v>225.00900999999999</v>
      </c>
      <c r="B425" s="4">
        <v>197</v>
      </c>
      <c r="C425" s="4">
        <v>93.264619999999994</v>
      </c>
      <c r="D425" s="1">
        <v>5</v>
      </c>
      <c r="E425">
        <f t="shared" si="4"/>
        <v>5.8076286642621773E-2</v>
      </c>
      <c r="H425" s="4"/>
    </row>
    <row r="426" spans="1:8" x14ac:dyDescent="0.15">
      <c r="A426" s="4">
        <v>225.00794999999999</v>
      </c>
      <c r="B426" s="4">
        <v>197.5</v>
      </c>
      <c r="C426" s="4">
        <v>93.260900000000007</v>
      </c>
      <c r="D426" s="1">
        <v>5</v>
      </c>
      <c r="E426">
        <f t="shared" si="4"/>
        <v>5.8135220962261966E-2</v>
      </c>
      <c r="H426" s="4"/>
    </row>
    <row r="427" spans="1:8" x14ac:dyDescent="0.15">
      <c r="A427" s="4">
        <v>225.00602000000001</v>
      </c>
      <c r="B427" s="4">
        <v>198</v>
      </c>
      <c r="C427" s="4">
        <v>93.231309999999993</v>
      </c>
      <c r="D427" s="1">
        <v>5</v>
      </c>
      <c r="E427">
        <f t="shared" si="4"/>
        <v>5.860400228434802E-2</v>
      </c>
      <c r="H427" s="4"/>
    </row>
    <row r="428" spans="1:8" x14ac:dyDescent="0.15">
      <c r="A428" s="4">
        <v>225.00201999999999</v>
      </c>
      <c r="B428" s="4">
        <v>198.5</v>
      </c>
      <c r="C428" s="4">
        <v>93.209209999999999</v>
      </c>
      <c r="D428" s="1">
        <v>5</v>
      </c>
      <c r="E428">
        <f t="shared" si="4"/>
        <v>5.8954122839200825E-2</v>
      </c>
      <c r="H428" s="4"/>
    </row>
    <row r="429" spans="1:8" x14ac:dyDescent="0.15">
      <c r="A429" s="4">
        <v>225.00299000000001</v>
      </c>
      <c r="B429" s="4">
        <v>199</v>
      </c>
      <c r="C429" s="4">
        <v>93.191190000000006</v>
      </c>
      <c r="D429" s="1">
        <v>5</v>
      </c>
      <c r="E429">
        <f t="shared" si="4"/>
        <v>5.923960575315769E-2</v>
      </c>
      <c r="H429" s="4"/>
    </row>
    <row r="430" spans="1:8" x14ac:dyDescent="0.15">
      <c r="A430" s="4">
        <v>225.00400999999999</v>
      </c>
      <c r="B430" s="4">
        <v>199.5</v>
      </c>
      <c r="C430" s="4">
        <v>93.189409999999995</v>
      </c>
      <c r="D430" s="1">
        <v>5</v>
      </c>
      <c r="E430">
        <f t="shared" si="4"/>
        <v>5.9267805508254612E-2</v>
      </c>
      <c r="H430" s="4"/>
    </row>
    <row r="431" spans="1:8" x14ac:dyDescent="0.15">
      <c r="A431" s="4">
        <v>225.00708</v>
      </c>
      <c r="B431" s="4">
        <v>200</v>
      </c>
      <c r="C431" s="4">
        <v>93.162000000000006</v>
      </c>
      <c r="D431" s="1">
        <v>5</v>
      </c>
      <c r="E431">
        <f t="shared" si="4"/>
        <v>5.9702050051626286E-2</v>
      </c>
      <c r="H431" s="4"/>
    </row>
    <row r="432" spans="1:8" x14ac:dyDescent="0.15">
      <c r="A432" s="4">
        <v>225.00597999999999</v>
      </c>
      <c r="B432" s="4">
        <v>200.5</v>
      </c>
      <c r="C432" s="4">
        <v>93.159760000000006</v>
      </c>
      <c r="D432" s="1">
        <v>5</v>
      </c>
      <c r="E432">
        <f t="shared" si="4"/>
        <v>5.9737537383882877E-2</v>
      </c>
      <c r="H432" s="4"/>
    </row>
    <row r="433" spans="1:8" x14ac:dyDescent="0.15">
      <c r="A433" s="4">
        <v>225.00506999999999</v>
      </c>
      <c r="B433" s="4">
        <v>201</v>
      </c>
      <c r="C433" s="4">
        <v>93.125529999999998</v>
      </c>
      <c r="D433" s="1">
        <v>5</v>
      </c>
      <c r="E433">
        <f t="shared" si="4"/>
        <v>6.0279828179928913E-2</v>
      </c>
      <c r="H433" s="4"/>
    </row>
    <row r="434" spans="1:8" x14ac:dyDescent="0.15">
      <c r="A434" s="4">
        <v>225.00314</v>
      </c>
      <c r="B434" s="4">
        <v>201.5</v>
      </c>
      <c r="C434" s="4">
        <v>93.13073</v>
      </c>
      <c r="D434" s="1">
        <v>5</v>
      </c>
      <c r="E434">
        <f t="shared" si="4"/>
        <v>6.0197446872904674E-2</v>
      </c>
      <c r="H434" s="4"/>
    </row>
    <row r="435" spans="1:8" x14ac:dyDescent="0.15">
      <c r="A435" s="4">
        <v>225.00595999999999</v>
      </c>
      <c r="B435" s="4">
        <v>202</v>
      </c>
      <c r="C435" s="4">
        <v>93.105069999999998</v>
      </c>
      <c r="D435" s="1">
        <v>5</v>
      </c>
      <c r="E435">
        <f t="shared" si="4"/>
        <v>6.0603966937951094E-2</v>
      </c>
      <c r="H435" s="4"/>
    </row>
    <row r="436" spans="1:8" x14ac:dyDescent="0.15">
      <c r="A436" s="4">
        <v>225.00808000000001</v>
      </c>
      <c r="B436" s="4">
        <v>202.5</v>
      </c>
      <c r="C436" s="4">
        <v>93.103179999999995</v>
      </c>
      <c r="D436" s="1">
        <v>5</v>
      </c>
      <c r="E436">
        <f t="shared" si="4"/>
        <v>6.063390937454264E-2</v>
      </c>
      <c r="H436" s="4"/>
    </row>
    <row r="437" spans="1:8" x14ac:dyDescent="0.15">
      <c r="A437" s="4">
        <v>225.00693000000001</v>
      </c>
      <c r="B437" s="4">
        <v>203</v>
      </c>
      <c r="C437" s="4">
        <v>93.085470000000001</v>
      </c>
      <c r="D437" s="1">
        <v>5</v>
      </c>
      <c r="E437">
        <f t="shared" si="4"/>
        <v>6.0914481095196149E-2</v>
      </c>
      <c r="H437" s="4"/>
    </row>
    <row r="438" spans="1:8" x14ac:dyDescent="0.15">
      <c r="A438" s="4">
        <v>225.00299000000001</v>
      </c>
      <c r="B438" s="4">
        <v>203.5</v>
      </c>
      <c r="C438" s="4">
        <v>93.058070000000001</v>
      </c>
      <c r="D438" s="1">
        <v>5</v>
      </c>
      <c r="E438">
        <f t="shared" si="4"/>
        <v>6.1348567212977573E-2</v>
      </c>
      <c r="H438" s="4"/>
    </row>
    <row r="439" spans="1:8" x14ac:dyDescent="0.15">
      <c r="A439" s="4">
        <v>225.00504000000001</v>
      </c>
      <c r="B439" s="4">
        <v>204</v>
      </c>
      <c r="C439" s="4">
        <v>93.033249999999995</v>
      </c>
      <c r="D439" s="1">
        <v>5</v>
      </c>
      <c r="E439">
        <f t="shared" si="4"/>
        <v>6.1741779528427833E-2</v>
      </c>
      <c r="H439" s="4"/>
    </row>
    <row r="440" spans="1:8" x14ac:dyDescent="0.15">
      <c r="A440" s="4">
        <v>225.00704999999999</v>
      </c>
      <c r="B440" s="4">
        <v>204.5</v>
      </c>
      <c r="C440" s="4">
        <v>93.051969999999997</v>
      </c>
      <c r="D440" s="1">
        <v>5</v>
      </c>
      <c r="E440">
        <f t="shared" si="4"/>
        <v>6.1445206823140641E-2</v>
      </c>
      <c r="H440" s="4"/>
    </row>
    <row r="441" spans="1:8" x14ac:dyDescent="0.15">
      <c r="A441" s="4">
        <v>225.00702999999999</v>
      </c>
      <c r="B441" s="4">
        <v>205</v>
      </c>
      <c r="C441" s="4">
        <v>93.03116</v>
      </c>
      <c r="D441" s="1">
        <v>5</v>
      </c>
      <c r="E441">
        <f t="shared" si="4"/>
        <v>6.1774890476827875E-2</v>
      </c>
      <c r="H441" s="4"/>
    </row>
    <row r="442" spans="1:8" x14ac:dyDescent="0.15">
      <c r="A442" s="4">
        <v>225.00306</v>
      </c>
      <c r="B442" s="4">
        <v>205.5</v>
      </c>
      <c r="C442" s="4">
        <v>93.016409999999993</v>
      </c>
      <c r="D442" s="1">
        <v>5</v>
      </c>
      <c r="E442">
        <f t="shared" si="4"/>
        <v>6.2008568222713958E-2</v>
      </c>
      <c r="H442" s="4"/>
    </row>
    <row r="443" spans="1:8" x14ac:dyDescent="0.15">
      <c r="A443" s="4">
        <v>225.00314</v>
      </c>
      <c r="B443" s="4">
        <v>206</v>
      </c>
      <c r="C443" s="4">
        <v>92.988730000000004</v>
      </c>
      <c r="D443" s="1">
        <v>5</v>
      </c>
      <c r="E443">
        <f t="shared" si="4"/>
        <v>6.2447090257027285E-2</v>
      </c>
      <c r="H443" s="4"/>
    </row>
    <row r="444" spans="1:8" x14ac:dyDescent="0.15">
      <c r="A444" s="4">
        <v>225.00901999999999</v>
      </c>
      <c r="B444" s="4">
        <v>206.5</v>
      </c>
      <c r="C444" s="4">
        <v>92.997290000000007</v>
      </c>
      <c r="D444" s="1">
        <v>5</v>
      </c>
      <c r="E444">
        <f t="shared" si="4"/>
        <v>6.2311477951618156E-2</v>
      </c>
      <c r="H444" s="4"/>
    </row>
    <row r="445" spans="1:8" x14ac:dyDescent="0.15">
      <c r="A445" s="4">
        <v>225.01025000000001</v>
      </c>
      <c r="B445" s="4">
        <v>207</v>
      </c>
      <c r="C445" s="4">
        <v>92.984849999999994</v>
      </c>
      <c r="D445" s="1">
        <v>5</v>
      </c>
      <c r="E445">
        <f t="shared" si="4"/>
        <v>6.2508559386114729E-2</v>
      </c>
      <c r="H445" s="4"/>
    </row>
    <row r="446" spans="1:8" x14ac:dyDescent="0.15">
      <c r="A446" s="4">
        <v>225.00497999999999</v>
      </c>
      <c r="B446" s="4">
        <v>207.5</v>
      </c>
      <c r="C446" s="4">
        <v>92.963160000000002</v>
      </c>
      <c r="D446" s="1">
        <v>5</v>
      </c>
      <c r="E446">
        <f t="shared" si="4"/>
        <v>6.2852184491759833E-2</v>
      </c>
      <c r="H446" s="4"/>
    </row>
    <row r="447" spans="1:8" x14ac:dyDescent="0.15">
      <c r="A447" s="4">
        <v>225.00704999999999</v>
      </c>
      <c r="B447" s="4">
        <v>208</v>
      </c>
      <c r="C447" s="4">
        <v>92.945779999999999</v>
      </c>
      <c r="D447" s="1">
        <v>5</v>
      </c>
      <c r="E447">
        <f t="shared" si="4"/>
        <v>6.3127528167929256E-2</v>
      </c>
      <c r="H447" s="4"/>
    </row>
    <row r="448" spans="1:8" x14ac:dyDescent="0.15">
      <c r="A448" s="4">
        <v>225.00615999999999</v>
      </c>
      <c r="B448" s="4">
        <v>208.5</v>
      </c>
      <c r="C448" s="4">
        <v>92.917370000000005</v>
      </c>
      <c r="D448" s="1">
        <v>5</v>
      </c>
      <c r="E448">
        <f t="shared" si="4"/>
        <v>6.3577615270344126E-2</v>
      </c>
      <c r="H448" s="4"/>
    </row>
    <row r="449" spans="1:8" x14ac:dyDescent="0.15">
      <c r="A449" s="4">
        <v>225.00403</v>
      </c>
      <c r="B449" s="4">
        <v>209</v>
      </c>
      <c r="C449" s="4">
        <v>92.911879999999996</v>
      </c>
      <c r="D449" s="1">
        <v>5</v>
      </c>
      <c r="E449">
        <f t="shared" si="4"/>
        <v>6.3664590919490976E-2</v>
      </c>
      <c r="H449" s="4"/>
    </row>
    <row r="450" spans="1:8" x14ac:dyDescent="0.15">
      <c r="A450" s="4">
        <v>225.00295</v>
      </c>
      <c r="B450" s="4">
        <v>209.5</v>
      </c>
      <c r="C450" s="4">
        <v>92.884320000000002</v>
      </c>
      <c r="D450" s="1">
        <v>5</v>
      </c>
      <c r="E450">
        <f t="shared" si="4"/>
        <v>6.41012118467192E-2</v>
      </c>
      <c r="H450" s="4"/>
    </row>
    <row r="451" spans="1:8" x14ac:dyDescent="0.15">
      <c r="A451" s="4">
        <v>225.00393</v>
      </c>
      <c r="B451" s="4">
        <v>210</v>
      </c>
      <c r="C451" s="4">
        <v>92.883859999999999</v>
      </c>
      <c r="D451" s="1">
        <v>5</v>
      </c>
      <c r="E451">
        <f t="shared" si="4"/>
        <v>6.4108499423879098E-2</v>
      </c>
      <c r="H451" s="4"/>
    </row>
    <row r="452" spans="1:8" x14ac:dyDescent="0.15">
      <c r="A452" s="4">
        <v>225.00197</v>
      </c>
      <c r="B452" s="4">
        <v>210.5</v>
      </c>
      <c r="C452" s="4">
        <v>92.862340000000003</v>
      </c>
      <c r="D452" s="1">
        <v>5</v>
      </c>
      <c r="E452">
        <f t="shared" si="4"/>
        <v>6.4449431294486909E-2</v>
      </c>
      <c r="H452" s="4"/>
    </row>
    <row r="453" spans="1:8" x14ac:dyDescent="0.15">
      <c r="A453" s="4">
        <v>225.00703999999999</v>
      </c>
      <c r="B453" s="4">
        <v>211</v>
      </c>
      <c r="C453" s="4">
        <v>92.835229999999996</v>
      </c>
      <c r="D453" s="1">
        <v>5</v>
      </c>
      <c r="E453">
        <f t="shared" si="4"/>
        <v>6.487892307014595E-2</v>
      </c>
      <c r="H453" s="4"/>
    </row>
    <row r="454" spans="1:8" x14ac:dyDescent="0.15">
      <c r="A454" s="4">
        <v>225.00695999999999</v>
      </c>
      <c r="B454" s="4">
        <v>211.5</v>
      </c>
      <c r="C454" s="4">
        <v>92.81268</v>
      </c>
      <c r="D454" s="1">
        <v>5</v>
      </c>
      <c r="E454">
        <f t="shared" si="4"/>
        <v>6.5236172776568166E-2</v>
      </c>
      <c r="H454" s="4"/>
    </row>
    <row r="455" spans="1:8" x14ac:dyDescent="0.15">
      <c r="A455" s="4">
        <v>225.0069</v>
      </c>
      <c r="B455" s="4">
        <v>212</v>
      </c>
      <c r="C455" s="4">
        <v>92.82226</v>
      </c>
      <c r="D455" s="1">
        <v>5</v>
      </c>
      <c r="E455">
        <f t="shared" si="4"/>
        <v>6.5084401060935118E-2</v>
      </c>
      <c r="H455" s="4"/>
    </row>
    <row r="456" spans="1:8" x14ac:dyDescent="0.15">
      <c r="A456" s="4">
        <v>225.00407999999999</v>
      </c>
      <c r="B456" s="4">
        <v>212.5</v>
      </c>
      <c r="C456" s="4">
        <v>92.824200000000005</v>
      </c>
      <c r="D456" s="1">
        <v>5</v>
      </c>
      <c r="E456">
        <f t="shared" si="4"/>
        <v>6.5053666496391382E-2</v>
      </c>
      <c r="H456" s="4"/>
    </row>
    <row r="457" spans="1:8" x14ac:dyDescent="0.15">
      <c r="A457" s="4">
        <v>225.00314</v>
      </c>
      <c r="B457" s="4">
        <v>213</v>
      </c>
      <c r="C457" s="4">
        <v>92.804050000000004</v>
      </c>
      <c r="D457" s="1">
        <v>5</v>
      </c>
      <c r="E457">
        <f t="shared" si="4"/>
        <v>6.5372894061110215E-2</v>
      </c>
      <c r="H457" s="4"/>
    </row>
    <row r="458" spans="1:8" x14ac:dyDescent="0.15">
      <c r="A458" s="4">
        <v>225.00706</v>
      </c>
      <c r="B458" s="4">
        <v>213.5</v>
      </c>
      <c r="C458" s="4">
        <v>92.803960000000004</v>
      </c>
      <c r="D458" s="1">
        <v>5</v>
      </c>
      <c r="E458">
        <f t="shared" si="4"/>
        <v>6.5374319891424101E-2</v>
      </c>
      <c r="H458" s="4"/>
    </row>
    <row r="459" spans="1:8" x14ac:dyDescent="0.15">
      <c r="A459" s="4">
        <v>225.00803999999999</v>
      </c>
      <c r="B459" s="4">
        <v>214</v>
      </c>
      <c r="C459" s="4">
        <v>92.783299999999997</v>
      </c>
      <c r="D459" s="1">
        <v>5</v>
      </c>
      <c r="E459">
        <f t="shared" si="4"/>
        <v>6.5701627161255022E-2</v>
      </c>
      <c r="H459" s="4"/>
    </row>
    <row r="460" spans="1:8" x14ac:dyDescent="0.15">
      <c r="A460" s="4">
        <v>225.00388000000001</v>
      </c>
      <c r="B460" s="4">
        <v>214.5</v>
      </c>
      <c r="C460" s="4">
        <v>92.758089999999996</v>
      </c>
      <c r="D460" s="1">
        <v>5</v>
      </c>
      <c r="E460">
        <f t="shared" si="4"/>
        <v>6.6101018074732024E-2</v>
      </c>
      <c r="H460" s="4"/>
    </row>
    <row r="461" spans="1:8" x14ac:dyDescent="0.15">
      <c r="A461" s="4">
        <v>225.00808000000001</v>
      </c>
      <c r="B461" s="4">
        <v>215</v>
      </c>
      <c r="C461" s="4">
        <v>92.758459999999999</v>
      </c>
      <c r="D461" s="1">
        <v>5</v>
      </c>
      <c r="E461">
        <f t="shared" si="4"/>
        <v>6.6095156327886012E-2</v>
      </c>
      <c r="H461" s="4"/>
    </row>
    <row r="462" spans="1:8" x14ac:dyDescent="0.15">
      <c r="A462" s="4">
        <v>225.00606999999999</v>
      </c>
      <c r="B462" s="4">
        <v>215.5</v>
      </c>
      <c r="C462" s="4">
        <v>92.738579999999999</v>
      </c>
      <c r="D462" s="1">
        <v>5</v>
      </c>
      <c r="E462">
        <f t="shared" si="4"/>
        <v>6.6410106401663199E-2</v>
      </c>
      <c r="H462" s="4"/>
    </row>
    <row r="463" spans="1:8" x14ac:dyDescent="0.15">
      <c r="A463" s="4">
        <v>225.00591</v>
      </c>
      <c r="B463" s="4">
        <v>216</v>
      </c>
      <c r="C463" s="4">
        <v>92.707629999999995</v>
      </c>
      <c r="D463" s="1">
        <v>5</v>
      </c>
      <c r="E463">
        <f t="shared" si="4"/>
        <v>6.6900433604047752E-2</v>
      </c>
      <c r="H463" s="4"/>
    </row>
    <row r="464" spans="1:8" x14ac:dyDescent="0.15">
      <c r="A464" s="4">
        <v>225.00101000000001</v>
      </c>
      <c r="B464" s="4">
        <v>216.5</v>
      </c>
      <c r="C464" s="4">
        <v>92.697339999999997</v>
      </c>
      <c r="D464" s="1">
        <v>5</v>
      </c>
      <c r="E464">
        <f t="shared" si="4"/>
        <v>6.7063453536601397E-2</v>
      </c>
      <c r="H464" s="4"/>
    </row>
    <row r="465" spans="1:8" x14ac:dyDescent="0.15">
      <c r="A465" s="4">
        <v>225.00496000000001</v>
      </c>
      <c r="B465" s="4">
        <v>217</v>
      </c>
      <c r="C465" s="4">
        <v>92.688450000000003</v>
      </c>
      <c r="D465" s="1">
        <v>5</v>
      </c>
      <c r="E465">
        <f t="shared" si="4"/>
        <v>6.7204293886494612E-2</v>
      </c>
      <c r="H465" s="4"/>
    </row>
    <row r="466" spans="1:8" x14ac:dyDescent="0.15">
      <c r="A466" s="4">
        <v>225.00504000000001</v>
      </c>
      <c r="B466" s="4">
        <v>217.5</v>
      </c>
      <c r="C466" s="4">
        <v>92.683890000000005</v>
      </c>
      <c r="D466" s="1">
        <v>5</v>
      </c>
      <c r="E466">
        <f t="shared" si="4"/>
        <v>6.7276535955731187E-2</v>
      </c>
      <c r="H466" s="4"/>
    </row>
    <row r="467" spans="1:8" x14ac:dyDescent="0.15">
      <c r="A467" s="4">
        <v>225.00890999999999</v>
      </c>
      <c r="B467" s="4">
        <v>218</v>
      </c>
      <c r="C467" s="4">
        <v>92.696259999999995</v>
      </c>
      <c r="D467" s="1">
        <v>5</v>
      </c>
      <c r="E467">
        <f t="shared" si="4"/>
        <v>6.7080563500367993E-2</v>
      </c>
      <c r="H467" s="4"/>
    </row>
    <row r="468" spans="1:8" x14ac:dyDescent="0.15">
      <c r="A468" s="4">
        <v>225.00704999999999</v>
      </c>
      <c r="B468" s="4">
        <v>218.5</v>
      </c>
      <c r="C468" s="4">
        <v>92.671710000000004</v>
      </c>
      <c r="D468" s="1">
        <v>5</v>
      </c>
      <c r="E468">
        <f t="shared" si="4"/>
        <v>6.7469498324876379E-2</v>
      </c>
      <c r="H468" s="4"/>
    </row>
    <row r="469" spans="1:8" x14ac:dyDescent="0.15">
      <c r="A469" s="4">
        <v>225.00910999999999</v>
      </c>
      <c r="B469" s="4">
        <v>219</v>
      </c>
      <c r="C469" s="4">
        <v>92.654570000000007</v>
      </c>
      <c r="D469" s="1">
        <v>5</v>
      </c>
      <c r="E469">
        <f t="shared" si="4"/>
        <v>6.7741039786875373E-2</v>
      </c>
      <c r="H469" s="4"/>
    </row>
    <row r="470" spans="1:8" x14ac:dyDescent="0.15">
      <c r="A470" s="4">
        <v>225.00283999999999</v>
      </c>
      <c r="B470" s="4">
        <v>219.5</v>
      </c>
      <c r="C470" s="4">
        <v>92.630340000000004</v>
      </c>
      <c r="D470" s="1">
        <v>5</v>
      </c>
      <c r="E470">
        <f t="shared" si="4"/>
        <v>6.812490499249016E-2</v>
      </c>
      <c r="H470" s="4"/>
    </row>
    <row r="471" spans="1:8" x14ac:dyDescent="0.15">
      <c r="A471" s="4">
        <v>225.00601</v>
      </c>
      <c r="B471" s="4">
        <v>220</v>
      </c>
      <c r="C471" s="4">
        <v>92.637799999999999</v>
      </c>
      <c r="D471" s="1">
        <v>5</v>
      </c>
      <c r="E471">
        <f t="shared" si="4"/>
        <v>6.8006719502028579E-2</v>
      </c>
      <c r="H471" s="4"/>
    </row>
    <row r="472" spans="1:8" x14ac:dyDescent="0.15">
      <c r="A472" s="4">
        <v>225.00699</v>
      </c>
      <c r="B472" s="4">
        <v>220.5</v>
      </c>
      <c r="C472" s="4">
        <v>92.615790000000004</v>
      </c>
      <c r="D472" s="1">
        <v>5</v>
      </c>
      <c r="E472">
        <f t="shared" si="4"/>
        <v>6.8355414226567504E-2</v>
      </c>
      <c r="H472" s="4"/>
    </row>
    <row r="473" spans="1:8" x14ac:dyDescent="0.15">
      <c r="A473" s="4">
        <v>225.0069</v>
      </c>
      <c r="B473" s="4">
        <v>221</v>
      </c>
      <c r="C473" s="4">
        <v>92.586150000000004</v>
      </c>
      <c r="D473" s="1">
        <v>5</v>
      </c>
      <c r="E473">
        <f t="shared" si="4"/>
        <v>6.8824987676605526E-2</v>
      </c>
      <c r="H473" s="4"/>
    </row>
    <row r="474" spans="1:8" x14ac:dyDescent="0.15">
      <c r="A474" s="4">
        <v>225.01005000000001</v>
      </c>
      <c r="B474" s="4">
        <v>221.5</v>
      </c>
      <c r="C474" s="4">
        <v>92.581100000000006</v>
      </c>
      <c r="D474" s="1">
        <v>5</v>
      </c>
      <c r="E474">
        <f t="shared" si="4"/>
        <v>6.8904992599773215E-2</v>
      </c>
      <c r="H474" s="4"/>
    </row>
    <row r="475" spans="1:8" x14ac:dyDescent="0.15">
      <c r="A475" s="4">
        <v>225.00717</v>
      </c>
      <c r="B475" s="4">
        <v>222</v>
      </c>
      <c r="C475" s="4">
        <v>92.575729999999993</v>
      </c>
      <c r="D475" s="1">
        <v>5</v>
      </c>
      <c r="E475">
        <f t="shared" si="4"/>
        <v>6.8990067141834976E-2</v>
      </c>
      <c r="H475" s="4"/>
    </row>
    <row r="476" spans="1:8" x14ac:dyDescent="0.15">
      <c r="A476" s="4">
        <v>225.00396000000001</v>
      </c>
      <c r="B476" s="4">
        <v>222.5</v>
      </c>
      <c r="C476" s="4">
        <v>92.560879999999997</v>
      </c>
      <c r="D476" s="1">
        <v>5</v>
      </c>
      <c r="E476">
        <f t="shared" si="4"/>
        <v>6.9225329143625197E-2</v>
      </c>
      <c r="H476" s="4"/>
    </row>
    <row r="477" spans="1:8" x14ac:dyDescent="0.15">
      <c r="A477" s="4">
        <v>225.00308999999999</v>
      </c>
      <c r="B477" s="4">
        <v>223</v>
      </c>
      <c r="C477" s="4">
        <v>92.52807</v>
      </c>
      <c r="D477" s="1">
        <v>5</v>
      </c>
      <c r="E477">
        <f t="shared" si="4"/>
        <v>6.9745123505829842E-2</v>
      </c>
      <c r="H477" s="4"/>
    </row>
    <row r="478" spans="1:8" x14ac:dyDescent="0.15">
      <c r="A478" s="4">
        <v>225.00412</v>
      </c>
      <c r="B478" s="4">
        <v>223.5</v>
      </c>
      <c r="C478" s="4">
        <v>92.548109999999994</v>
      </c>
      <c r="D478" s="1">
        <v>5</v>
      </c>
      <c r="E478">
        <f t="shared" si="4"/>
        <v>6.9427638622605856E-2</v>
      </c>
      <c r="H478" s="4"/>
    </row>
    <row r="479" spans="1:8" x14ac:dyDescent="0.15">
      <c r="A479" s="4">
        <v>225.00299000000001</v>
      </c>
      <c r="B479" s="4">
        <v>224</v>
      </c>
      <c r="C479" s="4">
        <v>92.533500000000004</v>
      </c>
      <c r="D479" s="1">
        <v>5</v>
      </c>
      <c r="E479">
        <f t="shared" si="4"/>
        <v>6.9659098410225648E-2</v>
      </c>
      <c r="H479" s="4"/>
    </row>
    <row r="480" spans="1:8" x14ac:dyDescent="0.15">
      <c r="A480" s="4">
        <v>225.00019</v>
      </c>
      <c r="B480" s="4">
        <v>224.5</v>
      </c>
      <c r="C480" s="4">
        <v>92.510760000000005</v>
      </c>
      <c r="D480" s="1">
        <v>5</v>
      </c>
      <c r="E480">
        <f t="shared" ref="E480:E543" si="5">($C$216-C480)/$G$216</f>
        <v>7.001935820286613E-2</v>
      </c>
      <c r="H480" s="4"/>
    </row>
    <row r="481" spans="1:8" x14ac:dyDescent="0.15">
      <c r="A481" s="4">
        <v>225.00592</v>
      </c>
      <c r="B481" s="4">
        <v>225</v>
      </c>
      <c r="C481" s="4">
        <v>92.491829999999993</v>
      </c>
      <c r="D481" s="1">
        <v>5</v>
      </c>
      <c r="E481">
        <f t="shared" si="5"/>
        <v>7.0319257845552527E-2</v>
      </c>
      <c r="H481" s="4"/>
    </row>
    <row r="482" spans="1:8" x14ac:dyDescent="0.15">
      <c r="A482" s="4">
        <v>225.00719000000001</v>
      </c>
      <c r="B482" s="4">
        <v>225.5</v>
      </c>
      <c r="C482" s="4">
        <v>92.466300000000004</v>
      </c>
      <c r="D482" s="1">
        <v>5</v>
      </c>
      <c r="E482">
        <f t="shared" si="5"/>
        <v>7.0723718377923142E-2</v>
      </c>
      <c r="H482" s="4"/>
    </row>
    <row r="483" spans="1:8" x14ac:dyDescent="0.15">
      <c r="A483" s="4">
        <v>225.00799000000001</v>
      </c>
      <c r="B483" s="4">
        <v>226</v>
      </c>
      <c r="C483" s="4">
        <v>92.467910000000003</v>
      </c>
      <c r="D483" s="1">
        <v>5</v>
      </c>
      <c r="E483">
        <f t="shared" si="5"/>
        <v>7.0698211857863735E-2</v>
      </c>
      <c r="H483" s="4"/>
    </row>
    <row r="484" spans="1:8" x14ac:dyDescent="0.15">
      <c r="A484" s="4">
        <v>225.00699</v>
      </c>
      <c r="B484" s="4">
        <v>226.5</v>
      </c>
      <c r="C484" s="4">
        <v>92.442670000000007</v>
      </c>
      <c r="D484" s="1">
        <v>5</v>
      </c>
      <c r="E484">
        <f t="shared" si="5"/>
        <v>7.1098078048111968E-2</v>
      </c>
      <c r="H484" s="4"/>
    </row>
    <row r="485" spans="1:8" x14ac:dyDescent="0.15">
      <c r="A485" s="4">
        <v>225.00689</v>
      </c>
      <c r="B485" s="4">
        <v>227</v>
      </c>
      <c r="C485" s="4">
        <v>92.440259999999995</v>
      </c>
      <c r="D485" s="1">
        <v>5</v>
      </c>
      <c r="E485">
        <f t="shared" si="5"/>
        <v>7.1136258615406067E-2</v>
      </c>
      <c r="H485" s="4"/>
    </row>
    <row r="486" spans="1:8" x14ac:dyDescent="0.15">
      <c r="A486" s="4">
        <v>225.00413</v>
      </c>
      <c r="B486" s="4">
        <v>227.5</v>
      </c>
      <c r="C486" s="4">
        <v>92.435169999999999</v>
      </c>
      <c r="D486" s="1">
        <v>5</v>
      </c>
      <c r="E486">
        <f t="shared" si="5"/>
        <v>7.1216897240935467E-2</v>
      </c>
      <c r="H486" s="4"/>
    </row>
    <row r="487" spans="1:8" x14ac:dyDescent="0.15">
      <c r="A487" s="4">
        <v>225.00396000000001</v>
      </c>
      <c r="B487" s="4">
        <v>228</v>
      </c>
      <c r="C487" s="4">
        <v>92.405109999999993</v>
      </c>
      <c r="D487" s="1">
        <v>5</v>
      </c>
      <c r="E487">
        <f t="shared" si="5"/>
        <v>7.1693124565771663E-2</v>
      </c>
      <c r="H487" s="4"/>
    </row>
    <row r="488" spans="1:8" x14ac:dyDescent="0.15">
      <c r="A488" s="4">
        <v>225.00494</v>
      </c>
      <c r="B488" s="4">
        <v>228.5</v>
      </c>
      <c r="C488" s="4">
        <v>92.412670000000006</v>
      </c>
      <c r="D488" s="1">
        <v>5</v>
      </c>
      <c r="E488">
        <f t="shared" si="5"/>
        <v>7.1573354819405507E-2</v>
      </c>
      <c r="H488" s="4"/>
    </row>
    <row r="489" spans="1:8" x14ac:dyDescent="0.15">
      <c r="A489" s="4">
        <v>225.00396000000001</v>
      </c>
      <c r="B489" s="4">
        <v>229</v>
      </c>
      <c r="C489" s="4">
        <v>92.401799999999994</v>
      </c>
      <c r="D489" s="1">
        <v>5</v>
      </c>
      <c r="E489">
        <f t="shared" si="5"/>
        <v>7.1745563436204376E-2</v>
      </c>
      <c r="H489" s="4"/>
    </row>
    <row r="490" spans="1:8" x14ac:dyDescent="0.15">
      <c r="A490" s="4">
        <v>225.00603000000001</v>
      </c>
      <c r="B490" s="4">
        <v>229.5</v>
      </c>
      <c r="C490" s="4">
        <v>92.364090000000004</v>
      </c>
      <c r="D490" s="1">
        <v>5</v>
      </c>
      <c r="E490">
        <f t="shared" si="5"/>
        <v>7.2342986337720169E-2</v>
      </c>
      <c r="H490" s="4"/>
    </row>
    <row r="491" spans="1:8" x14ac:dyDescent="0.15">
      <c r="A491" s="4">
        <v>225.01104000000001</v>
      </c>
      <c r="B491" s="4">
        <v>230</v>
      </c>
      <c r="C491" s="4">
        <v>92.382689999999997</v>
      </c>
      <c r="D491" s="1">
        <v>5</v>
      </c>
      <c r="E491">
        <f t="shared" si="5"/>
        <v>7.204831473951831E-2</v>
      </c>
      <c r="H491" s="4"/>
    </row>
    <row r="492" spans="1:8" x14ac:dyDescent="0.15">
      <c r="A492" s="4">
        <v>225.00389999999999</v>
      </c>
      <c r="B492" s="4">
        <v>230.5</v>
      </c>
      <c r="C492" s="4">
        <v>92.349059999999994</v>
      </c>
      <c r="D492" s="1">
        <v>5</v>
      </c>
      <c r="E492">
        <f t="shared" si="5"/>
        <v>7.2581100000138385E-2</v>
      </c>
      <c r="H492" s="4"/>
    </row>
    <row r="493" spans="1:8" x14ac:dyDescent="0.15">
      <c r="A493" s="4">
        <v>225.00393</v>
      </c>
      <c r="B493" s="4">
        <v>231</v>
      </c>
      <c r="C493" s="4">
        <v>92.350620000000006</v>
      </c>
      <c r="D493" s="1">
        <v>5</v>
      </c>
      <c r="E493">
        <f t="shared" si="5"/>
        <v>7.2556385608030932E-2</v>
      </c>
      <c r="H493" s="4"/>
    </row>
    <row r="494" spans="1:8" x14ac:dyDescent="0.15">
      <c r="A494" s="4">
        <v>225.00296</v>
      </c>
      <c r="B494" s="4">
        <v>231.5</v>
      </c>
      <c r="C494" s="4">
        <v>92.324920000000006</v>
      </c>
      <c r="D494" s="1">
        <v>5</v>
      </c>
      <c r="E494">
        <f t="shared" si="5"/>
        <v>7.2963539375439063E-2</v>
      </c>
      <c r="H494" s="4"/>
    </row>
    <row r="495" spans="1:8" x14ac:dyDescent="0.15">
      <c r="A495" s="4">
        <v>225.00409999999999</v>
      </c>
      <c r="B495" s="4">
        <v>232</v>
      </c>
      <c r="C495" s="4">
        <v>92.329580000000007</v>
      </c>
      <c r="D495" s="1">
        <v>5</v>
      </c>
      <c r="E495">
        <f t="shared" si="5"/>
        <v>7.2889713050298108E-2</v>
      </c>
      <c r="H495" s="4"/>
    </row>
    <row r="496" spans="1:8" x14ac:dyDescent="0.15">
      <c r="A496" s="4">
        <v>225.00496999999999</v>
      </c>
      <c r="B496" s="4">
        <v>232.5</v>
      </c>
      <c r="C496" s="4">
        <v>92.308980000000005</v>
      </c>
      <c r="D496" s="1">
        <v>5</v>
      </c>
      <c r="E496">
        <f t="shared" si="5"/>
        <v>7.3216069766586359E-2</v>
      </c>
      <c r="H496" s="4"/>
    </row>
    <row r="497" spans="1:8" x14ac:dyDescent="0.15">
      <c r="A497" s="4">
        <v>225.00502</v>
      </c>
      <c r="B497" s="4">
        <v>233</v>
      </c>
      <c r="C497" s="4">
        <v>92.294560000000004</v>
      </c>
      <c r="D497" s="1">
        <v>5</v>
      </c>
      <c r="E497">
        <f t="shared" si="5"/>
        <v>7.3444519467988134E-2</v>
      </c>
      <c r="H497" s="4"/>
    </row>
    <row r="498" spans="1:8" x14ac:dyDescent="0.15">
      <c r="A498" s="4">
        <v>225.00700000000001</v>
      </c>
      <c r="B498" s="4">
        <v>233.5</v>
      </c>
      <c r="C498" s="4">
        <v>92.287430000000001</v>
      </c>
      <c r="D498" s="1">
        <v>5</v>
      </c>
      <c r="E498">
        <f t="shared" si="5"/>
        <v>7.3557476913965622E-2</v>
      </c>
      <c r="H498" s="4"/>
    </row>
    <row r="499" spans="1:8" x14ac:dyDescent="0.15">
      <c r="A499" s="4">
        <v>225.00603000000001</v>
      </c>
      <c r="B499" s="4">
        <v>234</v>
      </c>
      <c r="C499" s="4">
        <v>92.263400000000004</v>
      </c>
      <c r="D499" s="1">
        <v>5</v>
      </c>
      <c r="E499">
        <f t="shared" si="5"/>
        <v>7.3938173607771676E-2</v>
      </c>
      <c r="H499" s="4"/>
    </row>
    <row r="500" spans="1:8" x14ac:dyDescent="0.15">
      <c r="A500" s="4">
        <v>225.00095999999999</v>
      </c>
      <c r="B500" s="4">
        <v>234.5</v>
      </c>
      <c r="C500" s="4">
        <v>92.23563</v>
      </c>
      <c r="D500" s="1">
        <v>5</v>
      </c>
      <c r="E500">
        <f t="shared" si="5"/>
        <v>7.4378121472399097E-2</v>
      </c>
      <c r="H500" s="4"/>
    </row>
    <row r="501" spans="1:8" x14ac:dyDescent="0.15">
      <c r="A501" s="4">
        <v>225.00384</v>
      </c>
      <c r="B501" s="4">
        <v>235</v>
      </c>
      <c r="C501" s="4">
        <v>92.239940000000004</v>
      </c>
      <c r="D501" s="1">
        <v>5</v>
      </c>
      <c r="E501">
        <f t="shared" si="5"/>
        <v>7.4309840042923209E-2</v>
      </c>
      <c r="H501" s="4"/>
    </row>
    <row r="502" spans="1:8" x14ac:dyDescent="0.15">
      <c r="A502" s="4">
        <v>225.00303</v>
      </c>
      <c r="B502" s="4">
        <v>235.5</v>
      </c>
      <c r="C502" s="4">
        <v>92.26361</v>
      </c>
      <c r="D502" s="1">
        <v>5</v>
      </c>
      <c r="E502">
        <f t="shared" si="5"/>
        <v>7.3934846670372686E-2</v>
      </c>
      <c r="H502" s="4"/>
    </row>
    <row r="503" spans="1:8" x14ac:dyDescent="0.15">
      <c r="A503" s="4">
        <v>225.00799000000001</v>
      </c>
      <c r="B503" s="4">
        <v>236</v>
      </c>
      <c r="C503" s="4">
        <v>92.212500000000006</v>
      </c>
      <c r="D503" s="1">
        <v>5</v>
      </c>
      <c r="E503">
        <f t="shared" si="5"/>
        <v>7.4744559863066329E-2</v>
      </c>
      <c r="H503" s="4"/>
    </row>
    <row r="504" spans="1:8" x14ac:dyDescent="0.15">
      <c r="A504" s="4">
        <v>225.00695999999999</v>
      </c>
      <c r="B504" s="4">
        <v>236.5</v>
      </c>
      <c r="C504" s="4">
        <v>92.22139</v>
      </c>
      <c r="D504" s="1">
        <v>5</v>
      </c>
      <c r="E504">
        <f t="shared" si="5"/>
        <v>7.4603719513173114E-2</v>
      </c>
      <c r="H504" s="4"/>
    </row>
    <row r="505" spans="1:8" x14ac:dyDescent="0.15">
      <c r="A505" s="4">
        <v>225.00496999999999</v>
      </c>
      <c r="B505" s="4">
        <v>237</v>
      </c>
      <c r="C505" s="4">
        <v>92.196439999999996</v>
      </c>
      <c r="D505" s="1">
        <v>5</v>
      </c>
      <c r="E505">
        <f t="shared" si="5"/>
        <v>7.499899136129895E-2</v>
      </c>
      <c r="H505" s="4"/>
    </row>
    <row r="506" spans="1:8" x14ac:dyDescent="0.15">
      <c r="A506" s="4">
        <v>225.01197999999999</v>
      </c>
      <c r="B506" s="4">
        <v>237.5</v>
      </c>
      <c r="C506" s="4">
        <v>92.179640000000006</v>
      </c>
      <c r="D506" s="1">
        <v>5</v>
      </c>
      <c r="E506">
        <f t="shared" si="5"/>
        <v>7.5265146353223164E-2</v>
      </c>
      <c r="H506" s="4"/>
    </row>
    <row r="507" spans="1:8" x14ac:dyDescent="0.15">
      <c r="A507" s="4">
        <v>225.01009999999999</v>
      </c>
      <c r="B507" s="4">
        <v>238</v>
      </c>
      <c r="C507" s="4">
        <v>92.176580000000001</v>
      </c>
      <c r="D507" s="1">
        <v>5</v>
      </c>
      <c r="E507">
        <f t="shared" si="5"/>
        <v>7.5313624583895178E-2</v>
      </c>
      <c r="H507" s="4"/>
    </row>
    <row r="508" spans="1:8" x14ac:dyDescent="0.15">
      <c r="A508" s="4">
        <v>225.00602000000001</v>
      </c>
      <c r="B508" s="4">
        <v>238.5</v>
      </c>
      <c r="C508" s="4">
        <v>92.161649999999995</v>
      </c>
      <c r="D508" s="1">
        <v>5</v>
      </c>
      <c r="E508">
        <f t="shared" si="5"/>
        <v>7.5550153990409027E-2</v>
      </c>
      <c r="H508" s="4"/>
    </row>
    <row r="509" spans="1:8" x14ac:dyDescent="0.15">
      <c r="A509" s="4">
        <v>225.00395</v>
      </c>
      <c r="B509" s="4">
        <v>239</v>
      </c>
      <c r="C509" s="4">
        <v>92.139139999999998</v>
      </c>
      <c r="D509" s="1">
        <v>5</v>
      </c>
      <c r="E509">
        <f t="shared" si="5"/>
        <v>7.5906769994469547E-2</v>
      </c>
      <c r="H509" s="4"/>
    </row>
    <row r="510" spans="1:8" x14ac:dyDescent="0.15">
      <c r="A510" s="4">
        <v>225.00906000000001</v>
      </c>
      <c r="B510" s="4">
        <v>239.5</v>
      </c>
      <c r="C510" s="4">
        <v>92.144810000000007</v>
      </c>
      <c r="D510" s="1">
        <v>5</v>
      </c>
      <c r="E510">
        <f t="shared" si="5"/>
        <v>7.5816942684694924E-2</v>
      </c>
      <c r="H510" s="4"/>
    </row>
    <row r="511" spans="1:8" x14ac:dyDescent="0.15">
      <c r="A511" s="4">
        <v>225.00391999999999</v>
      </c>
      <c r="B511" s="4">
        <v>240</v>
      </c>
      <c r="C511" s="4">
        <v>92.135670000000005</v>
      </c>
      <c r="D511" s="1">
        <v>5</v>
      </c>
      <c r="E511">
        <f t="shared" si="5"/>
        <v>7.5961743674349061E-2</v>
      </c>
      <c r="H511" s="4"/>
    </row>
    <row r="512" spans="1:8" x14ac:dyDescent="0.15">
      <c r="A512" s="4">
        <v>225.00496000000001</v>
      </c>
      <c r="B512" s="4">
        <v>240.5</v>
      </c>
      <c r="C512" s="4">
        <v>92.135090000000005</v>
      </c>
      <c r="D512" s="1">
        <v>5</v>
      </c>
      <c r="E512">
        <f t="shared" si="5"/>
        <v>7.5970932358594062E-2</v>
      </c>
      <c r="H512" s="4"/>
    </row>
    <row r="513" spans="1:8" x14ac:dyDescent="0.15">
      <c r="A513" s="4">
        <v>225.00296</v>
      </c>
      <c r="B513" s="4">
        <v>241</v>
      </c>
      <c r="C513" s="4">
        <v>92.109949999999998</v>
      </c>
      <c r="D513" s="1">
        <v>5</v>
      </c>
      <c r="E513">
        <f t="shared" si="5"/>
        <v>7.6369214292938151E-2</v>
      </c>
      <c r="H513" s="4"/>
    </row>
    <row r="514" spans="1:8" x14ac:dyDescent="0.15">
      <c r="A514" s="4">
        <v>225.00596999999999</v>
      </c>
      <c r="B514" s="4">
        <v>241.5</v>
      </c>
      <c r="C514" s="4">
        <v>92.095349999999996</v>
      </c>
      <c r="D514" s="1">
        <v>5</v>
      </c>
      <c r="E514">
        <f t="shared" si="5"/>
        <v>7.6600515654967685E-2</v>
      </c>
      <c r="H514" s="4"/>
    </row>
    <row r="515" spans="1:8" x14ac:dyDescent="0.15">
      <c r="A515" s="4">
        <v>225.00385</v>
      </c>
      <c r="B515" s="4">
        <v>242</v>
      </c>
      <c r="C515" s="4">
        <v>92.097160000000002</v>
      </c>
      <c r="D515" s="1">
        <v>5</v>
      </c>
      <c r="E515">
        <f t="shared" si="5"/>
        <v>7.6571840623099546E-2</v>
      </c>
      <c r="H515" s="4"/>
    </row>
    <row r="516" spans="1:8" x14ac:dyDescent="0.15">
      <c r="A516" s="4">
        <v>225.00406000000001</v>
      </c>
      <c r="B516" s="4">
        <v>242.5</v>
      </c>
      <c r="C516" s="4">
        <v>92.090050000000005</v>
      </c>
      <c r="D516" s="1">
        <v>5</v>
      </c>
      <c r="E516">
        <f t="shared" si="5"/>
        <v>7.6684481217896075E-2</v>
      </c>
      <c r="H516" s="4"/>
    </row>
    <row r="517" spans="1:8" x14ac:dyDescent="0.15">
      <c r="A517" s="4">
        <v>225.00399999999999</v>
      </c>
      <c r="B517" s="4">
        <v>243</v>
      </c>
      <c r="C517" s="4">
        <v>92.06268</v>
      </c>
      <c r="D517" s="1">
        <v>5</v>
      </c>
      <c r="E517">
        <f t="shared" si="5"/>
        <v>7.7118092058906268E-2</v>
      </c>
      <c r="H517" s="4"/>
    </row>
    <row r="518" spans="1:8" x14ac:dyDescent="0.15">
      <c r="A518" s="4">
        <v>225.00801999999999</v>
      </c>
      <c r="B518" s="4">
        <v>243.5</v>
      </c>
      <c r="C518" s="4">
        <v>92.051150000000007</v>
      </c>
      <c r="D518" s="1">
        <v>5</v>
      </c>
      <c r="E518">
        <f t="shared" si="5"/>
        <v>7.7300756764673309E-2</v>
      </c>
      <c r="H518" s="4"/>
    </row>
    <row r="519" spans="1:8" x14ac:dyDescent="0.15">
      <c r="A519" s="4">
        <v>225.00594000000001</v>
      </c>
      <c r="B519" s="4">
        <v>244</v>
      </c>
      <c r="C519" s="4">
        <v>92.049499999999995</v>
      </c>
      <c r="D519" s="1">
        <v>5</v>
      </c>
      <c r="E519">
        <f t="shared" si="5"/>
        <v>7.7326896987094648E-2</v>
      </c>
      <c r="H519" s="4"/>
    </row>
    <row r="520" spans="1:8" x14ac:dyDescent="0.15">
      <c r="A520" s="4">
        <v>225.00789</v>
      </c>
      <c r="B520" s="4">
        <v>244.5</v>
      </c>
      <c r="C520" s="4">
        <v>92.033500000000004</v>
      </c>
      <c r="D520" s="1">
        <v>5</v>
      </c>
      <c r="E520">
        <f t="shared" si="5"/>
        <v>7.7580377931784392E-2</v>
      </c>
      <c r="H520" s="4"/>
    </row>
    <row r="521" spans="1:8" x14ac:dyDescent="0.15">
      <c r="A521" s="4">
        <v>225.00496999999999</v>
      </c>
      <c r="B521" s="4">
        <v>245</v>
      </c>
      <c r="C521" s="4">
        <v>92.016769999999994</v>
      </c>
      <c r="D521" s="1">
        <v>5</v>
      </c>
      <c r="E521">
        <f t="shared" si="5"/>
        <v>7.7845423944575901E-2</v>
      </c>
      <c r="H521" s="4"/>
    </row>
    <row r="522" spans="1:8" x14ac:dyDescent="0.15">
      <c r="A522" s="4">
        <v>225.00505999999999</v>
      </c>
      <c r="B522" s="4">
        <v>245.5</v>
      </c>
      <c r="C522" s="4">
        <v>92.015020000000007</v>
      </c>
      <c r="D522" s="1">
        <v>5</v>
      </c>
      <c r="E522">
        <f t="shared" si="5"/>
        <v>7.7873148422901148E-2</v>
      </c>
      <c r="H522" s="4"/>
    </row>
    <row r="523" spans="1:8" x14ac:dyDescent="0.15">
      <c r="A523" s="4">
        <v>225.00209000000001</v>
      </c>
      <c r="B523" s="4">
        <v>246</v>
      </c>
      <c r="C523" s="4">
        <v>91.980379999999997</v>
      </c>
      <c r="D523" s="1">
        <v>5</v>
      </c>
      <c r="E523">
        <f t="shared" si="5"/>
        <v>7.8421934668154891E-2</v>
      </c>
      <c r="H523" s="4"/>
    </row>
    <row r="524" spans="1:8" x14ac:dyDescent="0.15">
      <c r="A524" s="4">
        <v>225.00300999999999</v>
      </c>
      <c r="B524" s="4">
        <v>246.5</v>
      </c>
      <c r="C524" s="4">
        <v>91.987799999999993</v>
      </c>
      <c r="D524" s="1">
        <v>5</v>
      </c>
      <c r="E524">
        <f t="shared" si="5"/>
        <v>7.8304382880055021E-2</v>
      </c>
      <c r="H524" s="4"/>
    </row>
    <row r="525" spans="1:8" x14ac:dyDescent="0.15">
      <c r="A525" s="4">
        <v>225.00405000000001</v>
      </c>
      <c r="B525" s="4">
        <v>247</v>
      </c>
      <c r="C525" s="4">
        <v>91.980369999999994</v>
      </c>
      <c r="D525" s="1">
        <v>5</v>
      </c>
      <c r="E525">
        <f t="shared" si="5"/>
        <v>7.8422093093745371E-2</v>
      </c>
      <c r="H525" s="4"/>
    </row>
    <row r="526" spans="1:8" x14ac:dyDescent="0.15">
      <c r="A526" s="4">
        <v>225.00209000000001</v>
      </c>
      <c r="B526" s="4">
        <v>247.5</v>
      </c>
      <c r="C526" s="4">
        <v>91.968950000000007</v>
      </c>
      <c r="D526" s="1">
        <v>5</v>
      </c>
      <c r="E526">
        <f t="shared" si="5"/>
        <v>7.8603015118017566E-2</v>
      </c>
      <c r="H526" s="4"/>
    </row>
    <row r="527" spans="1:8" x14ac:dyDescent="0.15">
      <c r="A527" s="4">
        <v>225.00194999999999</v>
      </c>
      <c r="B527" s="4">
        <v>248</v>
      </c>
      <c r="C527" s="4">
        <v>91.963719999999995</v>
      </c>
      <c r="D527" s="1">
        <v>5</v>
      </c>
      <c r="E527">
        <f t="shared" si="5"/>
        <v>7.8685871701813265E-2</v>
      </c>
      <c r="H527" s="4"/>
    </row>
    <row r="528" spans="1:8" x14ac:dyDescent="0.15">
      <c r="A528" s="4">
        <v>225.00588999999999</v>
      </c>
      <c r="B528" s="4">
        <v>248.5</v>
      </c>
      <c r="C528" s="4">
        <v>91.963470000000001</v>
      </c>
      <c r="D528" s="1">
        <v>5</v>
      </c>
      <c r="E528">
        <f t="shared" si="5"/>
        <v>7.8689832341573937E-2</v>
      </c>
      <c r="H528" s="4"/>
    </row>
    <row r="529" spans="1:8" x14ac:dyDescent="0.15">
      <c r="A529" s="4">
        <v>225.00697</v>
      </c>
      <c r="B529" s="4">
        <v>249</v>
      </c>
      <c r="C529" s="4">
        <v>91.930639999999997</v>
      </c>
      <c r="D529" s="1">
        <v>5</v>
      </c>
      <c r="E529">
        <f t="shared" si="5"/>
        <v>7.9209943554959555E-2</v>
      </c>
      <c r="H529" s="4"/>
    </row>
    <row r="530" spans="1:8" x14ac:dyDescent="0.15">
      <c r="A530" s="4">
        <v>225.00201999999999</v>
      </c>
      <c r="B530" s="4">
        <v>249.5</v>
      </c>
      <c r="C530" s="4">
        <v>91.908159999999995</v>
      </c>
      <c r="D530" s="1">
        <v>5</v>
      </c>
      <c r="E530">
        <f t="shared" si="5"/>
        <v>7.9566084282248858E-2</v>
      </c>
      <c r="H530" s="4"/>
    </row>
    <row r="531" spans="1:8" x14ac:dyDescent="0.15">
      <c r="A531" s="4">
        <v>225.01098999999999</v>
      </c>
      <c r="B531" s="4">
        <v>250</v>
      </c>
      <c r="C531" s="4">
        <v>91.91995</v>
      </c>
      <c r="D531" s="1">
        <v>5</v>
      </c>
      <c r="E531">
        <f t="shared" si="5"/>
        <v>7.937930051113043E-2</v>
      </c>
      <c r="H531" s="4"/>
    </row>
    <row r="532" spans="1:8" x14ac:dyDescent="0.15">
      <c r="A532" s="4">
        <v>225.00611000000001</v>
      </c>
      <c r="B532" s="4">
        <v>250.5</v>
      </c>
      <c r="C532" s="4">
        <v>91.933930000000004</v>
      </c>
      <c r="D532" s="1">
        <v>5</v>
      </c>
      <c r="E532">
        <f t="shared" si="5"/>
        <v>7.9157821535707593E-2</v>
      </c>
      <c r="H532" s="4"/>
    </row>
    <row r="533" spans="1:8" x14ac:dyDescent="0.15">
      <c r="A533" s="4">
        <v>225.00584000000001</v>
      </c>
      <c r="B533" s="4">
        <v>251</v>
      </c>
      <c r="C533" s="4">
        <v>91.875500000000002</v>
      </c>
      <c r="D533" s="1">
        <v>5</v>
      </c>
      <c r="E533">
        <f t="shared" si="5"/>
        <v>8.0083502260596962E-2</v>
      </c>
      <c r="H533" s="4"/>
    </row>
    <row r="534" spans="1:8" x14ac:dyDescent="0.15">
      <c r="A534" s="4">
        <v>225.00709000000001</v>
      </c>
      <c r="B534" s="4">
        <v>251.5</v>
      </c>
      <c r="C534" s="4">
        <v>91.896460000000005</v>
      </c>
      <c r="D534" s="1">
        <v>5</v>
      </c>
      <c r="E534">
        <f t="shared" si="5"/>
        <v>7.9751442223053179E-2</v>
      </c>
      <c r="H534" s="4"/>
    </row>
    <row r="535" spans="1:8" x14ac:dyDescent="0.15">
      <c r="A535" s="4">
        <v>225.00297</v>
      </c>
      <c r="B535" s="4">
        <v>252</v>
      </c>
      <c r="C535" s="4">
        <v>91.883470000000003</v>
      </c>
      <c r="D535" s="1">
        <v>5</v>
      </c>
      <c r="E535">
        <f t="shared" si="5"/>
        <v>7.9957237065023321E-2</v>
      </c>
      <c r="H535" s="4"/>
    </row>
    <row r="536" spans="1:8" x14ac:dyDescent="0.15">
      <c r="A536" s="4">
        <v>225.00595999999999</v>
      </c>
      <c r="B536" s="4">
        <v>252.5</v>
      </c>
      <c r="C536" s="4">
        <v>91.874030000000005</v>
      </c>
      <c r="D536" s="1">
        <v>5</v>
      </c>
      <c r="E536">
        <f t="shared" si="5"/>
        <v>8.0106790822390306E-2</v>
      </c>
      <c r="H536" s="4"/>
    </row>
    <row r="537" spans="1:8" x14ac:dyDescent="0.15">
      <c r="A537" s="4">
        <v>225.00586000000001</v>
      </c>
      <c r="B537" s="4">
        <v>253</v>
      </c>
      <c r="C537" s="4">
        <v>91.866879999999995</v>
      </c>
      <c r="D537" s="1">
        <v>5</v>
      </c>
      <c r="E537">
        <f t="shared" si="5"/>
        <v>8.0220065119548753E-2</v>
      </c>
      <c r="H537" s="4"/>
    </row>
    <row r="538" spans="1:8" x14ac:dyDescent="0.15">
      <c r="A538" s="4">
        <v>225.00899000000001</v>
      </c>
      <c r="B538" s="4">
        <v>253.5</v>
      </c>
      <c r="C538" s="4">
        <v>91.861980000000003</v>
      </c>
      <c r="D538" s="1">
        <v>5</v>
      </c>
      <c r="E538">
        <f t="shared" si="5"/>
        <v>8.0297693658859914E-2</v>
      </c>
      <c r="H538" s="4"/>
    </row>
    <row r="539" spans="1:8" x14ac:dyDescent="0.15">
      <c r="A539" s="4">
        <v>225.00594000000001</v>
      </c>
      <c r="B539" s="4">
        <v>254</v>
      </c>
      <c r="C539" s="4">
        <v>91.830190000000002</v>
      </c>
      <c r="D539" s="1">
        <v>5</v>
      </c>
      <c r="E539">
        <f t="shared" si="5"/>
        <v>8.080132861084062E-2</v>
      </c>
      <c r="H539" s="4"/>
    </row>
    <row r="540" spans="1:8" x14ac:dyDescent="0.15">
      <c r="A540" s="4">
        <v>225.00197</v>
      </c>
      <c r="B540" s="4">
        <v>254.5</v>
      </c>
      <c r="C540" s="4">
        <v>91.843109999999996</v>
      </c>
      <c r="D540" s="1">
        <v>5</v>
      </c>
      <c r="E540">
        <f t="shared" si="5"/>
        <v>8.0596642748003641E-2</v>
      </c>
      <c r="H540" s="4"/>
    </row>
    <row r="541" spans="1:8" x14ac:dyDescent="0.15">
      <c r="A541" s="4">
        <v>225.00706</v>
      </c>
      <c r="B541" s="4">
        <v>255</v>
      </c>
      <c r="C541" s="4">
        <v>91.834130000000002</v>
      </c>
      <c r="D541" s="1">
        <v>5</v>
      </c>
      <c r="E541">
        <f t="shared" si="5"/>
        <v>8.0738908928210742E-2</v>
      </c>
      <c r="H541" s="4"/>
    </row>
    <row r="542" spans="1:8" x14ac:dyDescent="0.15">
      <c r="A542" s="4">
        <v>225.00399999999999</v>
      </c>
      <c r="B542" s="4">
        <v>255.5</v>
      </c>
      <c r="C542" s="4">
        <v>91.804950000000005</v>
      </c>
      <c r="D542" s="1">
        <v>5</v>
      </c>
      <c r="E542">
        <f t="shared" si="5"/>
        <v>8.1201194801088852E-2</v>
      </c>
      <c r="H542" s="4"/>
    </row>
    <row r="543" spans="1:8" x14ac:dyDescent="0.15">
      <c r="A543" s="4">
        <v>225.00693000000001</v>
      </c>
      <c r="B543" s="4">
        <v>256</v>
      </c>
      <c r="C543" s="4">
        <v>91.808409999999995</v>
      </c>
      <c r="D543" s="1">
        <v>5</v>
      </c>
      <c r="E543">
        <f t="shared" si="5"/>
        <v>8.1146379546799832E-2</v>
      </c>
      <c r="H543" s="4"/>
    </row>
    <row r="544" spans="1:8" x14ac:dyDescent="0.15">
      <c r="A544" s="4">
        <v>225.00596999999999</v>
      </c>
      <c r="B544" s="4">
        <v>256.5</v>
      </c>
      <c r="C544" s="4">
        <v>91.803479999999993</v>
      </c>
      <c r="D544" s="1">
        <v>5</v>
      </c>
      <c r="E544">
        <f t="shared" ref="E544:E607" si="6">($C$216-C544)/$G$216</f>
        <v>8.1224483362882433E-2</v>
      </c>
      <c r="H544" s="4"/>
    </row>
    <row r="545" spans="1:8" x14ac:dyDescent="0.15">
      <c r="A545" s="4">
        <v>225.00595999999999</v>
      </c>
      <c r="B545" s="4">
        <v>257</v>
      </c>
      <c r="C545" s="4">
        <v>91.792069999999995</v>
      </c>
      <c r="D545" s="1">
        <v>5</v>
      </c>
      <c r="E545">
        <f t="shared" si="6"/>
        <v>8.140524696156437E-2</v>
      </c>
      <c r="H545" s="4"/>
    </row>
    <row r="546" spans="1:8" x14ac:dyDescent="0.15">
      <c r="A546" s="4">
        <v>225.00108</v>
      </c>
      <c r="B546" s="4">
        <v>257.5</v>
      </c>
      <c r="C546" s="4">
        <v>91.762020000000007</v>
      </c>
      <c r="D546" s="1">
        <v>5</v>
      </c>
      <c r="E546">
        <f t="shared" si="6"/>
        <v>8.1881315860809864E-2</v>
      </c>
      <c r="H546" s="4"/>
    </row>
    <row r="547" spans="1:8" x14ac:dyDescent="0.15">
      <c r="A547" s="4">
        <v>225.00304</v>
      </c>
      <c r="B547" s="4">
        <v>258</v>
      </c>
      <c r="C547" s="4">
        <v>91.751739999999998</v>
      </c>
      <c r="D547" s="1">
        <v>5</v>
      </c>
      <c r="E547">
        <f t="shared" si="6"/>
        <v>8.2044177367773252E-2</v>
      </c>
      <c r="H547" s="4"/>
    </row>
    <row r="548" spans="1:8" x14ac:dyDescent="0.15">
      <c r="A548" s="4">
        <v>225.00686999999999</v>
      </c>
      <c r="B548" s="4">
        <v>258.5</v>
      </c>
      <c r="C548" s="4">
        <v>91.762680000000003</v>
      </c>
      <c r="D548" s="1">
        <v>5</v>
      </c>
      <c r="E548">
        <f t="shared" si="6"/>
        <v>8.187085977184147E-2</v>
      </c>
      <c r="H548" s="4"/>
    </row>
    <row r="549" spans="1:8" x14ac:dyDescent="0.15">
      <c r="A549" s="4">
        <v>225.00505000000001</v>
      </c>
      <c r="B549" s="4">
        <v>259</v>
      </c>
      <c r="C549" s="4">
        <v>91.742710000000002</v>
      </c>
      <c r="D549" s="1">
        <v>5</v>
      </c>
      <c r="E549">
        <f t="shared" si="6"/>
        <v>8.218723567593253E-2</v>
      </c>
      <c r="H549" s="4"/>
    </row>
    <row r="550" spans="1:8" x14ac:dyDescent="0.15">
      <c r="A550" s="4">
        <v>225.00496000000001</v>
      </c>
      <c r="B550" s="4">
        <v>259.5</v>
      </c>
      <c r="C550" s="4">
        <v>91.726399999999998</v>
      </c>
      <c r="D550" s="1">
        <v>5</v>
      </c>
      <c r="E550">
        <f t="shared" si="6"/>
        <v>8.2445627813925851E-2</v>
      </c>
      <c r="H550" s="4"/>
    </row>
    <row r="551" spans="1:8" x14ac:dyDescent="0.15">
      <c r="A551" s="4">
        <v>225.00803999999999</v>
      </c>
      <c r="B551" s="4">
        <v>260</v>
      </c>
      <c r="C551" s="4">
        <v>91.73339</v>
      </c>
      <c r="D551" s="1">
        <v>5</v>
      </c>
      <c r="E551">
        <f t="shared" si="6"/>
        <v>8.2334888326214425E-2</v>
      </c>
      <c r="H551" s="4"/>
    </row>
    <row r="552" spans="1:8" x14ac:dyDescent="0.15">
      <c r="A552" s="4">
        <v>225.00889000000001</v>
      </c>
      <c r="B552" s="4">
        <v>260.5</v>
      </c>
      <c r="C552" s="4">
        <v>91.697149999999993</v>
      </c>
      <c r="D552" s="1">
        <v>5</v>
      </c>
      <c r="E552">
        <f t="shared" si="6"/>
        <v>8.290902266593711E-2</v>
      </c>
      <c r="H552" s="4"/>
    </row>
    <row r="553" spans="1:8" x14ac:dyDescent="0.15">
      <c r="A553" s="4">
        <v>225.00403</v>
      </c>
      <c r="B553" s="4">
        <v>261</v>
      </c>
      <c r="C553" s="4">
        <v>91.69717</v>
      </c>
      <c r="D553" s="1">
        <v>5</v>
      </c>
      <c r="E553">
        <f t="shared" si="6"/>
        <v>8.2908705814756137E-2</v>
      </c>
      <c r="H553" s="4"/>
    </row>
    <row r="554" spans="1:8" x14ac:dyDescent="0.15">
      <c r="A554" s="4">
        <v>225.00393</v>
      </c>
      <c r="B554" s="4">
        <v>261.5</v>
      </c>
      <c r="C554" s="4">
        <v>91.680899999999994</v>
      </c>
      <c r="D554" s="1">
        <v>5</v>
      </c>
      <c r="E554">
        <f t="shared" si="6"/>
        <v>8.3166464250387748E-2</v>
      </c>
      <c r="H554" s="4"/>
    </row>
    <row r="555" spans="1:8" x14ac:dyDescent="0.15">
      <c r="A555" s="4">
        <v>225.00395</v>
      </c>
      <c r="B555" s="4">
        <v>262</v>
      </c>
      <c r="C555" s="4">
        <v>91.681020000000004</v>
      </c>
      <c r="D555" s="1">
        <v>5</v>
      </c>
      <c r="E555">
        <f t="shared" si="6"/>
        <v>8.3164563143302422E-2</v>
      </c>
      <c r="H555" s="4"/>
    </row>
    <row r="556" spans="1:8" x14ac:dyDescent="0.15">
      <c r="A556" s="4">
        <v>225.00402</v>
      </c>
      <c r="B556" s="4">
        <v>262.5</v>
      </c>
      <c r="C556" s="4">
        <v>91.662480000000002</v>
      </c>
      <c r="D556" s="1">
        <v>5</v>
      </c>
      <c r="E556">
        <f t="shared" si="6"/>
        <v>8.3458284187961848E-2</v>
      </c>
      <c r="H556" s="4"/>
    </row>
    <row r="557" spans="1:8" x14ac:dyDescent="0.15">
      <c r="A557" s="4">
        <v>225.00798</v>
      </c>
      <c r="B557" s="4">
        <v>263</v>
      </c>
      <c r="C557" s="4">
        <v>91.664699999999996</v>
      </c>
      <c r="D557" s="1">
        <v>5</v>
      </c>
      <c r="E557">
        <f t="shared" si="6"/>
        <v>8.3423113706886223E-2</v>
      </c>
      <c r="H557" s="4"/>
    </row>
    <row r="558" spans="1:8" x14ac:dyDescent="0.15">
      <c r="A558" s="4">
        <v>225.00699</v>
      </c>
      <c r="B558" s="4">
        <v>263.5</v>
      </c>
      <c r="C558" s="4">
        <v>91.655289999999994</v>
      </c>
      <c r="D558" s="1">
        <v>5</v>
      </c>
      <c r="E558">
        <f t="shared" si="6"/>
        <v>8.3572192187481992E-2</v>
      </c>
      <c r="H558" s="4"/>
    </row>
    <row r="559" spans="1:8" x14ac:dyDescent="0.15">
      <c r="A559" s="4">
        <v>225.00399999999999</v>
      </c>
      <c r="B559" s="4">
        <v>264</v>
      </c>
      <c r="C559" s="4">
        <v>91.611360000000005</v>
      </c>
      <c r="D559" s="1">
        <v>5</v>
      </c>
      <c r="E559">
        <f t="shared" si="6"/>
        <v>8.426815580624597E-2</v>
      </c>
      <c r="H559" s="4"/>
    </row>
    <row r="560" spans="1:8" x14ac:dyDescent="0.15">
      <c r="A560" s="4">
        <v>225.00496999999999</v>
      </c>
      <c r="B560" s="4">
        <v>264.5</v>
      </c>
      <c r="C560" s="4">
        <v>91.631640000000004</v>
      </c>
      <c r="D560" s="1">
        <v>5</v>
      </c>
      <c r="E560">
        <f t="shared" si="6"/>
        <v>8.3946868708851555E-2</v>
      </c>
      <c r="H560" s="4"/>
    </row>
    <row r="561" spans="1:8" x14ac:dyDescent="0.15">
      <c r="A561" s="4">
        <v>225.00307000000001</v>
      </c>
      <c r="B561" s="4">
        <v>265</v>
      </c>
      <c r="C561" s="4">
        <v>91.593649999999997</v>
      </c>
      <c r="D561" s="1">
        <v>5</v>
      </c>
      <c r="E561">
        <f t="shared" si="6"/>
        <v>8.4548727526899708E-2</v>
      </c>
      <c r="H561" s="4"/>
    </row>
    <row r="562" spans="1:8" x14ac:dyDescent="0.15">
      <c r="A562" s="4">
        <v>225.00498999999999</v>
      </c>
      <c r="B562" s="4">
        <v>265.5</v>
      </c>
      <c r="C562" s="4">
        <v>91.604140000000001</v>
      </c>
      <c r="D562" s="1">
        <v>5</v>
      </c>
      <c r="E562">
        <f t="shared" si="6"/>
        <v>8.4382539082537344E-2</v>
      </c>
      <c r="H562" s="4"/>
    </row>
    <row r="563" spans="1:8" x14ac:dyDescent="0.15">
      <c r="A563" s="4">
        <v>225.00403</v>
      </c>
      <c r="B563" s="4">
        <v>266</v>
      </c>
      <c r="C563" s="4">
        <v>91.572789999999998</v>
      </c>
      <c r="D563" s="1">
        <v>5</v>
      </c>
      <c r="E563">
        <f t="shared" si="6"/>
        <v>8.4879203308539125E-2</v>
      </c>
      <c r="H563" s="4"/>
    </row>
    <row r="564" spans="1:8" x14ac:dyDescent="0.15">
      <c r="A564" s="4">
        <v>225.00110000000001</v>
      </c>
      <c r="B564" s="4">
        <v>266.5</v>
      </c>
      <c r="C564" s="4">
        <v>91.560280000000006</v>
      </c>
      <c r="D564" s="1">
        <v>5</v>
      </c>
      <c r="E564">
        <f t="shared" si="6"/>
        <v>8.5077393722168396E-2</v>
      </c>
      <c r="H564" s="4"/>
    </row>
    <row r="565" spans="1:8" x14ac:dyDescent="0.15">
      <c r="A565" s="4">
        <v>225.00188</v>
      </c>
      <c r="B565" s="4">
        <v>267</v>
      </c>
      <c r="C565" s="4">
        <v>91.560249999999996</v>
      </c>
      <c r="D565" s="1">
        <v>5</v>
      </c>
      <c r="E565">
        <f t="shared" si="6"/>
        <v>8.5077868998939835E-2</v>
      </c>
      <c r="H565" s="4"/>
    </row>
    <row r="566" spans="1:8" x14ac:dyDescent="0.15">
      <c r="A566" s="4">
        <v>225.001</v>
      </c>
      <c r="B566" s="4">
        <v>267.5</v>
      </c>
      <c r="C566" s="4">
        <v>91.545550000000006</v>
      </c>
      <c r="D566" s="1">
        <v>5</v>
      </c>
      <c r="E566">
        <f t="shared" si="6"/>
        <v>8.5310754616873513E-2</v>
      </c>
      <c r="H566" s="4"/>
    </row>
    <row r="567" spans="1:8" x14ac:dyDescent="0.15">
      <c r="A567" s="4">
        <v>225.00604999999999</v>
      </c>
      <c r="B567" s="4">
        <v>268</v>
      </c>
      <c r="C567" s="4">
        <v>91.521569999999997</v>
      </c>
      <c r="D567" s="1">
        <v>5</v>
      </c>
      <c r="E567">
        <f t="shared" si="6"/>
        <v>8.5690659182727613E-2</v>
      </c>
      <c r="H567" s="4"/>
    </row>
    <row r="568" spans="1:8" x14ac:dyDescent="0.15">
      <c r="A568" s="4">
        <v>225.00585000000001</v>
      </c>
      <c r="B568" s="4">
        <v>268.5</v>
      </c>
      <c r="C568" s="4">
        <v>91.535979999999995</v>
      </c>
      <c r="D568" s="1">
        <v>5</v>
      </c>
      <c r="E568">
        <f t="shared" si="6"/>
        <v>8.5462367906916317E-2</v>
      </c>
      <c r="H568" s="4"/>
    </row>
    <row r="569" spans="1:8" x14ac:dyDescent="0.15">
      <c r="A569" s="4">
        <v>225.00797</v>
      </c>
      <c r="B569" s="4">
        <v>269</v>
      </c>
      <c r="C569" s="4">
        <v>91.521550000000005</v>
      </c>
      <c r="D569" s="1">
        <v>5</v>
      </c>
      <c r="E569">
        <f t="shared" si="6"/>
        <v>8.569097603390835E-2</v>
      </c>
      <c r="H569" s="4"/>
    </row>
    <row r="570" spans="1:8" x14ac:dyDescent="0.15">
      <c r="A570" s="4">
        <v>225.00507999999999</v>
      </c>
      <c r="B570" s="4">
        <v>269.5</v>
      </c>
      <c r="C570" s="4">
        <v>91.504230000000007</v>
      </c>
      <c r="D570" s="1">
        <v>5</v>
      </c>
      <c r="E570">
        <f t="shared" si="6"/>
        <v>8.5965369156535118E-2</v>
      </c>
      <c r="H570" s="4"/>
    </row>
    <row r="571" spans="1:8" x14ac:dyDescent="0.15">
      <c r="A571" s="4">
        <v>225.00399999999999</v>
      </c>
      <c r="B571" s="4">
        <v>270</v>
      </c>
      <c r="C571" s="4">
        <v>91.489239999999995</v>
      </c>
      <c r="D571" s="1">
        <v>5</v>
      </c>
      <c r="E571">
        <f t="shared" si="6"/>
        <v>8.6202849116591623E-2</v>
      </c>
      <c r="H571" s="4"/>
    </row>
    <row r="572" spans="1:8" x14ac:dyDescent="0.15">
      <c r="A572" s="4">
        <v>225.00518</v>
      </c>
      <c r="B572" s="4">
        <v>270.5</v>
      </c>
      <c r="C572" s="4">
        <v>91.476209999999995</v>
      </c>
      <c r="D572" s="1">
        <v>5</v>
      </c>
      <c r="E572">
        <f t="shared" si="6"/>
        <v>8.6409277660923461E-2</v>
      </c>
      <c r="H572" s="4"/>
    </row>
    <row r="573" spans="1:8" x14ac:dyDescent="0.15">
      <c r="A573" s="4">
        <v>225.01002</v>
      </c>
      <c r="B573" s="4">
        <v>271</v>
      </c>
      <c r="C573" s="4">
        <v>91.461619999999996</v>
      </c>
      <c r="D573" s="1">
        <v>5</v>
      </c>
      <c r="E573">
        <f t="shared" si="6"/>
        <v>8.6640420597362516E-2</v>
      </c>
      <c r="H573" s="4"/>
    </row>
    <row r="574" spans="1:8" x14ac:dyDescent="0.15">
      <c r="A574" s="4">
        <v>225.00802999999999</v>
      </c>
      <c r="B574" s="4">
        <v>271.5</v>
      </c>
      <c r="C574" s="4">
        <v>91.430509999999998</v>
      </c>
      <c r="D574" s="1">
        <v>5</v>
      </c>
      <c r="E574">
        <f t="shared" si="6"/>
        <v>8.7133282609193868E-2</v>
      </c>
      <c r="H574" s="4"/>
    </row>
    <row r="575" spans="1:8" x14ac:dyDescent="0.15">
      <c r="A575" s="4">
        <v>225.00609</v>
      </c>
      <c r="B575" s="4">
        <v>272</v>
      </c>
      <c r="C575" s="4">
        <v>91.437839999999994</v>
      </c>
      <c r="D575" s="1">
        <v>5</v>
      </c>
      <c r="E575">
        <f t="shared" si="6"/>
        <v>8.7017156651407884E-2</v>
      </c>
      <c r="H575" s="4"/>
    </row>
    <row r="576" spans="1:8" x14ac:dyDescent="0.15">
      <c r="A576" s="4">
        <v>225.00797</v>
      </c>
      <c r="B576" s="4">
        <v>272.5</v>
      </c>
      <c r="C576" s="4">
        <v>91.403670000000005</v>
      </c>
      <c r="D576" s="1">
        <v>5</v>
      </c>
      <c r="E576">
        <f t="shared" si="6"/>
        <v>8.7558496893911028E-2</v>
      </c>
      <c r="H576" s="4"/>
    </row>
    <row r="577" spans="1:8" x14ac:dyDescent="0.15">
      <c r="A577" s="4">
        <v>225.00692000000001</v>
      </c>
      <c r="B577" s="4">
        <v>273</v>
      </c>
      <c r="C577" s="4">
        <v>91.412689999999998</v>
      </c>
      <c r="D577" s="1">
        <v>5</v>
      </c>
      <c r="E577">
        <f t="shared" si="6"/>
        <v>8.741559701134223E-2</v>
      </c>
      <c r="H577" s="4"/>
    </row>
    <row r="578" spans="1:8" x14ac:dyDescent="0.15">
      <c r="A578" s="4">
        <v>225.00326999999999</v>
      </c>
      <c r="B578" s="4">
        <v>273.5</v>
      </c>
      <c r="C578" s="4">
        <v>91.398910000000001</v>
      </c>
      <c r="D578" s="1">
        <v>5</v>
      </c>
      <c r="E578">
        <f t="shared" si="6"/>
        <v>8.7633907474956349E-2</v>
      </c>
      <c r="H578" s="4"/>
    </row>
    <row r="579" spans="1:8" x14ac:dyDescent="0.15">
      <c r="A579" s="4">
        <v>225.00212999999999</v>
      </c>
      <c r="B579" s="4">
        <v>274</v>
      </c>
      <c r="C579" s="4">
        <v>91.394239999999996</v>
      </c>
      <c r="D579" s="1">
        <v>5</v>
      </c>
      <c r="E579">
        <f t="shared" si="6"/>
        <v>8.770789222568777E-2</v>
      </c>
      <c r="H579" s="4"/>
    </row>
    <row r="580" spans="1:8" x14ac:dyDescent="0.15">
      <c r="A580" s="4">
        <v>225.00595999999999</v>
      </c>
      <c r="B580" s="4">
        <v>274.5</v>
      </c>
      <c r="C580" s="4">
        <v>91.380619999999993</v>
      </c>
      <c r="D580" s="1">
        <v>5</v>
      </c>
      <c r="E580">
        <f t="shared" si="6"/>
        <v>8.7923667879855075E-2</v>
      </c>
      <c r="H580" s="4"/>
    </row>
    <row r="581" spans="1:8" x14ac:dyDescent="0.15">
      <c r="A581" s="4">
        <v>225.00509</v>
      </c>
      <c r="B581" s="4">
        <v>275</v>
      </c>
      <c r="C581" s="4">
        <v>91.353579999999994</v>
      </c>
      <c r="D581" s="1">
        <v>5</v>
      </c>
      <c r="E581">
        <f t="shared" si="6"/>
        <v>8.8352050676380967E-2</v>
      </c>
      <c r="H581" s="4"/>
    </row>
    <row r="582" spans="1:8" x14ac:dyDescent="0.15">
      <c r="A582" s="4">
        <v>225.00694999999999</v>
      </c>
      <c r="B582" s="4">
        <v>275.5</v>
      </c>
      <c r="C582" s="4">
        <v>91.329580000000007</v>
      </c>
      <c r="D582" s="1">
        <v>5</v>
      </c>
      <c r="E582">
        <f t="shared" si="6"/>
        <v>8.8732272093415582E-2</v>
      </c>
      <c r="H582" s="4"/>
    </row>
    <row r="583" spans="1:8" x14ac:dyDescent="0.15">
      <c r="A583" s="4">
        <v>225.00507999999999</v>
      </c>
      <c r="B583" s="4">
        <v>276</v>
      </c>
      <c r="C583" s="4">
        <v>91.353719999999996</v>
      </c>
      <c r="D583" s="1">
        <v>5</v>
      </c>
      <c r="E583">
        <f t="shared" si="6"/>
        <v>8.8349832718114904E-2</v>
      </c>
      <c r="H583" s="4"/>
    </row>
    <row r="584" spans="1:8" x14ac:dyDescent="0.15">
      <c r="A584" s="4">
        <v>225.00495000000001</v>
      </c>
      <c r="B584" s="4">
        <v>276.5</v>
      </c>
      <c r="C584" s="4">
        <v>91.300759999999997</v>
      </c>
      <c r="D584" s="1">
        <v>5</v>
      </c>
      <c r="E584">
        <f t="shared" si="6"/>
        <v>8.9188854645038382E-2</v>
      </c>
      <c r="H584" s="4"/>
    </row>
    <row r="585" spans="1:8" x14ac:dyDescent="0.15">
      <c r="A585" s="4">
        <v>225.00004000000001</v>
      </c>
      <c r="B585" s="4">
        <v>277</v>
      </c>
      <c r="C585" s="4">
        <v>91.304670000000002</v>
      </c>
      <c r="D585" s="1">
        <v>5</v>
      </c>
      <c r="E585">
        <f t="shared" si="6"/>
        <v>8.9126910239179721E-2</v>
      </c>
      <c r="H585" s="4"/>
    </row>
    <row r="586" spans="1:8" x14ac:dyDescent="0.15">
      <c r="A586" s="4">
        <v>225.00103999999999</v>
      </c>
      <c r="B586" s="4">
        <v>277.5</v>
      </c>
      <c r="C586" s="4">
        <v>91.286090000000002</v>
      </c>
      <c r="D586" s="1">
        <v>5</v>
      </c>
      <c r="E586">
        <f t="shared" si="6"/>
        <v>8.9421264986200844E-2</v>
      </c>
      <c r="H586" s="4"/>
    </row>
    <row r="587" spans="1:8" x14ac:dyDescent="0.15">
      <c r="A587" s="4">
        <v>225.00505999999999</v>
      </c>
      <c r="B587" s="4">
        <v>278</v>
      </c>
      <c r="C587" s="4">
        <v>91.304310000000001</v>
      </c>
      <c r="D587" s="1">
        <v>5</v>
      </c>
      <c r="E587">
        <f t="shared" si="6"/>
        <v>8.9132613560435253E-2</v>
      </c>
      <c r="H587" s="4"/>
    </row>
    <row r="588" spans="1:8" x14ac:dyDescent="0.15">
      <c r="A588" s="4">
        <v>225.00715</v>
      </c>
      <c r="B588" s="4">
        <v>278.5</v>
      </c>
      <c r="C588" s="4">
        <v>91.273399999999995</v>
      </c>
      <c r="D588" s="1">
        <v>5</v>
      </c>
      <c r="E588">
        <f t="shared" si="6"/>
        <v>8.9622307060458109E-2</v>
      </c>
      <c r="H588" s="4"/>
    </row>
    <row r="589" spans="1:8" x14ac:dyDescent="0.15">
      <c r="A589" s="4">
        <v>225.0061</v>
      </c>
      <c r="B589" s="4">
        <v>279</v>
      </c>
      <c r="C589" s="4">
        <v>91.256659999999997</v>
      </c>
      <c r="D589" s="1">
        <v>5</v>
      </c>
      <c r="E589">
        <f t="shared" si="6"/>
        <v>8.9887511498839862E-2</v>
      </c>
      <c r="H589" s="4"/>
    </row>
    <row r="590" spans="1:8" x14ac:dyDescent="0.15">
      <c r="A590" s="4">
        <v>225.00712999999999</v>
      </c>
      <c r="B590" s="4">
        <v>279.5</v>
      </c>
      <c r="C590" s="4">
        <v>91.25564</v>
      </c>
      <c r="D590" s="1">
        <v>5</v>
      </c>
      <c r="E590">
        <f t="shared" si="6"/>
        <v>8.9903670909063801E-2</v>
      </c>
      <c r="H590" s="4"/>
    </row>
    <row r="591" spans="1:8" x14ac:dyDescent="0.15">
      <c r="A591" s="4">
        <v>225.00292999999999</v>
      </c>
      <c r="B591" s="4">
        <v>280</v>
      </c>
      <c r="C591" s="4">
        <v>91.231340000000003</v>
      </c>
      <c r="D591" s="1">
        <v>5</v>
      </c>
      <c r="E591">
        <f t="shared" si="6"/>
        <v>9.0288645093811501E-2</v>
      </c>
      <c r="H591" s="4"/>
    </row>
    <row r="592" spans="1:8" x14ac:dyDescent="0.15">
      <c r="A592" s="4">
        <v>225.00196</v>
      </c>
      <c r="B592" s="4">
        <v>280.5</v>
      </c>
      <c r="C592" s="4">
        <v>91.2089</v>
      </c>
      <c r="D592" s="1">
        <v>5</v>
      </c>
      <c r="E592">
        <f t="shared" si="6"/>
        <v>9.0644152118739107E-2</v>
      </c>
      <c r="H592" s="4"/>
    </row>
    <row r="593" spans="1:8" x14ac:dyDescent="0.15">
      <c r="A593" s="4">
        <v>225.00399999999999</v>
      </c>
      <c r="B593" s="4">
        <v>281</v>
      </c>
      <c r="C593" s="4">
        <v>91.236400000000003</v>
      </c>
      <c r="D593" s="1">
        <v>5</v>
      </c>
      <c r="E593">
        <f t="shared" si="6"/>
        <v>9.0208481745053318E-2</v>
      </c>
      <c r="H593" s="4"/>
    </row>
    <row r="594" spans="1:8" x14ac:dyDescent="0.15">
      <c r="A594" s="4">
        <v>225.01000999999999</v>
      </c>
      <c r="B594" s="4">
        <v>281.5</v>
      </c>
      <c r="C594" s="4">
        <v>91.18441</v>
      </c>
      <c r="D594" s="1">
        <v>5</v>
      </c>
      <c r="E594">
        <f t="shared" si="6"/>
        <v>9.1032136389705059E-2</v>
      </c>
      <c r="H594" s="4"/>
    </row>
    <row r="595" spans="1:8" x14ac:dyDescent="0.15">
      <c r="A595" s="4">
        <v>225.00709000000001</v>
      </c>
      <c r="B595" s="4">
        <v>282</v>
      </c>
      <c r="C595" s="4">
        <v>91.18759</v>
      </c>
      <c r="D595" s="1">
        <v>5</v>
      </c>
      <c r="E595">
        <f t="shared" si="6"/>
        <v>9.0981757051947929E-2</v>
      </c>
      <c r="H595" s="4"/>
    </row>
    <row r="596" spans="1:8" x14ac:dyDescent="0.15">
      <c r="A596" s="4">
        <v>225.00896</v>
      </c>
      <c r="B596" s="4">
        <v>282.5</v>
      </c>
      <c r="C596" s="4">
        <v>91.170820000000006</v>
      </c>
      <c r="D596" s="1">
        <v>5</v>
      </c>
      <c r="E596">
        <f t="shared" si="6"/>
        <v>9.1247436767100926E-2</v>
      </c>
      <c r="H596" s="4"/>
    </row>
    <row r="597" spans="1:8" x14ac:dyDescent="0.15">
      <c r="A597" s="4">
        <v>225.00792999999999</v>
      </c>
      <c r="B597" s="4">
        <v>283</v>
      </c>
      <c r="C597" s="4">
        <v>91.180059999999997</v>
      </c>
      <c r="D597" s="1">
        <v>5</v>
      </c>
      <c r="E597">
        <f t="shared" si="6"/>
        <v>9.1101051521542659E-2</v>
      </c>
      <c r="H597" s="4"/>
    </row>
    <row r="598" spans="1:8" x14ac:dyDescent="0.15">
      <c r="A598" s="4">
        <v>225.00303</v>
      </c>
      <c r="B598" s="4">
        <v>283.5</v>
      </c>
      <c r="C598" s="4">
        <v>91.152649999999994</v>
      </c>
      <c r="D598" s="1">
        <v>5</v>
      </c>
      <c r="E598">
        <f t="shared" si="6"/>
        <v>9.1535296064914548E-2</v>
      </c>
      <c r="H598" s="4"/>
    </row>
    <row r="599" spans="1:8" x14ac:dyDescent="0.15">
      <c r="A599" s="4">
        <v>225.00614999999999</v>
      </c>
      <c r="B599" s="4">
        <v>284</v>
      </c>
      <c r="C599" s="4">
        <v>91.125550000000004</v>
      </c>
      <c r="D599" s="1">
        <v>5</v>
      </c>
      <c r="E599">
        <f t="shared" si="6"/>
        <v>9.1964629414982874E-2</v>
      </c>
      <c r="H599" s="4"/>
    </row>
    <row r="600" spans="1:8" x14ac:dyDescent="0.15">
      <c r="A600" s="4">
        <v>225.00491</v>
      </c>
      <c r="B600" s="4">
        <v>284.5</v>
      </c>
      <c r="C600" s="4">
        <v>91.134950000000003</v>
      </c>
      <c r="D600" s="1">
        <v>5</v>
      </c>
      <c r="E600">
        <f t="shared" si="6"/>
        <v>9.1815709359977585E-2</v>
      </c>
      <c r="H600" s="4"/>
    </row>
    <row r="601" spans="1:8" x14ac:dyDescent="0.15">
      <c r="A601" s="4">
        <v>225.00603000000001</v>
      </c>
      <c r="B601" s="4">
        <v>285</v>
      </c>
      <c r="C601" s="4">
        <v>91.098479999999995</v>
      </c>
      <c r="D601" s="1">
        <v>5</v>
      </c>
      <c r="E601">
        <f t="shared" si="6"/>
        <v>9.2393487488280218E-2</v>
      </c>
      <c r="H601" s="4"/>
    </row>
    <row r="602" spans="1:8" x14ac:dyDescent="0.15">
      <c r="A602" s="4">
        <v>225.01096999999999</v>
      </c>
      <c r="B602" s="4">
        <v>285.5</v>
      </c>
      <c r="C602" s="4">
        <v>91.10342</v>
      </c>
      <c r="D602" s="1">
        <v>5</v>
      </c>
      <c r="E602">
        <f t="shared" si="6"/>
        <v>9.2315225246607138E-2</v>
      </c>
      <c r="H602" s="4"/>
    </row>
    <row r="603" spans="1:8" x14ac:dyDescent="0.15">
      <c r="A603" s="4">
        <v>225.00505999999999</v>
      </c>
      <c r="B603" s="4">
        <v>286</v>
      </c>
      <c r="C603" s="4">
        <v>91.110820000000004</v>
      </c>
      <c r="D603" s="1">
        <v>5</v>
      </c>
      <c r="E603">
        <f t="shared" si="6"/>
        <v>9.2197990309688005E-2</v>
      </c>
      <c r="H603" s="4"/>
    </row>
    <row r="604" spans="1:8" x14ac:dyDescent="0.15">
      <c r="A604" s="4">
        <v>225.00596999999999</v>
      </c>
      <c r="B604" s="4">
        <v>286.5</v>
      </c>
      <c r="C604" s="4">
        <v>91.093860000000006</v>
      </c>
      <c r="D604" s="1">
        <v>5</v>
      </c>
      <c r="E604">
        <f t="shared" si="6"/>
        <v>9.2466680111059241E-2</v>
      </c>
      <c r="H604" s="4"/>
    </row>
    <row r="605" spans="1:8" x14ac:dyDescent="0.15">
      <c r="A605" s="4">
        <v>225.00797</v>
      </c>
      <c r="B605" s="4">
        <v>287</v>
      </c>
      <c r="C605" s="4">
        <v>91.084999999999994</v>
      </c>
      <c r="D605" s="1">
        <v>5</v>
      </c>
      <c r="E605">
        <f t="shared" si="6"/>
        <v>9.2607045184181461E-2</v>
      </c>
      <c r="H605" s="4"/>
    </row>
    <row r="606" spans="1:8" x14ac:dyDescent="0.15">
      <c r="A606" s="4">
        <v>225.00615999999999</v>
      </c>
      <c r="B606" s="4">
        <v>287.5</v>
      </c>
      <c r="C606" s="4">
        <v>91.072069999999997</v>
      </c>
      <c r="D606" s="1">
        <v>5</v>
      </c>
      <c r="E606">
        <f t="shared" si="6"/>
        <v>9.2811889472608919E-2</v>
      </c>
      <c r="H606" s="4"/>
    </row>
    <row r="607" spans="1:8" x14ac:dyDescent="0.15">
      <c r="A607" s="4">
        <v>225.00412</v>
      </c>
      <c r="B607" s="4">
        <v>288</v>
      </c>
      <c r="C607" s="4">
        <v>91.040369999999996</v>
      </c>
      <c r="D607" s="1">
        <v>5</v>
      </c>
      <c r="E607">
        <f t="shared" si="6"/>
        <v>9.3314098594275752E-2</v>
      </c>
      <c r="H607" s="4"/>
    </row>
    <row r="608" spans="1:8" x14ac:dyDescent="0.15">
      <c r="A608" s="4">
        <v>225.00599</v>
      </c>
      <c r="B608" s="4">
        <v>288.5</v>
      </c>
      <c r="C608" s="4">
        <v>91.068740000000005</v>
      </c>
      <c r="D608" s="1">
        <v>5</v>
      </c>
      <c r="E608">
        <f t="shared" ref="E608:E671" si="7">($C$216-C608)/$G$216</f>
        <v>9.2864645194222356E-2</v>
      </c>
      <c r="H608" s="4"/>
    </row>
    <row r="609" spans="1:8" x14ac:dyDescent="0.15">
      <c r="A609" s="4">
        <v>225.00107</v>
      </c>
      <c r="B609" s="4">
        <v>289</v>
      </c>
      <c r="C609" s="4">
        <v>91.021960000000007</v>
      </c>
      <c r="D609" s="1">
        <v>5</v>
      </c>
      <c r="E609">
        <f t="shared" si="7"/>
        <v>9.3605760106259372E-2</v>
      </c>
      <c r="H609" s="4"/>
    </row>
    <row r="610" spans="1:8" x14ac:dyDescent="0.15">
      <c r="A610" s="4">
        <v>225.00807</v>
      </c>
      <c r="B610" s="4">
        <v>289.5</v>
      </c>
      <c r="C610" s="4">
        <v>91.026210000000006</v>
      </c>
      <c r="D610" s="1">
        <v>5</v>
      </c>
      <c r="E610">
        <f t="shared" si="7"/>
        <v>9.3538429230326139E-2</v>
      </c>
      <c r="H610" s="4"/>
    </row>
    <row r="611" spans="1:8" x14ac:dyDescent="0.15">
      <c r="A611" s="4">
        <v>225.00597999999999</v>
      </c>
      <c r="B611" s="4">
        <v>290</v>
      </c>
      <c r="C611" s="4">
        <v>91.021150000000006</v>
      </c>
      <c r="D611" s="1">
        <v>5</v>
      </c>
      <c r="E611">
        <f t="shared" si="7"/>
        <v>9.3618592579084323E-2</v>
      </c>
      <c r="H611" s="4"/>
    </row>
    <row r="612" spans="1:8" x14ac:dyDescent="0.15">
      <c r="A612" s="4">
        <v>225.00712999999999</v>
      </c>
      <c r="B612" s="4">
        <v>290.5</v>
      </c>
      <c r="C612" s="4">
        <v>91.015550000000005</v>
      </c>
      <c r="D612" s="1">
        <v>5</v>
      </c>
      <c r="E612">
        <f t="shared" si="7"/>
        <v>9.3707310909725797E-2</v>
      </c>
      <c r="H612" s="4"/>
    </row>
    <row r="613" spans="1:8" x14ac:dyDescent="0.15">
      <c r="A613" s="4">
        <v>225.00494</v>
      </c>
      <c r="B613" s="4">
        <v>291</v>
      </c>
      <c r="C613" s="4">
        <v>91.004940000000005</v>
      </c>
      <c r="D613" s="1">
        <v>5</v>
      </c>
      <c r="E613">
        <f t="shared" si="7"/>
        <v>9.3875400461173264E-2</v>
      </c>
      <c r="H613" s="4"/>
    </row>
    <row r="614" spans="1:8" x14ac:dyDescent="0.15">
      <c r="A614" s="4">
        <v>225.00108</v>
      </c>
      <c r="B614" s="4">
        <v>291.5</v>
      </c>
      <c r="C614" s="4">
        <v>90.999390000000005</v>
      </c>
      <c r="D614" s="1">
        <v>5</v>
      </c>
      <c r="E614">
        <f t="shared" si="7"/>
        <v>9.3963326663862562E-2</v>
      </c>
      <c r="H614" s="4"/>
    </row>
    <row r="615" spans="1:8" x14ac:dyDescent="0.15">
      <c r="A615" s="4">
        <v>225.00390999999999</v>
      </c>
      <c r="B615" s="4">
        <v>292</v>
      </c>
      <c r="C615" s="4">
        <v>90.987350000000006</v>
      </c>
      <c r="D615" s="1">
        <v>5</v>
      </c>
      <c r="E615">
        <f t="shared" si="7"/>
        <v>9.4154071074741677E-2</v>
      </c>
      <c r="H615" s="4"/>
    </row>
    <row r="616" spans="1:8" x14ac:dyDescent="0.15">
      <c r="A616" s="4">
        <v>225.00583</v>
      </c>
      <c r="B616" s="4">
        <v>292.5</v>
      </c>
      <c r="C616" s="4">
        <v>90.948449999999994</v>
      </c>
      <c r="D616" s="1">
        <v>5</v>
      </c>
      <c r="E616">
        <f t="shared" si="7"/>
        <v>9.4770346621519147E-2</v>
      </c>
      <c r="H616" s="4"/>
    </row>
    <row r="617" spans="1:8" x14ac:dyDescent="0.15">
      <c r="A617" s="4">
        <v>225.00209000000001</v>
      </c>
      <c r="B617" s="4">
        <v>293</v>
      </c>
      <c r="C617" s="4">
        <v>90.968689999999995</v>
      </c>
      <c r="D617" s="1">
        <v>5</v>
      </c>
      <c r="E617">
        <f t="shared" si="7"/>
        <v>9.4449693226486428E-2</v>
      </c>
      <c r="H617" s="4"/>
    </row>
    <row r="618" spans="1:8" x14ac:dyDescent="0.15">
      <c r="A618" s="4">
        <v>225.00710000000001</v>
      </c>
      <c r="B618" s="4">
        <v>293.5</v>
      </c>
      <c r="C618" s="4">
        <v>90.930670000000006</v>
      </c>
      <c r="D618" s="1">
        <v>5</v>
      </c>
      <c r="E618">
        <f t="shared" si="7"/>
        <v>9.5052027321305577E-2</v>
      </c>
      <c r="H618" s="4"/>
    </row>
    <row r="619" spans="1:8" x14ac:dyDescent="0.15">
      <c r="A619" s="4">
        <v>225.01096999999999</v>
      </c>
      <c r="B619" s="4">
        <v>294</v>
      </c>
      <c r="C619" s="4">
        <v>90.942769999999996</v>
      </c>
      <c r="D619" s="1">
        <v>5</v>
      </c>
      <c r="E619">
        <f t="shared" si="7"/>
        <v>9.4860332356884014E-2</v>
      </c>
      <c r="H619" s="4"/>
    </row>
    <row r="620" spans="1:8" x14ac:dyDescent="0.15">
      <c r="A620" s="4">
        <v>225.00997000000001</v>
      </c>
      <c r="B620" s="4">
        <v>294.5</v>
      </c>
      <c r="C620" s="4">
        <v>90.950419999999994</v>
      </c>
      <c r="D620" s="1">
        <v>5</v>
      </c>
      <c r="E620">
        <f t="shared" si="7"/>
        <v>9.4739136780204194E-2</v>
      </c>
      <c r="H620" s="4"/>
    </row>
    <row r="621" spans="1:8" x14ac:dyDescent="0.15">
      <c r="A621" s="4">
        <v>225.00400999999999</v>
      </c>
      <c r="B621" s="4">
        <v>295</v>
      </c>
      <c r="C621" s="4">
        <v>90.931690000000003</v>
      </c>
      <c r="D621" s="1">
        <v>5</v>
      </c>
      <c r="E621">
        <f t="shared" si="7"/>
        <v>9.5035867911081651E-2</v>
      </c>
      <c r="H621" s="4"/>
    </row>
    <row r="622" spans="1:8" x14ac:dyDescent="0.15">
      <c r="A622" s="4">
        <v>225.00684999999999</v>
      </c>
      <c r="B622" s="4">
        <v>295.5</v>
      </c>
      <c r="C622" s="4">
        <v>90.907979999999995</v>
      </c>
      <c r="D622" s="1">
        <v>5</v>
      </c>
      <c r="E622">
        <f t="shared" si="7"/>
        <v>9.5411494985994091E-2</v>
      </c>
      <c r="H622" s="4"/>
    </row>
    <row r="623" spans="1:8" x14ac:dyDescent="0.15">
      <c r="A623" s="4">
        <v>225.00201999999999</v>
      </c>
      <c r="B623" s="4">
        <v>296</v>
      </c>
      <c r="C623" s="4">
        <v>90.919470000000004</v>
      </c>
      <c r="D623" s="1">
        <v>5</v>
      </c>
      <c r="E623">
        <f t="shared" si="7"/>
        <v>9.5229463982588525E-2</v>
      </c>
      <c r="H623" s="4"/>
    </row>
    <row r="624" spans="1:8" x14ac:dyDescent="0.15">
      <c r="A624" s="4">
        <v>225.00304</v>
      </c>
      <c r="B624" s="4">
        <v>296.5</v>
      </c>
      <c r="C624" s="4">
        <v>90.890339999999995</v>
      </c>
      <c r="D624" s="1">
        <v>5</v>
      </c>
      <c r="E624">
        <f t="shared" si="7"/>
        <v>9.5690957727514681E-2</v>
      </c>
      <c r="H624" s="4"/>
    </row>
    <row r="625" spans="1:8" x14ac:dyDescent="0.15">
      <c r="A625" s="4">
        <v>225.00391999999999</v>
      </c>
      <c r="B625" s="4">
        <v>297</v>
      </c>
      <c r="C625" s="4">
        <v>90.911320000000003</v>
      </c>
      <c r="D625" s="1">
        <v>5</v>
      </c>
      <c r="E625">
        <f t="shared" si="7"/>
        <v>9.5358580838789939E-2</v>
      </c>
      <c r="H625" s="4"/>
    </row>
    <row r="626" spans="1:8" x14ac:dyDescent="0.15">
      <c r="A626" s="4">
        <v>225.00098</v>
      </c>
      <c r="B626" s="4">
        <v>297.5</v>
      </c>
      <c r="C626" s="4">
        <v>90.873729999999995</v>
      </c>
      <c r="D626" s="1">
        <v>5</v>
      </c>
      <c r="E626">
        <f t="shared" si="7"/>
        <v>9.5954102633220864E-2</v>
      </c>
      <c r="H626" s="4"/>
    </row>
    <row r="627" spans="1:8" x14ac:dyDescent="0.15">
      <c r="A627" s="4">
        <v>225.00207</v>
      </c>
      <c r="B627" s="4">
        <v>298</v>
      </c>
      <c r="C627" s="4">
        <v>90.873559999999998</v>
      </c>
      <c r="D627" s="1">
        <v>5</v>
      </c>
      <c r="E627">
        <f t="shared" si="7"/>
        <v>9.5956795868258157E-2</v>
      </c>
      <c r="H627" s="4"/>
    </row>
    <row r="628" spans="1:8" x14ac:dyDescent="0.15">
      <c r="A628" s="4">
        <v>225.00004000000001</v>
      </c>
      <c r="B628" s="4">
        <v>298.5</v>
      </c>
      <c r="C628" s="4">
        <v>90.848020000000005</v>
      </c>
      <c r="D628" s="1">
        <v>5</v>
      </c>
      <c r="E628">
        <f t="shared" si="7"/>
        <v>9.6361414826219252E-2</v>
      </c>
      <c r="H628" s="4"/>
    </row>
    <row r="629" spans="1:8" x14ac:dyDescent="0.15">
      <c r="A629" s="4">
        <v>225.00102000000001</v>
      </c>
      <c r="B629" s="4">
        <v>299</v>
      </c>
      <c r="C629" s="4">
        <v>90.854969999999994</v>
      </c>
      <c r="D629" s="1">
        <v>5</v>
      </c>
      <c r="E629">
        <f t="shared" si="7"/>
        <v>9.6251309040869759E-2</v>
      </c>
      <c r="H629" s="4"/>
    </row>
    <row r="630" spans="1:8" x14ac:dyDescent="0.15">
      <c r="A630" s="4">
        <v>225.00397000000001</v>
      </c>
      <c r="B630" s="4">
        <v>299.5</v>
      </c>
      <c r="C630" s="4">
        <v>90.815280000000001</v>
      </c>
      <c r="D630" s="1">
        <v>5</v>
      </c>
      <c r="E630">
        <f t="shared" si="7"/>
        <v>9.6880100209290984E-2</v>
      </c>
      <c r="H630" s="4"/>
    </row>
    <row r="631" spans="1:8" x14ac:dyDescent="0.15">
      <c r="A631" s="4">
        <v>225.00903</v>
      </c>
      <c r="B631" s="4">
        <v>300</v>
      </c>
      <c r="C631" s="4">
        <v>90.854770000000002</v>
      </c>
      <c r="D631" s="1">
        <v>5</v>
      </c>
      <c r="E631">
        <f t="shared" si="7"/>
        <v>9.6254477552678255E-2</v>
      </c>
      <c r="H631" s="4"/>
    </row>
    <row r="632" spans="1:8" x14ac:dyDescent="0.15">
      <c r="A632" s="4">
        <v>225.00695999999999</v>
      </c>
      <c r="B632" s="4">
        <v>300.5</v>
      </c>
      <c r="C632" s="4">
        <v>90.844139999999996</v>
      </c>
      <c r="D632" s="1">
        <v>5</v>
      </c>
      <c r="E632">
        <f t="shared" si="7"/>
        <v>9.6422883955306696E-2</v>
      </c>
      <c r="H632" s="4"/>
    </row>
    <row r="633" spans="1:8" x14ac:dyDescent="0.15">
      <c r="A633" s="4">
        <v>225.00303</v>
      </c>
      <c r="B633" s="4">
        <v>301</v>
      </c>
      <c r="C633" s="4">
        <v>90.806089999999998</v>
      </c>
      <c r="D633" s="1">
        <v>5</v>
      </c>
      <c r="E633">
        <f t="shared" si="7"/>
        <v>9.7025693326897283E-2</v>
      </c>
      <c r="H633" s="4"/>
    </row>
    <row r="634" spans="1:8" x14ac:dyDescent="0.15">
      <c r="A634" s="4">
        <v>225.00506999999999</v>
      </c>
      <c r="B634" s="4">
        <v>301.5</v>
      </c>
      <c r="C634" s="4">
        <v>90.825739999999996</v>
      </c>
      <c r="D634" s="1">
        <v>5</v>
      </c>
      <c r="E634">
        <f t="shared" si="7"/>
        <v>9.6714387041700059E-2</v>
      </c>
      <c r="H634" s="4"/>
    </row>
    <row r="635" spans="1:8" x14ac:dyDescent="0.15">
      <c r="A635" s="4">
        <v>225.00808000000001</v>
      </c>
      <c r="B635" s="4">
        <v>302</v>
      </c>
      <c r="C635" s="4">
        <v>90.805959999999999</v>
      </c>
      <c r="D635" s="1">
        <v>5</v>
      </c>
      <c r="E635">
        <f t="shared" si="7"/>
        <v>9.7027752859572866E-2</v>
      </c>
      <c r="H635" s="4"/>
    </row>
    <row r="636" spans="1:8" x14ac:dyDescent="0.15">
      <c r="A636" s="4">
        <v>225.00407999999999</v>
      </c>
      <c r="B636" s="4">
        <v>302.5</v>
      </c>
      <c r="C636" s="4">
        <v>90.794079999999994</v>
      </c>
      <c r="D636" s="1">
        <v>5</v>
      </c>
      <c r="E636">
        <f t="shared" si="7"/>
        <v>9.7215962461005181E-2</v>
      </c>
      <c r="H636" s="4"/>
    </row>
    <row r="637" spans="1:8" x14ac:dyDescent="0.15">
      <c r="A637" s="4">
        <v>225.00397000000001</v>
      </c>
      <c r="B637" s="4">
        <v>303</v>
      </c>
      <c r="C637" s="4">
        <v>90.777209999999997</v>
      </c>
      <c r="D637" s="1">
        <v>5</v>
      </c>
      <c r="E637">
        <f t="shared" si="7"/>
        <v>9.7483226432062531E-2</v>
      </c>
      <c r="H637" s="4"/>
    </row>
    <row r="638" spans="1:8" x14ac:dyDescent="0.15">
      <c r="A638" s="4">
        <v>225.00308000000001</v>
      </c>
      <c r="B638" s="4">
        <v>303.5</v>
      </c>
      <c r="C638" s="4">
        <v>90.760180000000005</v>
      </c>
      <c r="D638" s="1">
        <v>5</v>
      </c>
      <c r="E638">
        <f t="shared" si="7"/>
        <v>9.775302521256668E-2</v>
      </c>
      <c r="H638" s="4"/>
    </row>
    <row r="639" spans="1:8" x14ac:dyDescent="0.15">
      <c r="A639" s="4">
        <v>225.00801000000001</v>
      </c>
      <c r="B639" s="4">
        <v>304</v>
      </c>
      <c r="C639" s="4">
        <v>90.751249999999999</v>
      </c>
      <c r="D639" s="1">
        <v>5</v>
      </c>
      <c r="E639">
        <f t="shared" si="7"/>
        <v>9.7894499264821827E-2</v>
      </c>
      <c r="H639" s="4"/>
    </row>
    <row r="640" spans="1:8" x14ac:dyDescent="0.15">
      <c r="A640" s="4">
        <v>225.00603000000001</v>
      </c>
      <c r="B640" s="4">
        <v>304.5</v>
      </c>
      <c r="C640" s="4">
        <v>90.751670000000004</v>
      </c>
      <c r="D640" s="1">
        <v>5</v>
      </c>
      <c r="E640">
        <f t="shared" si="7"/>
        <v>9.7887845390023639E-2</v>
      </c>
      <c r="H640" s="4"/>
    </row>
    <row r="641" spans="1:8" x14ac:dyDescent="0.15">
      <c r="A641" s="4">
        <v>225.00985</v>
      </c>
      <c r="B641" s="4">
        <v>305</v>
      </c>
      <c r="C641" s="4">
        <v>90.752529999999993</v>
      </c>
      <c r="D641" s="1">
        <v>5</v>
      </c>
      <c r="E641">
        <f t="shared" si="7"/>
        <v>9.7874220789246735E-2</v>
      </c>
      <c r="H641" s="4"/>
    </row>
    <row r="642" spans="1:8" x14ac:dyDescent="0.15">
      <c r="A642" s="4">
        <v>225.00594000000001</v>
      </c>
      <c r="B642" s="4">
        <v>305.5</v>
      </c>
      <c r="C642" s="4">
        <v>90.756320000000002</v>
      </c>
      <c r="D642" s="1">
        <v>5</v>
      </c>
      <c r="E642">
        <f t="shared" si="7"/>
        <v>9.7814177490473164E-2</v>
      </c>
      <c r="H642" s="4"/>
    </row>
    <row r="643" spans="1:8" x14ac:dyDescent="0.15">
      <c r="A643" s="4">
        <v>224.99981</v>
      </c>
      <c r="B643" s="4">
        <v>306</v>
      </c>
      <c r="C643" s="4">
        <v>90.692340000000002</v>
      </c>
      <c r="D643" s="1">
        <v>5</v>
      </c>
      <c r="E643">
        <f t="shared" si="7"/>
        <v>9.8827784418051831E-2</v>
      </c>
      <c r="H643" s="4"/>
    </row>
    <row r="644" spans="1:8" x14ac:dyDescent="0.15">
      <c r="A644" s="4">
        <v>225.00498999999999</v>
      </c>
      <c r="B644" s="4">
        <v>306.5</v>
      </c>
      <c r="C644" s="4">
        <v>90.721770000000006</v>
      </c>
      <c r="D644" s="1">
        <v>5</v>
      </c>
      <c r="E644">
        <f t="shared" si="7"/>
        <v>9.8361537905412813E-2</v>
      </c>
      <c r="H644" s="4"/>
    </row>
    <row r="645" spans="1:8" x14ac:dyDescent="0.15">
      <c r="A645" s="4">
        <v>225.00107</v>
      </c>
      <c r="B645" s="4">
        <v>307</v>
      </c>
      <c r="C645" s="4">
        <v>90.731930000000006</v>
      </c>
      <c r="D645" s="1">
        <v>5</v>
      </c>
      <c r="E645">
        <f t="shared" si="7"/>
        <v>9.820057750553475E-2</v>
      </c>
      <c r="H645" s="4"/>
    </row>
    <row r="646" spans="1:8" x14ac:dyDescent="0.15">
      <c r="A646" s="4">
        <v>225.00486000000001</v>
      </c>
      <c r="B646" s="4">
        <v>307.5</v>
      </c>
      <c r="C646" s="4">
        <v>90.678219999999996</v>
      </c>
      <c r="D646" s="1">
        <v>5</v>
      </c>
      <c r="E646">
        <f t="shared" si="7"/>
        <v>9.9051481351740744E-2</v>
      </c>
      <c r="H646" s="4"/>
    </row>
    <row r="647" spans="1:8" x14ac:dyDescent="0.15">
      <c r="A647" s="4">
        <v>225.00390999999999</v>
      </c>
      <c r="B647" s="4">
        <v>308</v>
      </c>
      <c r="C647" s="4">
        <v>90.665899999999993</v>
      </c>
      <c r="D647" s="1">
        <v>5</v>
      </c>
      <c r="E647">
        <f t="shared" si="7"/>
        <v>9.9246661679151985E-2</v>
      </c>
      <c r="H647" s="4"/>
    </row>
    <row r="648" spans="1:8" x14ac:dyDescent="0.15">
      <c r="A648" s="4">
        <v>225.00899999999999</v>
      </c>
      <c r="B648" s="4">
        <v>308.5</v>
      </c>
      <c r="C648" s="4">
        <v>90.654210000000006</v>
      </c>
      <c r="D648" s="1">
        <v>5</v>
      </c>
      <c r="E648">
        <f t="shared" si="7"/>
        <v>9.9431861194365825E-2</v>
      </c>
      <c r="H648" s="4"/>
    </row>
    <row r="649" spans="1:8" x14ac:dyDescent="0.15">
      <c r="A649" s="4">
        <v>225.00903</v>
      </c>
      <c r="B649" s="4">
        <v>309</v>
      </c>
      <c r="C649" s="4">
        <v>90.643330000000006</v>
      </c>
      <c r="D649" s="1">
        <v>5</v>
      </c>
      <c r="E649">
        <f t="shared" si="7"/>
        <v>9.9604228236754952E-2</v>
      </c>
      <c r="H649" s="4"/>
    </row>
    <row r="650" spans="1:8" x14ac:dyDescent="0.15">
      <c r="A650" s="4">
        <v>225.00400999999999</v>
      </c>
      <c r="B650" s="4">
        <v>309.5</v>
      </c>
      <c r="C650" s="4">
        <v>90.636060000000001</v>
      </c>
      <c r="D650" s="1">
        <v>5</v>
      </c>
      <c r="E650">
        <f t="shared" si="7"/>
        <v>9.9719403640998502E-2</v>
      </c>
      <c r="H650" s="4"/>
    </row>
    <row r="651" spans="1:8" x14ac:dyDescent="0.15">
      <c r="A651" s="4">
        <v>225.00503</v>
      </c>
      <c r="B651" s="4">
        <v>310</v>
      </c>
      <c r="C651" s="4">
        <v>90.637749999999997</v>
      </c>
      <c r="D651" s="1">
        <v>5</v>
      </c>
      <c r="E651">
        <f t="shared" si="7"/>
        <v>9.9692629716215689E-2</v>
      </c>
      <c r="H651" s="4"/>
    </row>
    <row r="652" spans="1:8" x14ac:dyDescent="0.15">
      <c r="A652" s="4">
        <v>225.00503</v>
      </c>
      <c r="B652" s="4">
        <v>310.5</v>
      </c>
      <c r="C652" s="4">
        <v>90.623239999999996</v>
      </c>
      <c r="D652" s="1">
        <v>5</v>
      </c>
      <c r="E652">
        <f t="shared" si="7"/>
        <v>9.9922505247931351E-2</v>
      </c>
      <c r="H652" s="4"/>
    </row>
    <row r="653" spans="1:8" x14ac:dyDescent="0.15">
      <c r="A653" s="4">
        <v>225.00298000000001</v>
      </c>
      <c r="B653" s="4">
        <v>311</v>
      </c>
      <c r="C653" s="4">
        <v>90.619299999999996</v>
      </c>
      <c r="D653" s="1">
        <v>5</v>
      </c>
      <c r="E653">
        <f t="shared" si="7"/>
        <v>9.9984924930561228E-2</v>
      </c>
      <c r="H653" s="4"/>
    </row>
    <row r="654" spans="1:8" x14ac:dyDescent="0.15">
      <c r="A654" s="4">
        <v>225.00506999999999</v>
      </c>
      <c r="B654" s="4">
        <v>311.5</v>
      </c>
      <c r="C654" s="4">
        <v>90.604939999999999</v>
      </c>
      <c r="D654" s="1">
        <v>5</v>
      </c>
      <c r="E654">
        <f t="shared" si="7"/>
        <v>0.10021242407842035</v>
      </c>
      <c r="H654" s="4"/>
    </row>
    <row r="655" spans="1:8" x14ac:dyDescent="0.15">
      <c r="A655" s="4">
        <v>225.00708</v>
      </c>
      <c r="B655" s="4">
        <v>312</v>
      </c>
      <c r="C655" s="4">
        <v>90.595489999999998</v>
      </c>
      <c r="D655" s="1">
        <v>5</v>
      </c>
      <c r="E655">
        <f t="shared" si="7"/>
        <v>0.10036213626137781</v>
      </c>
      <c r="H655" s="4"/>
    </row>
    <row r="656" spans="1:8" x14ac:dyDescent="0.15">
      <c r="A656" s="4">
        <v>225.00491</v>
      </c>
      <c r="B656" s="4">
        <v>312.5</v>
      </c>
      <c r="C656" s="4">
        <v>90.582740000000001</v>
      </c>
      <c r="D656" s="1">
        <v>5</v>
      </c>
      <c r="E656">
        <f t="shared" si="7"/>
        <v>0.10056412888917751</v>
      </c>
      <c r="H656" s="4"/>
    </row>
    <row r="657" spans="1:8" x14ac:dyDescent="0.15">
      <c r="A657" s="4">
        <v>225.00788</v>
      </c>
      <c r="B657" s="4">
        <v>313</v>
      </c>
      <c r="C657" s="4">
        <v>90.593670000000003</v>
      </c>
      <c r="D657" s="1">
        <v>5</v>
      </c>
      <c r="E657">
        <f t="shared" si="7"/>
        <v>0.10039096971883621</v>
      </c>
      <c r="H657" s="4"/>
    </row>
    <row r="658" spans="1:8" x14ac:dyDescent="0.15">
      <c r="A658" s="4">
        <v>225.00597999999999</v>
      </c>
      <c r="B658" s="4">
        <v>313.5</v>
      </c>
      <c r="C658" s="4">
        <v>90.570580000000007</v>
      </c>
      <c r="D658" s="1">
        <v>5</v>
      </c>
      <c r="E658">
        <f t="shared" si="7"/>
        <v>0.10075677440714173</v>
      </c>
      <c r="H658" s="4"/>
    </row>
    <row r="659" spans="1:8" x14ac:dyDescent="0.15">
      <c r="A659" s="4">
        <v>225.00699</v>
      </c>
      <c r="B659" s="4">
        <v>314</v>
      </c>
      <c r="C659" s="4">
        <v>90.572280000000006</v>
      </c>
      <c r="D659" s="1">
        <v>5</v>
      </c>
      <c r="E659">
        <f t="shared" si="7"/>
        <v>0.10072984205676844</v>
      </c>
      <c r="H659" s="4"/>
    </row>
    <row r="660" spans="1:8" x14ac:dyDescent="0.15">
      <c r="A660" s="4">
        <v>225.00581</v>
      </c>
      <c r="B660" s="4">
        <v>314.5</v>
      </c>
      <c r="C660" s="4">
        <v>90.524339999999995</v>
      </c>
      <c r="D660" s="1">
        <v>5</v>
      </c>
      <c r="E660">
        <f t="shared" si="7"/>
        <v>0.10148933433729568</v>
      </c>
      <c r="H660" s="4"/>
    </row>
    <row r="661" spans="1:8" x14ac:dyDescent="0.15">
      <c r="A661" s="4">
        <v>225.00385</v>
      </c>
      <c r="B661" s="4">
        <v>315</v>
      </c>
      <c r="C661" s="4">
        <v>90.522180000000006</v>
      </c>
      <c r="D661" s="1">
        <v>5</v>
      </c>
      <c r="E661">
        <f t="shared" si="7"/>
        <v>0.10152355426482863</v>
      </c>
      <c r="H661" s="4"/>
    </row>
    <row r="662" spans="1:8" x14ac:dyDescent="0.15">
      <c r="A662" s="4">
        <v>225.00701000000001</v>
      </c>
      <c r="B662" s="4">
        <v>315.5</v>
      </c>
      <c r="C662" s="4">
        <v>90.54853</v>
      </c>
      <c r="D662" s="1">
        <v>5</v>
      </c>
      <c r="E662">
        <f t="shared" si="7"/>
        <v>0.10110610283404259</v>
      </c>
      <c r="H662" s="4"/>
    </row>
    <row r="663" spans="1:8" x14ac:dyDescent="0.15">
      <c r="A663" s="4">
        <v>225.00599</v>
      </c>
      <c r="B663" s="4">
        <v>316</v>
      </c>
      <c r="C663" s="4">
        <v>90.515519999999995</v>
      </c>
      <c r="D663" s="1">
        <v>5</v>
      </c>
      <c r="E663">
        <f t="shared" si="7"/>
        <v>0.10162906570805597</v>
      </c>
      <c r="H663" s="4"/>
    </row>
    <row r="664" spans="1:8" x14ac:dyDescent="0.15">
      <c r="A664" s="4">
        <v>225.00695999999999</v>
      </c>
      <c r="B664" s="4">
        <v>316.5</v>
      </c>
      <c r="C664" s="4">
        <v>90.537869999999998</v>
      </c>
      <c r="D664" s="1">
        <v>5</v>
      </c>
      <c r="E664">
        <f t="shared" si="7"/>
        <v>0.10127498451344225</v>
      </c>
      <c r="H664" s="4"/>
    </row>
    <row r="665" spans="1:8" x14ac:dyDescent="0.15">
      <c r="A665" s="4">
        <v>225.00394</v>
      </c>
      <c r="B665" s="4">
        <v>317</v>
      </c>
      <c r="C665" s="4">
        <v>90.476640000000003</v>
      </c>
      <c r="D665" s="1">
        <v>5</v>
      </c>
      <c r="E665">
        <f t="shared" si="7"/>
        <v>0.10224502440365224</v>
      </c>
      <c r="H665" s="4"/>
    </row>
    <row r="666" spans="1:8" x14ac:dyDescent="0.15">
      <c r="A666" s="4">
        <v>225.00300999999999</v>
      </c>
      <c r="B666" s="4">
        <v>317.5</v>
      </c>
      <c r="C666" s="4">
        <v>90.480980000000002</v>
      </c>
      <c r="D666" s="1">
        <v>5</v>
      </c>
      <c r="E666">
        <f t="shared" si="7"/>
        <v>0.10217626769740513</v>
      </c>
      <c r="H666" s="4"/>
    </row>
    <row r="667" spans="1:8" x14ac:dyDescent="0.15">
      <c r="A667" s="4">
        <v>225.00398999999999</v>
      </c>
      <c r="B667" s="4">
        <v>318</v>
      </c>
      <c r="C667" s="4">
        <v>90.498930000000001</v>
      </c>
      <c r="D667" s="1">
        <v>5</v>
      </c>
      <c r="E667">
        <f t="shared" si="7"/>
        <v>0.10189189376258119</v>
      </c>
      <c r="H667" s="4"/>
    </row>
    <row r="668" spans="1:8" x14ac:dyDescent="0.15">
      <c r="A668" s="4">
        <v>225.00224</v>
      </c>
      <c r="B668" s="4">
        <v>318.5</v>
      </c>
      <c r="C668" s="4">
        <v>90.479100000000003</v>
      </c>
      <c r="D668" s="1">
        <v>5</v>
      </c>
      <c r="E668">
        <f t="shared" si="7"/>
        <v>0.10220605170840619</v>
      </c>
      <c r="H668" s="4"/>
    </row>
    <row r="669" spans="1:8" x14ac:dyDescent="0.15">
      <c r="A669" s="4">
        <v>225.006</v>
      </c>
      <c r="B669" s="4">
        <v>319</v>
      </c>
      <c r="C669" s="4">
        <v>90.464299999999994</v>
      </c>
      <c r="D669" s="1">
        <v>5</v>
      </c>
      <c r="E669">
        <f t="shared" si="7"/>
        <v>0.10244052158224445</v>
      </c>
      <c r="H669" s="4"/>
    </row>
    <row r="670" spans="1:8" x14ac:dyDescent="0.15">
      <c r="A670" s="4">
        <v>225.00709000000001</v>
      </c>
      <c r="B670" s="4">
        <v>319.5</v>
      </c>
      <c r="C670" s="4">
        <v>90.446299999999994</v>
      </c>
      <c r="D670" s="1">
        <v>5</v>
      </c>
      <c r="E670">
        <f t="shared" si="7"/>
        <v>0.10272568764502059</v>
      </c>
      <c r="H670" s="4"/>
    </row>
    <row r="671" spans="1:8" x14ac:dyDescent="0.15">
      <c r="A671" s="4">
        <v>225.01087999999999</v>
      </c>
      <c r="B671" s="4">
        <v>320</v>
      </c>
      <c r="C671" s="4">
        <v>90.451809999999995</v>
      </c>
      <c r="D671" s="1">
        <v>5</v>
      </c>
      <c r="E671">
        <f t="shared" si="7"/>
        <v>0.10263839514469299</v>
      </c>
      <c r="H671" s="4"/>
    </row>
    <row r="672" spans="1:8" x14ac:dyDescent="0.15">
      <c r="A672" s="4">
        <v>225.00594000000001</v>
      </c>
      <c r="B672" s="4">
        <v>320.5</v>
      </c>
      <c r="C672" s="4">
        <v>90.441370000000006</v>
      </c>
      <c r="D672" s="1">
        <v>5</v>
      </c>
      <c r="E672">
        <f t="shared" ref="E672:E684" si="8">($C$216-C672)/$G$216</f>
        <v>0.10280379146110295</v>
      </c>
      <c r="H672" s="4"/>
    </row>
    <row r="673" spans="1:8" x14ac:dyDescent="0.15">
      <c r="A673" s="4">
        <v>225.00304</v>
      </c>
      <c r="B673" s="4">
        <v>321</v>
      </c>
      <c r="C673" s="4">
        <v>90.428970000000007</v>
      </c>
      <c r="D673" s="1">
        <v>5</v>
      </c>
      <c r="E673">
        <f t="shared" si="8"/>
        <v>0.1030002391932376</v>
      </c>
      <c r="H673" s="4"/>
    </row>
    <row r="674" spans="1:8" x14ac:dyDescent="0.15">
      <c r="A674" s="4">
        <v>225.00297</v>
      </c>
      <c r="B674" s="4">
        <v>321.5</v>
      </c>
      <c r="C674" s="4">
        <v>90.420169999999999</v>
      </c>
      <c r="D674" s="1">
        <v>5</v>
      </c>
      <c r="E674">
        <f t="shared" si="8"/>
        <v>0.10313965371281716</v>
      </c>
      <c r="H674" s="4"/>
    </row>
    <row r="675" spans="1:8" x14ac:dyDescent="0.15">
      <c r="A675" s="4">
        <v>225.00403</v>
      </c>
      <c r="B675" s="4">
        <v>322</v>
      </c>
      <c r="C675" s="4">
        <v>90.409710000000004</v>
      </c>
      <c r="D675" s="1">
        <v>5</v>
      </c>
      <c r="E675">
        <f t="shared" si="8"/>
        <v>0.10330536688040809</v>
      </c>
      <c r="H675" s="4"/>
    </row>
    <row r="676" spans="1:8" x14ac:dyDescent="0.15">
      <c r="A676" s="4">
        <v>225.00390999999999</v>
      </c>
      <c r="B676" s="4">
        <v>322.5</v>
      </c>
      <c r="C676" s="4">
        <v>90.416690000000003</v>
      </c>
      <c r="D676" s="1">
        <v>5</v>
      </c>
      <c r="E676">
        <f t="shared" si="8"/>
        <v>0.10319478581828714</v>
      </c>
      <c r="H676" s="4"/>
    </row>
    <row r="677" spans="1:8" x14ac:dyDescent="0.15">
      <c r="A677" s="4">
        <v>225.00709000000001</v>
      </c>
      <c r="B677" s="4">
        <v>323</v>
      </c>
      <c r="C677" s="4">
        <v>90.351159999999993</v>
      </c>
      <c r="D677" s="1">
        <v>5</v>
      </c>
      <c r="E677">
        <f t="shared" si="8"/>
        <v>0.10423294871238278</v>
      </c>
      <c r="H677" s="4"/>
    </row>
    <row r="678" spans="1:8" x14ac:dyDescent="0.15">
      <c r="A678" s="4">
        <v>225.01</v>
      </c>
      <c r="B678" s="4">
        <v>323.5</v>
      </c>
      <c r="C678" s="4">
        <v>90.385540000000006</v>
      </c>
      <c r="D678" s="1">
        <v>5</v>
      </c>
      <c r="E678">
        <f t="shared" si="8"/>
        <v>0.10368828153248021</v>
      </c>
      <c r="H678" s="4"/>
    </row>
    <row r="679" spans="1:8" x14ac:dyDescent="0.15">
      <c r="A679" s="4">
        <v>225.00297</v>
      </c>
      <c r="B679" s="4">
        <v>324</v>
      </c>
      <c r="C679" s="4">
        <v>90.35163</v>
      </c>
      <c r="D679" s="1">
        <v>5</v>
      </c>
      <c r="E679">
        <f t="shared" si="8"/>
        <v>0.10422550270963241</v>
      </c>
      <c r="H679" s="4"/>
    </row>
    <row r="680" spans="1:8" x14ac:dyDescent="0.15">
      <c r="A680" s="4">
        <v>225.00390999999999</v>
      </c>
      <c r="B680" s="4">
        <v>324.5</v>
      </c>
      <c r="C680" s="4">
        <v>90.378230000000002</v>
      </c>
      <c r="D680" s="1">
        <v>5</v>
      </c>
      <c r="E680">
        <f t="shared" si="8"/>
        <v>0.10380409063908545</v>
      </c>
      <c r="H680" s="4"/>
    </row>
    <row r="681" spans="1:8" x14ac:dyDescent="0.15">
      <c r="A681" s="4">
        <v>225.00205</v>
      </c>
      <c r="B681" s="4">
        <v>325</v>
      </c>
      <c r="C681" s="4">
        <v>90.374830000000003</v>
      </c>
      <c r="D681" s="1">
        <v>5</v>
      </c>
      <c r="E681">
        <f t="shared" si="8"/>
        <v>0.10385795533983204</v>
      </c>
      <c r="H681" s="4"/>
    </row>
    <row r="682" spans="1:8" x14ac:dyDescent="0.15">
      <c r="A682" s="4">
        <v>225.00594000000001</v>
      </c>
      <c r="B682" s="4">
        <v>325.5</v>
      </c>
      <c r="C682" s="4">
        <v>90.356179999999995</v>
      </c>
      <c r="D682" s="1">
        <v>5</v>
      </c>
      <c r="E682">
        <f t="shared" si="8"/>
        <v>0.10415341906598631</v>
      </c>
      <c r="H682" s="4"/>
    </row>
    <row r="683" spans="1:8" x14ac:dyDescent="0.15">
      <c r="A683" s="4">
        <v>225.00706</v>
      </c>
      <c r="B683" s="4">
        <v>326</v>
      </c>
      <c r="C683" s="4">
        <v>90.349540000000005</v>
      </c>
      <c r="D683" s="1">
        <v>5</v>
      </c>
      <c r="E683">
        <f t="shared" si="8"/>
        <v>0.10425861365803245</v>
      </c>
      <c r="H683" s="4"/>
    </row>
    <row r="684" spans="1:8" x14ac:dyDescent="0.15">
      <c r="A684" s="4">
        <v>225.00889000000001</v>
      </c>
      <c r="B684" s="4">
        <v>326.5</v>
      </c>
      <c r="C684" s="4">
        <v>90.359690000000001</v>
      </c>
      <c r="D684" s="1">
        <v>5</v>
      </c>
      <c r="E684">
        <f t="shared" si="8"/>
        <v>0.10409781168374488</v>
      </c>
      <c r="H684" s="4"/>
    </row>
  </sheetData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F64F6-7425-CC41-8B61-F43B24BAE538}">
  <dimension ref="A1:L630"/>
  <sheetViews>
    <sheetView topLeftCell="A117" workbookViewId="0">
      <selection activeCell="D151" sqref="D151:D630"/>
    </sheetView>
  </sheetViews>
  <sheetFormatPr baseColWidth="10" defaultColWidth="12" defaultRowHeight="13" x14ac:dyDescent="0.15"/>
  <cols>
    <col min="1" max="16384" width="12" style="15"/>
  </cols>
  <sheetData>
    <row r="1" spans="1:2" x14ac:dyDescent="0.15">
      <c r="A1" s="15" t="s">
        <v>0</v>
      </c>
      <c r="B1" s="15" t="s">
        <v>1</v>
      </c>
    </row>
    <row r="2" spans="1:2" x14ac:dyDescent="0.15">
      <c r="A2" s="15" t="s">
        <v>2</v>
      </c>
      <c r="B2" s="15" t="s">
        <v>109</v>
      </c>
    </row>
    <row r="3" spans="1:2" x14ac:dyDescent="0.15">
      <c r="A3" s="15" t="s">
        <v>4</v>
      </c>
      <c r="B3" s="15" t="s">
        <v>5</v>
      </c>
    </row>
    <row r="4" spans="1:2" x14ac:dyDescent="0.15">
      <c r="A4" s="15" t="s">
        <v>6</v>
      </c>
      <c r="B4" s="15" t="s">
        <v>7</v>
      </c>
    </row>
    <row r="5" spans="1:2" x14ac:dyDescent="0.15">
      <c r="A5" s="15" t="s">
        <v>8</v>
      </c>
      <c r="B5" s="15" t="s">
        <v>89</v>
      </c>
    </row>
    <row r="6" spans="1:2" x14ac:dyDescent="0.15">
      <c r="A6" s="15" t="s">
        <v>10</v>
      </c>
      <c r="B6" s="15" t="s">
        <v>11</v>
      </c>
    </row>
    <row r="7" spans="1:2" x14ac:dyDescent="0.15">
      <c r="A7" s="15" t="s">
        <v>12</v>
      </c>
      <c r="B7" s="15" t="s">
        <v>13</v>
      </c>
    </row>
    <row r="8" spans="1:2" x14ac:dyDescent="0.15">
      <c r="A8" s="15" t="s">
        <v>14</v>
      </c>
      <c r="B8" s="16">
        <v>113397</v>
      </c>
    </row>
    <row r="9" spans="1:2" x14ac:dyDescent="0.15">
      <c r="A9" s="15" t="s">
        <v>15</v>
      </c>
      <c r="B9" s="15" t="s">
        <v>110</v>
      </c>
    </row>
    <row r="10" spans="1:2" x14ac:dyDescent="0.15">
      <c r="A10" s="15" t="s">
        <v>17</v>
      </c>
      <c r="B10" s="15" t="s">
        <v>111</v>
      </c>
    </row>
    <row r="11" spans="1:2" x14ac:dyDescent="0.15">
      <c r="A11" s="15" t="s">
        <v>19</v>
      </c>
      <c r="B11" s="15" t="s">
        <v>20</v>
      </c>
    </row>
    <row r="12" spans="1:2" x14ac:dyDescent="0.15">
      <c r="A12" s="15" t="s">
        <v>21</v>
      </c>
      <c r="B12" s="15" t="s">
        <v>22</v>
      </c>
    </row>
    <row r="13" spans="1:2" x14ac:dyDescent="0.15">
      <c r="A13" s="15" t="s">
        <v>23</v>
      </c>
      <c r="B13" s="15" t="s">
        <v>24</v>
      </c>
    </row>
    <row r="14" spans="1:2" x14ac:dyDescent="0.15">
      <c r="A14" s="15" t="s">
        <v>25</v>
      </c>
      <c r="B14" s="15" t="s">
        <v>112</v>
      </c>
    </row>
    <row r="15" spans="1:2" x14ac:dyDescent="0.15">
      <c r="A15" s="15" t="s">
        <v>27</v>
      </c>
      <c r="B15" s="15" t="s">
        <v>28</v>
      </c>
    </row>
    <row r="16" spans="1:2" x14ac:dyDescent="0.15">
      <c r="A16" s="15" t="s">
        <v>29</v>
      </c>
      <c r="B16" s="15" t="s">
        <v>89</v>
      </c>
    </row>
    <row r="17" spans="1:2" x14ac:dyDescent="0.15">
      <c r="A17" s="15" t="s">
        <v>30</v>
      </c>
      <c r="B17" s="17">
        <v>4.2090500000000004</v>
      </c>
    </row>
    <row r="18" spans="1:2" x14ac:dyDescent="0.15">
      <c r="A18" s="15" t="s">
        <v>31</v>
      </c>
      <c r="B18" s="15" t="s">
        <v>32</v>
      </c>
    </row>
    <row r="19" spans="1:2" x14ac:dyDescent="0.15">
      <c r="A19" s="15" t="s">
        <v>33</v>
      </c>
      <c r="B19" s="15" t="s">
        <v>34</v>
      </c>
    </row>
    <row r="20" spans="1:2" x14ac:dyDescent="0.15">
      <c r="A20" s="15" t="s">
        <v>35</v>
      </c>
      <c r="B20" s="16">
        <v>0</v>
      </c>
    </row>
    <row r="21" spans="1:2" x14ac:dyDescent="0.15">
      <c r="A21" s="15" t="s">
        <v>36</v>
      </c>
      <c r="B21" s="15" t="s">
        <v>37</v>
      </c>
    </row>
    <row r="22" spans="1:2" x14ac:dyDescent="0.15">
      <c r="A22" s="15" t="s">
        <v>38</v>
      </c>
      <c r="B22" s="17">
        <v>138.16374999999999</v>
      </c>
    </row>
    <row r="23" spans="1:2" x14ac:dyDescent="0.15">
      <c r="A23" s="15" t="s">
        <v>39</v>
      </c>
      <c r="B23" s="18">
        <v>143.75</v>
      </c>
    </row>
    <row r="24" spans="1:2" x14ac:dyDescent="0.15">
      <c r="A24" s="15" t="s">
        <v>40</v>
      </c>
      <c r="B24" s="15" t="s">
        <v>41</v>
      </c>
    </row>
    <row r="25" spans="1:2" x14ac:dyDescent="0.15">
      <c r="A25" s="15" t="s">
        <v>42</v>
      </c>
      <c r="B25" s="15" t="s">
        <v>43</v>
      </c>
    </row>
    <row r="26" spans="1:2" x14ac:dyDescent="0.15">
      <c r="A26" s="15" t="s">
        <v>44</v>
      </c>
      <c r="B26" s="15" t="s">
        <v>43</v>
      </c>
    </row>
    <row r="27" spans="1:2" x14ac:dyDescent="0.15">
      <c r="A27" s="15" t="s">
        <v>45</v>
      </c>
      <c r="B27" s="16">
        <v>5000</v>
      </c>
    </row>
    <row r="28" spans="1:2" x14ac:dyDescent="0.15">
      <c r="A28" s="15" t="s">
        <v>46</v>
      </c>
      <c r="B28" s="16">
        <v>5000</v>
      </c>
    </row>
    <row r="29" spans="1:2" x14ac:dyDescent="0.15">
      <c r="A29" s="15" t="s">
        <v>47</v>
      </c>
      <c r="B29" s="15" t="s">
        <v>48</v>
      </c>
    </row>
    <row r="30" spans="1:2" x14ac:dyDescent="0.15">
      <c r="A30" s="15" t="s">
        <v>49</v>
      </c>
      <c r="B30" s="16">
        <v>20</v>
      </c>
    </row>
    <row r="31" spans="1:2" x14ac:dyDescent="0.15">
      <c r="A31" s="15" t="s">
        <v>50</v>
      </c>
      <c r="B31" s="16">
        <v>1</v>
      </c>
    </row>
    <row r="32" spans="1:2" x14ac:dyDescent="0.15">
      <c r="A32" s="15" t="s">
        <v>51</v>
      </c>
      <c r="B32" s="15" t="s">
        <v>113</v>
      </c>
    </row>
    <row r="33" spans="1:8" x14ac:dyDescent="0.15">
      <c r="A33" s="15" t="s">
        <v>53</v>
      </c>
      <c r="B33" s="15" t="s">
        <v>54</v>
      </c>
    </row>
    <row r="34" spans="1:8" x14ac:dyDescent="0.15">
      <c r="A34" s="15" t="s">
        <v>55</v>
      </c>
      <c r="B34" s="15" t="s">
        <v>56</v>
      </c>
    </row>
    <row r="35" spans="1:8" x14ac:dyDescent="0.15">
      <c r="A35" s="15" t="s">
        <v>57</v>
      </c>
      <c r="B35" s="15" t="s">
        <v>58</v>
      </c>
    </row>
    <row r="36" spans="1:8" x14ac:dyDescent="0.15">
      <c r="A36" s="15" t="s">
        <v>59</v>
      </c>
      <c r="B36" s="15" t="s">
        <v>84</v>
      </c>
    </row>
    <row r="37" spans="1:8" x14ac:dyDescent="0.15">
      <c r="A37" s="15" t="s">
        <v>61</v>
      </c>
      <c r="B37" s="15" t="s">
        <v>87</v>
      </c>
    </row>
    <row r="39" spans="1:8" x14ac:dyDescent="0.15">
      <c r="A39" s="15" t="s">
        <v>63</v>
      </c>
      <c r="B39" s="15" t="s">
        <v>64</v>
      </c>
      <c r="C39" s="15" t="s">
        <v>65</v>
      </c>
      <c r="D39" s="15" t="s">
        <v>66</v>
      </c>
      <c r="E39" s="15" t="s">
        <v>67</v>
      </c>
      <c r="F39" s="15" t="s">
        <v>68</v>
      </c>
      <c r="G39" s="15" t="s">
        <v>69</v>
      </c>
      <c r="H39" s="15" t="s">
        <v>70</v>
      </c>
    </row>
    <row r="40" spans="1:8" x14ac:dyDescent="0.15">
      <c r="A40" s="19">
        <v>50.84</v>
      </c>
      <c r="B40" s="19">
        <v>0</v>
      </c>
      <c r="C40" s="20">
        <v>-1.359463E-2</v>
      </c>
      <c r="D40" s="19">
        <v>100</v>
      </c>
      <c r="E40" s="21">
        <v>0</v>
      </c>
      <c r="F40" s="19">
        <v>100</v>
      </c>
      <c r="G40" s="19">
        <v>1</v>
      </c>
      <c r="H40" s="16">
        <v>1</v>
      </c>
    </row>
    <row r="41" spans="1:8" x14ac:dyDescent="0.15">
      <c r="A41" s="19">
        <v>51.059550000000002</v>
      </c>
      <c r="B41" s="19">
        <v>0.5</v>
      </c>
      <c r="C41" s="20">
        <v>7.7942549999999999E-2</v>
      </c>
      <c r="D41" s="19">
        <v>100.15205</v>
      </c>
      <c r="E41" s="21">
        <v>0</v>
      </c>
      <c r="F41" s="19">
        <v>100</v>
      </c>
      <c r="G41" s="19">
        <v>1</v>
      </c>
      <c r="H41" s="16">
        <v>1</v>
      </c>
    </row>
    <row r="42" spans="1:8" x14ac:dyDescent="0.15">
      <c r="A42" s="19">
        <v>53.11327</v>
      </c>
      <c r="B42" s="19">
        <v>1</v>
      </c>
      <c r="C42" s="19">
        <v>0.65707000000000004</v>
      </c>
      <c r="D42" s="19">
        <v>100.52684000000001</v>
      </c>
      <c r="E42" s="21">
        <v>0</v>
      </c>
      <c r="F42" s="19">
        <v>100</v>
      </c>
      <c r="G42" s="19">
        <v>1</v>
      </c>
      <c r="H42" s="16">
        <v>1</v>
      </c>
    </row>
    <row r="43" spans="1:8" x14ac:dyDescent="0.15">
      <c r="A43" s="19">
        <v>59.662880000000001</v>
      </c>
      <c r="B43" s="19">
        <v>1.5</v>
      </c>
      <c r="C43" s="19">
        <v>2.3490899999999999</v>
      </c>
      <c r="D43" s="19">
        <v>100.84665</v>
      </c>
      <c r="E43" s="21">
        <v>0</v>
      </c>
      <c r="F43" s="19">
        <v>100</v>
      </c>
      <c r="G43" s="19">
        <v>1</v>
      </c>
      <c r="H43" s="16">
        <v>2</v>
      </c>
    </row>
    <row r="44" spans="1:8" x14ac:dyDescent="0.15">
      <c r="A44" s="19">
        <v>69.862290000000002</v>
      </c>
      <c r="B44" s="19">
        <v>2</v>
      </c>
      <c r="C44" s="19">
        <v>2.94475</v>
      </c>
      <c r="D44" s="19">
        <v>100.94266</v>
      </c>
      <c r="E44" s="21">
        <v>0</v>
      </c>
      <c r="F44" s="19">
        <v>100</v>
      </c>
      <c r="G44" s="19">
        <v>1</v>
      </c>
      <c r="H44" s="16">
        <v>2</v>
      </c>
    </row>
    <row r="45" spans="1:8" x14ac:dyDescent="0.15">
      <c r="A45" s="19">
        <v>79.818560000000005</v>
      </c>
      <c r="B45" s="19">
        <v>2.5</v>
      </c>
      <c r="C45" s="19">
        <v>2.2676400000000001</v>
      </c>
      <c r="D45" s="19">
        <v>101.32585</v>
      </c>
      <c r="E45" s="21">
        <v>0</v>
      </c>
      <c r="F45" s="19">
        <v>100</v>
      </c>
      <c r="G45" s="19">
        <v>1</v>
      </c>
      <c r="H45" s="16">
        <v>2</v>
      </c>
    </row>
    <row r="46" spans="1:8" x14ac:dyDescent="0.15">
      <c r="A46" s="19">
        <v>88.507869999999997</v>
      </c>
      <c r="B46" s="19">
        <v>3</v>
      </c>
      <c r="C46" s="19">
        <v>1.60026</v>
      </c>
      <c r="D46" s="19">
        <v>101.32911</v>
      </c>
      <c r="E46" s="21">
        <v>0</v>
      </c>
      <c r="F46" s="19">
        <v>100</v>
      </c>
      <c r="G46" s="19">
        <v>1</v>
      </c>
      <c r="H46" s="16">
        <v>2</v>
      </c>
    </row>
    <row r="47" spans="1:8" x14ac:dyDescent="0.15">
      <c r="A47" s="19">
        <v>95.603809999999996</v>
      </c>
      <c r="B47" s="19">
        <v>3.5</v>
      </c>
      <c r="C47" s="19">
        <v>1.1234299999999999</v>
      </c>
      <c r="D47" s="19">
        <v>101.27992999999999</v>
      </c>
      <c r="E47" s="21">
        <v>0</v>
      </c>
      <c r="F47" s="19">
        <v>100</v>
      </c>
      <c r="G47" s="19">
        <v>1</v>
      </c>
      <c r="H47" s="16">
        <v>2</v>
      </c>
    </row>
    <row r="48" spans="1:8" x14ac:dyDescent="0.15">
      <c r="A48" s="19">
        <v>101.12851000000001</v>
      </c>
      <c r="B48" s="19">
        <v>4</v>
      </c>
      <c r="C48" s="19">
        <v>0.79176000000000002</v>
      </c>
      <c r="D48" s="19">
        <v>101.09714</v>
      </c>
      <c r="E48" s="21">
        <v>0</v>
      </c>
      <c r="F48" s="19">
        <v>100</v>
      </c>
      <c r="G48" s="19">
        <v>1</v>
      </c>
      <c r="H48" s="16">
        <v>2</v>
      </c>
    </row>
    <row r="49" spans="1:8" x14ac:dyDescent="0.15">
      <c r="A49" s="19">
        <v>105.22832</v>
      </c>
      <c r="B49" s="19">
        <v>4.5</v>
      </c>
      <c r="C49" s="19">
        <v>0.55088000000000004</v>
      </c>
      <c r="D49" s="19">
        <v>101.01459</v>
      </c>
      <c r="E49" s="21">
        <v>0</v>
      </c>
      <c r="F49" s="19">
        <v>100</v>
      </c>
      <c r="G49" s="19">
        <v>1</v>
      </c>
      <c r="H49" s="16">
        <v>2</v>
      </c>
    </row>
    <row r="50" spans="1:8" x14ac:dyDescent="0.15">
      <c r="A50" s="19">
        <v>108.11417</v>
      </c>
      <c r="B50" s="19">
        <v>5</v>
      </c>
      <c r="C50" s="19">
        <v>0.37080999999999997</v>
      </c>
      <c r="D50" s="19">
        <v>101.17068</v>
      </c>
      <c r="E50" s="21">
        <v>0</v>
      </c>
      <c r="F50" s="19">
        <v>100</v>
      </c>
      <c r="G50" s="19">
        <v>1</v>
      </c>
      <c r="H50" s="16">
        <v>2</v>
      </c>
    </row>
    <row r="51" spans="1:8" x14ac:dyDescent="0.15">
      <c r="A51" s="19">
        <v>110.06563</v>
      </c>
      <c r="B51" s="19">
        <v>5.5</v>
      </c>
      <c r="C51" s="19">
        <v>0.26091999999999999</v>
      </c>
      <c r="D51" s="19">
        <v>101.04868</v>
      </c>
      <c r="E51" s="21">
        <v>0</v>
      </c>
      <c r="F51" s="19">
        <v>100</v>
      </c>
      <c r="G51" s="19">
        <v>1</v>
      </c>
      <c r="H51" s="16">
        <v>2</v>
      </c>
    </row>
    <row r="52" spans="1:8" x14ac:dyDescent="0.15">
      <c r="A52" s="19">
        <v>111.39530000000001</v>
      </c>
      <c r="B52" s="19">
        <v>6</v>
      </c>
      <c r="C52" s="19">
        <v>0.20719000000000001</v>
      </c>
      <c r="D52" s="19">
        <v>101.11029000000001</v>
      </c>
      <c r="E52" s="21">
        <v>0</v>
      </c>
      <c r="F52" s="19">
        <v>100</v>
      </c>
      <c r="G52" s="19">
        <v>1</v>
      </c>
      <c r="H52" s="16">
        <v>2</v>
      </c>
    </row>
    <row r="53" spans="1:8" x14ac:dyDescent="0.15">
      <c r="A53" s="19">
        <v>112.35804</v>
      </c>
      <c r="B53" s="19">
        <v>6.5</v>
      </c>
      <c r="C53" s="19">
        <v>0.18751000000000001</v>
      </c>
      <c r="D53" s="19">
        <v>101.24541000000001</v>
      </c>
      <c r="E53" s="21">
        <v>0</v>
      </c>
      <c r="F53" s="19">
        <v>100</v>
      </c>
      <c r="G53" s="19">
        <v>1</v>
      </c>
      <c r="H53" s="16">
        <v>2</v>
      </c>
    </row>
    <row r="54" spans="1:8" x14ac:dyDescent="0.15">
      <c r="A54" s="19">
        <v>113.11205</v>
      </c>
      <c r="B54" s="19">
        <v>7</v>
      </c>
      <c r="C54" s="19">
        <v>0.18090999999999999</v>
      </c>
      <c r="D54" s="19">
        <v>101.21052</v>
      </c>
      <c r="E54" s="21">
        <v>0</v>
      </c>
      <c r="F54" s="19">
        <v>100</v>
      </c>
      <c r="G54" s="19">
        <v>1</v>
      </c>
      <c r="H54" s="16">
        <v>2</v>
      </c>
    </row>
    <row r="55" spans="1:8" x14ac:dyDescent="0.15">
      <c r="A55" s="19">
        <v>113.73271</v>
      </c>
      <c r="B55" s="19">
        <v>7.5</v>
      </c>
      <c r="C55" s="19">
        <v>0.17043</v>
      </c>
      <c r="D55" s="19">
        <v>101.25529</v>
      </c>
      <c r="E55" s="21">
        <v>0</v>
      </c>
      <c r="F55" s="19">
        <v>100</v>
      </c>
      <c r="G55" s="19">
        <v>1</v>
      </c>
      <c r="H55" s="16">
        <v>2</v>
      </c>
    </row>
    <row r="56" spans="1:8" x14ac:dyDescent="0.15">
      <c r="A56" s="19">
        <v>114.23023999999999</v>
      </c>
      <c r="B56" s="19">
        <v>8</v>
      </c>
      <c r="C56" s="19">
        <v>0.14896999999999999</v>
      </c>
      <c r="D56" s="19">
        <v>101.21607</v>
      </c>
      <c r="E56" s="21">
        <v>0</v>
      </c>
      <c r="F56" s="19">
        <v>100</v>
      </c>
      <c r="G56" s="19">
        <v>1</v>
      </c>
      <c r="H56" s="16">
        <v>2</v>
      </c>
    </row>
    <row r="57" spans="1:8" x14ac:dyDescent="0.15">
      <c r="A57" s="19">
        <v>114.56702</v>
      </c>
      <c r="B57" s="19">
        <v>8.5</v>
      </c>
      <c r="C57" s="19">
        <v>0.11931</v>
      </c>
      <c r="D57" s="19">
        <v>101.11824</v>
      </c>
      <c r="E57" s="21">
        <v>0</v>
      </c>
      <c r="F57" s="19">
        <v>100</v>
      </c>
      <c r="G57" s="19">
        <v>1</v>
      </c>
      <c r="H57" s="16">
        <v>2</v>
      </c>
    </row>
    <row r="58" spans="1:8" x14ac:dyDescent="0.15">
      <c r="A58" s="19">
        <v>114.72185</v>
      </c>
      <c r="B58" s="19">
        <v>9</v>
      </c>
      <c r="C58" s="20">
        <v>8.3319089999999998E-2</v>
      </c>
      <c r="D58" s="19">
        <v>101.16994</v>
      </c>
      <c r="E58" s="21">
        <v>0</v>
      </c>
      <c r="F58" s="19">
        <v>100</v>
      </c>
      <c r="G58" s="19">
        <v>1</v>
      </c>
      <c r="H58" s="16">
        <v>2</v>
      </c>
    </row>
    <row r="59" spans="1:8" x14ac:dyDescent="0.15">
      <c r="A59" s="19">
        <v>114.69268</v>
      </c>
      <c r="B59" s="19">
        <v>9.5</v>
      </c>
      <c r="C59" s="20">
        <v>4.9508740000000002E-2</v>
      </c>
      <c r="D59" s="19">
        <v>101.23262</v>
      </c>
      <c r="E59" s="21">
        <v>0</v>
      </c>
      <c r="F59" s="19">
        <v>100</v>
      </c>
      <c r="G59" s="19">
        <v>1</v>
      </c>
      <c r="H59" s="16">
        <v>2</v>
      </c>
    </row>
    <row r="60" spans="1:8" x14ac:dyDescent="0.15">
      <c r="A60" s="19">
        <v>114.47854</v>
      </c>
      <c r="B60" s="19">
        <v>10</v>
      </c>
      <c r="C60" s="20">
        <v>2.1508340000000001E-2</v>
      </c>
      <c r="D60" s="19">
        <v>101.06487</v>
      </c>
      <c r="E60" s="21">
        <v>0</v>
      </c>
      <c r="F60" s="19">
        <v>100</v>
      </c>
      <c r="G60" s="19">
        <v>1</v>
      </c>
      <c r="H60" s="16">
        <v>2</v>
      </c>
    </row>
    <row r="61" spans="1:8" x14ac:dyDescent="0.15">
      <c r="A61" s="19">
        <v>114.11937</v>
      </c>
      <c r="B61" s="19">
        <v>10.5</v>
      </c>
      <c r="C61" s="20">
        <v>-9.3251420000000002E-4</v>
      </c>
      <c r="D61" s="19">
        <v>101.11743</v>
      </c>
      <c r="E61" s="21">
        <v>0</v>
      </c>
      <c r="F61" s="19">
        <v>100</v>
      </c>
      <c r="G61" s="19">
        <v>1</v>
      </c>
      <c r="H61" s="16">
        <v>2</v>
      </c>
    </row>
    <row r="62" spans="1:8" x14ac:dyDescent="0.15">
      <c r="A62" s="19">
        <v>113.64592</v>
      </c>
      <c r="B62" s="19">
        <v>11</v>
      </c>
      <c r="C62" s="20">
        <v>-1.751347E-2</v>
      </c>
      <c r="D62" s="19">
        <v>101.07126</v>
      </c>
      <c r="E62" s="21">
        <v>0</v>
      </c>
      <c r="F62" s="19">
        <v>100</v>
      </c>
      <c r="G62" s="19">
        <v>1</v>
      </c>
      <c r="H62" s="16">
        <v>2</v>
      </c>
    </row>
    <row r="63" spans="1:8" x14ac:dyDescent="0.15">
      <c r="A63" s="19">
        <v>113.08996</v>
      </c>
      <c r="B63" s="19">
        <v>11.5</v>
      </c>
      <c r="C63" s="20">
        <v>-2.5811549999999999E-2</v>
      </c>
      <c r="D63" s="19">
        <v>101.03328</v>
      </c>
      <c r="E63" s="21">
        <v>0</v>
      </c>
      <c r="F63" s="19">
        <v>100</v>
      </c>
      <c r="G63" s="19">
        <v>1</v>
      </c>
      <c r="H63" s="16">
        <v>2</v>
      </c>
    </row>
    <row r="64" spans="1:8" x14ac:dyDescent="0.15">
      <c r="A64" s="19">
        <v>112.4894</v>
      </c>
      <c r="B64" s="19">
        <v>12</v>
      </c>
      <c r="C64" s="20">
        <v>-2.9983880000000001E-2</v>
      </c>
      <c r="D64" s="19">
        <v>101.13414</v>
      </c>
      <c r="E64" s="21">
        <v>0</v>
      </c>
      <c r="F64" s="19">
        <v>100</v>
      </c>
      <c r="G64" s="19">
        <v>1</v>
      </c>
      <c r="H64" s="16">
        <v>2</v>
      </c>
    </row>
    <row r="65" spans="1:8" x14ac:dyDescent="0.15">
      <c r="A65" s="19">
        <v>111.86642000000001</v>
      </c>
      <c r="B65" s="19">
        <v>12.5</v>
      </c>
      <c r="C65" s="20">
        <v>-2.9516089999999998E-2</v>
      </c>
      <c r="D65" s="19">
        <v>101.0399</v>
      </c>
      <c r="E65" s="21">
        <v>0</v>
      </c>
      <c r="F65" s="19">
        <v>100</v>
      </c>
      <c r="G65" s="19">
        <v>1</v>
      </c>
      <c r="H65" s="16">
        <v>2</v>
      </c>
    </row>
    <row r="66" spans="1:8" x14ac:dyDescent="0.15">
      <c r="A66" s="19">
        <v>111.24475</v>
      </c>
      <c r="B66" s="19">
        <v>13</v>
      </c>
      <c r="C66" s="20">
        <v>-2.578337E-2</v>
      </c>
      <c r="D66" s="19">
        <v>101.09507000000001</v>
      </c>
      <c r="E66" s="21">
        <v>0</v>
      </c>
      <c r="F66" s="19">
        <v>100</v>
      </c>
      <c r="G66" s="19">
        <v>1</v>
      </c>
      <c r="H66" s="16">
        <v>2</v>
      </c>
    </row>
    <row r="67" spans="1:8" x14ac:dyDescent="0.15">
      <c r="A67" s="19">
        <v>110.6345</v>
      </c>
      <c r="B67" s="19">
        <v>13.5</v>
      </c>
      <c r="C67" s="20">
        <v>-2.3335290000000002E-2</v>
      </c>
      <c r="D67" s="19">
        <v>101.05246</v>
      </c>
      <c r="E67" s="21">
        <v>0</v>
      </c>
      <c r="F67" s="19">
        <v>100</v>
      </c>
      <c r="G67" s="19">
        <v>1</v>
      </c>
      <c r="H67" s="16">
        <v>2</v>
      </c>
    </row>
    <row r="68" spans="1:8" x14ac:dyDescent="0.15">
      <c r="A68" s="19">
        <v>110.04039</v>
      </c>
      <c r="B68" s="19">
        <v>14</v>
      </c>
      <c r="C68" s="20">
        <v>-1.8921529999999999E-2</v>
      </c>
      <c r="D68" s="19">
        <v>101.01159</v>
      </c>
      <c r="E68" s="21">
        <v>0</v>
      </c>
      <c r="F68" s="19">
        <v>100</v>
      </c>
      <c r="G68" s="19">
        <v>1</v>
      </c>
      <c r="H68" s="16">
        <v>2</v>
      </c>
    </row>
    <row r="69" spans="1:8" x14ac:dyDescent="0.15">
      <c r="A69" s="19">
        <v>109.47035</v>
      </c>
      <c r="B69" s="19">
        <v>14.5</v>
      </c>
      <c r="C69" s="20">
        <v>-1.42358E-2</v>
      </c>
      <c r="D69" s="19">
        <v>100.97996000000001</v>
      </c>
      <c r="E69" s="21">
        <v>0</v>
      </c>
      <c r="F69" s="19">
        <v>100</v>
      </c>
      <c r="G69" s="19">
        <v>1</v>
      </c>
      <c r="H69" s="16">
        <v>2</v>
      </c>
    </row>
    <row r="70" spans="1:8" x14ac:dyDescent="0.15">
      <c r="A70" s="19">
        <v>108.93196</v>
      </c>
      <c r="B70" s="19">
        <v>15</v>
      </c>
      <c r="C70" s="20">
        <v>-8.7027479999999997E-3</v>
      </c>
      <c r="D70" s="19">
        <v>100.97257999999999</v>
      </c>
      <c r="E70" s="21">
        <v>0</v>
      </c>
      <c r="F70" s="19">
        <v>100</v>
      </c>
      <c r="G70" s="19">
        <v>1</v>
      </c>
      <c r="H70" s="16">
        <v>2</v>
      </c>
    </row>
    <row r="71" spans="1:8" x14ac:dyDescent="0.15">
      <c r="A71" s="19">
        <v>108.41749</v>
      </c>
      <c r="B71" s="19">
        <v>15.5</v>
      </c>
      <c r="C71" s="20">
        <v>-4.4723089999999998E-3</v>
      </c>
      <c r="D71" s="19">
        <v>100.91677</v>
      </c>
      <c r="E71" s="21">
        <v>0</v>
      </c>
      <c r="F71" s="19">
        <v>100</v>
      </c>
      <c r="G71" s="19">
        <v>1</v>
      </c>
      <c r="H71" s="16">
        <v>2</v>
      </c>
    </row>
    <row r="72" spans="1:8" x14ac:dyDescent="0.15">
      <c r="A72" s="19">
        <v>107.93826</v>
      </c>
      <c r="B72" s="19">
        <v>16</v>
      </c>
      <c r="C72" s="20">
        <v>1.8561630000000001E-3</v>
      </c>
      <c r="D72" s="19">
        <v>100.86413</v>
      </c>
      <c r="E72" s="21">
        <v>0</v>
      </c>
      <c r="F72" s="19">
        <v>100</v>
      </c>
      <c r="G72" s="19">
        <v>1</v>
      </c>
      <c r="H72" s="16">
        <v>2</v>
      </c>
    </row>
    <row r="73" spans="1:8" x14ac:dyDescent="0.15">
      <c r="A73" s="19">
        <v>107.50525</v>
      </c>
      <c r="B73" s="19">
        <v>16.5</v>
      </c>
      <c r="C73" s="20">
        <v>7.4178289999999999E-3</v>
      </c>
      <c r="D73" s="19">
        <v>100.84636</v>
      </c>
      <c r="E73" s="21">
        <v>0</v>
      </c>
      <c r="F73" s="19">
        <v>100</v>
      </c>
      <c r="G73" s="19">
        <v>1</v>
      </c>
      <c r="H73" s="16">
        <v>2</v>
      </c>
    </row>
    <row r="74" spans="1:8" x14ac:dyDescent="0.15">
      <c r="A74" s="19">
        <v>107.10876</v>
      </c>
      <c r="B74" s="19">
        <v>17</v>
      </c>
      <c r="C74" s="20">
        <v>1.3194320000000001E-2</v>
      </c>
      <c r="D74" s="19">
        <v>100.89734</v>
      </c>
      <c r="E74" s="21">
        <v>0</v>
      </c>
      <c r="F74" s="19">
        <v>100</v>
      </c>
      <c r="G74" s="19">
        <v>1</v>
      </c>
      <c r="H74" s="16">
        <v>2</v>
      </c>
    </row>
    <row r="75" spans="1:8" x14ac:dyDescent="0.15">
      <c r="A75" s="19">
        <v>106.74332</v>
      </c>
      <c r="B75" s="19">
        <v>17.5</v>
      </c>
      <c r="C75" s="20">
        <v>1.9739059999999999E-2</v>
      </c>
      <c r="D75" s="19">
        <v>100.90594</v>
      </c>
      <c r="E75" s="21">
        <v>0</v>
      </c>
      <c r="F75" s="19">
        <v>100</v>
      </c>
      <c r="G75" s="19">
        <v>1</v>
      </c>
      <c r="H75" s="16">
        <v>2</v>
      </c>
    </row>
    <row r="76" spans="1:8" x14ac:dyDescent="0.15">
      <c r="A76" s="19">
        <v>106.41511</v>
      </c>
      <c r="B76" s="19">
        <v>18</v>
      </c>
      <c r="C76" s="20">
        <v>2.4376789999999999E-2</v>
      </c>
      <c r="D76" s="19">
        <v>100.95511</v>
      </c>
      <c r="E76" s="21">
        <v>0</v>
      </c>
      <c r="F76" s="19">
        <v>100</v>
      </c>
      <c r="G76" s="19">
        <v>1</v>
      </c>
      <c r="H76" s="16">
        <v>2</v>
      </c>
    </row>
    <row r="77" spans="1:8" x14ac:dyDescent="0.15">
      <c r="A77" s="19">
        <v>106.11821</v>
      </c>
      <c r="B77" s="19">
        <v>18.5</v>
      </c>
      <c r="C77" s="20">
        <v>3.0502209999999998E-2</v>
      </c>
      <c r="D77" s="19">
        <v>100.79316</v>
      </c>
      <c r="E77" s="21">
        <v>0</v>
      </c>
      <c r="F77" s="19">
        <v>100</v>
      </c>
      <c r="G77" s="19">
        <v>1</v>
      </c>
      <c r="H77" s="16">
        <v>2</v>
      </c>
    </row>
    <row r="78" spans="1:8" x14ac:dyDescent="0.15">
      <c r="A78" s="19">
        <v>105.85517</v>
      </c>
      <c r="B78" s="19">
        <v>19</v>
      </c>
      <c r="C78" s="20">
        <v>3.5967310000000002E-2</v>
      </c>
      <c r="D78" s="19">
        <v>100.89256</v>
      </c>
      <c r="E78" s="21">
        <v>0</v>
      </c>
      <c r="F78" s="19">
        <v>100</v>
      </c>
      <c r="G78" s="19">
        <v>1</v>
      </c>
      <c r="H78" s="16">
        <v>2</v>
      </c>
    </row>
    <row r="79" spans="1:8" x14ac:dyDescent="0.15">
      <c r="A79" s="19">
        <v>105.62871</v>
      </c>
      <c r="B79" s="19">
        <v>19.5</v>
      </c>
      <c r="C79" s="20">
        <v>4.0934560000000002E-2</v>
      </c>
      <c r="D79" s="19">
        <v>100.84650000000001</v>
      </c>
      <c r="E79" s="21">
        <v>0</v>
      </c>
      <c r="F79" s="19">
        <v>100</v>
      </c>
      <c r="G79" s="19">
        <v>1</v>
      </c>
      <c r="H79" s="16">
        <v>2</v>
      </c>
    </row>
    <row r="80" spans="1:8" x14ac:dyDescent="0.15">
      <c r="A80" s="19">
        <v>105.43021</v>
      </c>
      <c r="B80" s="19">
        <v>20</v>
      </c>
      <c r="C80" s="20">
        <v>4.5825999999999999E-2</v>
      </c>
      <c r="D80" s="19">
        <v>100.95748</v>
      </c>
      <c r="E80" s="21">
        <v>0</v>
      </c>
      <c r="F80" s="19">
        <v>100</v>
      </c>
      <c r="G80" s="19">
        <v>1</v>
      </c>
      <c r="H80" s="16">
        <v>2</v>
      </c>
    </row>
    <row r="81" spans="1:8" x14ac:dyDescent="0.15">
      <c r="A81" s="19">
        <v>105.26657</v>
      </c>
      <c r="B81" s="19">
        <v>20.5</v>
      </c>
      <c r="C81" s="20">
        <v>5.0789500000000001E-2</v>
      </c>
      <c r="D81" s="19">
        <v>100.80746000000001</v>
      </c>
      <c r="E81" s="21">
        <v>0</v>
      </c>
      <c r="F81" s="19">
        <v>100</v>
      </c>
      <c r="G81" s="19">
        <v>1</v>
      </c>
      <c r="H81" s="16">
        <v>2</v>
      </c>
    </row>
    <row r="82" spans="1:8" x14ac:dyDescent="0.15">
      <c r="A82" s="19">
        <v>105.12801</v>
      </c>
      <c r="B82" s="19">
        <v>21</v>
      </c>
      <c r="C82" s="20">
        <v>5.355741E-2</v>
      </c>
      <c r="D82" s="19">
        <v>100.77081</v>
      </c>
      <c r="E82" s="21">
        <v>0</v>
      </c>
      <c r="F82" s="19">
        <v>100</v>
      </c>
      <c r="G82" s="19">
        <v>1</v>
      </c>
      <c r="H82" s="16">
        <v>2</v>
      </c>
    </row>
    <row r="83" spans="1:8" x14ac:dyDescent="0.15">
      <c r="A83" s="19">
        <v>105.01418</v>
      </c>
      <c r="B83" s="19">
        <v>21.5</v>
      </c>
      <c r="C83" s="20">
        <v>5.7918270000000001E-2</v>
      </c>
      <c r="D83" s="19">
        <v>100.90107</v>
      </c>
      <c r="E83" s="21">
        <v>0</v>
      </c>
      <c r="F83" s="19">
        <v>100</v>
      </c>
      <c r="G83" s="19">
        <v>1</v>
      </c>
      <c r="H83" s="16">
        <v>2</v>
      </c>
    </row>
    <row r="84" spans="1:8" x14ac:dyDescent="0.15">
      <c r="A84" s="19">
        <v>104.9174</v>
      </c>
      <c r="B84" s="19">
        <v>22</v>
      </c>
      <c r="C84" s="20">
        <v>5.8990750000000002E-2</v>
      </c>
      <c r="D84" s="19">
        <v>100.86982</v>
      </c>
      <c r="E84" s="21">
        <v>0</v>
      </c>
      <c r="F84" s="19">
        <v>100</v>
      </c>
      <c r="G84" s="19">
        <v>1</v>
      </c>
      <c r="H84" s="16">
        <v>2</v>
      </c>
    </row>
    <row r="85" spans="1:8" x14ac:dyDescent="0.15">
      <c r="A85" s="19">
        <v>104.84429</v>
      </c>
      <c r="B85" s="19">
        <v>22.5</v>
      </c>
      <c r="C85" s="20">
        <v>6.2065349999999998E-2</v>
      </c>
      <c r="D85" s="19">
        <v>100.87685</v>
      </c>
      <c r="E85" s="21">
        <v>0</v>
      </c>
      <c r="F85" s="19">
        <v>100</v>
      </c>
      <c r="G85" s="19">
        <v>1</v>
      </c>
      <c r="H85" s="16">
        <v>2</v>
      </c>
    </row>
    <row r="86" spans="1:8" x14ac:dyDescent="0.15">
      <c r="A86" s="19">
        <v>104.78783</v>
      </c>
      <c r="B86" s="19">
        <v>23</v>
      </c>
      <c r="C86" s="20">
        <v>6.4125219999999997E-2</v>
      </c>
      <c r="D86" s="19">
        <v>100.76683</v>
      </c>
      <c r="E86" s="21">
        <v>0</v>
      </c>
      <c r="F86" s="19">
        <v>100</v>
      </c>
      <c r="G86" s="19">
        <v>1</v>
      </c>
      <c r="H86" s="16">
        <v>2</v>
      </c>
    </row>
    <row r="87" spans="1:8" x14ac:dyDescent="0.15">
      <c r="A87" s="19">
        <v>104.75081</v>
      </c>
      <c r="B87" s="19">
        <v>23.5</v>
      </c>
      <c r="C87" s="20">
        <v>6.6290249999999995E-2</v>
      </c>
      <c r="D87" s="19">
        <v>100.69132</v>
      </c>
      <c r="E87" s="21">
        <v>0</v>
      </c>
      <c r="F87" s="19">
        <v>100</v>
      </c>
      <c r="G87" s="19">
        <v>1</v>
      </c>
      <c r="H87" s="16">
        <v>2</v>
      </c>
    </row>
    <row r="88" spans="1:8" x14ac:dyDescent="0.15">
      <c r="A88" s="19">
        <v>104.71756000000001</v>
      </c>
      <c r="B88" s="19">
        <v>24</v>
      </c>
      <c r="C88" s="20">
        <v>6.9782800000000006E-2</v>
      </c>
      <c r="D88" s="19">
        <v>100.88607</v>
      </c>
      <c r="E88" s="21">
        <v>0</v>
      </c>
      <c r="F88" s="19">
        <v>100</v>
      </c>
      <c r="G88" s="19">
        <v>1</v>
      </c>
      <c r="H88" s="16">
        <v>2</v>
      </c>
    </row>
    <row r="89" spans="1:8" x14ac:dyDescent="0.15">
      <c r="A89" s="19">
        <v>104.69604</v>
      </c>
      <c r="B89" s="19">
        <v>24.5</v>
      </c>
      <c r="C89" s="20">
        <v>7.0749510000000002E-2</v>
      </c>
      <c r="D89" s="19">
        <v>100.77655</v>
      </c>
      <c r="E89" s="21">
        <v>0</v>
      </c>
      <c r="F89" s="19">
        <v>100</v>
      </c>
      <c r="G89" s="19">
        <v>1</v>
      </c>
      <c r="H89" s="16">
        <v>2</v>
      </c>
    </row>
    <row r="90" spans="1:8" x14ac:dyDescent="0.15">
      <c r="A90" s="19">
        <v>104.68713</v>
      </c>
      <c r="B90" s="19">
        <v>25</v>
      </c>
      <c r="C90" s="20">
        <v>7.182595E-2</v>
      </c>
      <c r="D90" s="19">
        <v>100.88037</v>
      </c>
      <c r="E90" s="21">
        <v>0</v>
      </c>
      <c r="F90" s="19">
        <v>100</v>
      </c>
      <c r="G90" s="19">
        <v>1</v>
      </c>
      <c r="H90" s="16">
        <v>2</v>
      </c>
    </row>
    <row r="91" spans="1:8" x14ac:dyDescent="0.15">
      <c r="A91" s="19">
        <v>104.68396</v>
      </c>
      <c r="B91" s="19">
        <v>25.5</v>
      </c>
      <c r="C91" s="20">
        <v>7.2990810000000003E-2</v>
      </c>
      <c r="D91" s="19">
        <v>100.8464</v>
      </c>
      <c r="E91" s="21">
        <v>0</v>
      </c>
      <c r="F91" s="19">
        <v>100</v>
      </c>
      <c r="G91" s="19">
        <v>1</v>
      </c>
      <c r="H91" s="16">
        <v>2</v>
      </c>
    </row>
    <row r="92" spans="1:8" x14ac:dyDescent="0.15">
      <c r="A92" s="19">
        <v>104.69271999999999</v>
      </c>
      <c r="B92" s="19">
        <v>26</v>
      </c>
      <c r="C92" s="20">
        <v>7.3874579999999995E-2</v>
      </c>
      <c r="D92" s="19">
        <v>100.87629</v>
      </c>
      <c r="E92" s="21">
        <v>0</v>
      </c>
      <c r="F92" s="19">
        <v>100</v>
      </c>
      <c r="G92" s="19">
        <v>1</v>
      </c>
      <c r="H92" s="16">
        <v>2</v>
      </c>
    </row>
    <row r="93" spans="1:8" x14ac:dyDescent="0.15">
      <c r="A93" s="19">
        <v>104.70245</v>
      </c>
      <c r="B93" s="19">
        <v>26.5</v>
      </c>
      <c r="C93" s="20">
        <v>7.4928969999999998E-2</v>
      </c>
      <c r="D93" s="19">
        <v>100.82926999999999</v>
      </c>
      <c r="E93" s="21">
        <v>0</v>
      </c>
      <c r="F93" s="19">
        <v>100</v>
      </c>
      <c r="G93" s="19">
        <v>1</v>
      </c>
      <c r="H93" s="16">
        <v>2</v>
      </c>
    </row>
    <row r="94" spans="1:8" x14ac:dyDescent="0.15">
      <c r="A94" s="19">
        <v>104.71402999999999</v>
      </c>
      <c r="B94" s="19">
        <v>27</v>
      </c>
      <c r="C94" s="20">
        <v>7.6419029999999999E-2</v>
      </c>
      <c r="D94" s="19">
        <v>100.90154</v>
      </c>
      <c r="E94" s="21">
        <v>0</v>
      </c>
      <c r="F94" s="19">
        <v>100</v>
      </c>
      <c r="G94" s="19">
        <v>1</v>
      </c>
      <c r="H94" s="16">
        <v>2</v>
      </c>
    </row>
    <row r="95" spans="1:8" x14ac:dyDescent="0.15">
      <c r="A95" s="19">
        <v>104.72803</v>
      </c>
      <c r="B95" s="19">
        <v>27.5</v>
      </c>
      <c r="C95" s="20">
        <v>7.5012010000000004E-2</v>
      </c>
      <c r="D95" s="19">
        <v>100.86913</v>
      </c>
      <c r="E95" s="21">
        <v>0</v>
      </c>
      <c r="F95" s="19">
        <v>100</v>
      </c>
      <c r="G95" s="19">
        <v>1</v>
      </c>
      <c r="H95" s="16">
        <v>2</v>
      </c>
    </row>
    <row r="96" spans="1:8" x14ac:dyDescent="0.15">
      <c r="A96" s="19">
        <v>104.74281999999999</v>
      </c>
      <c r="B96" s="19">
        <v>28</v>
      </c>
      <c r="C96" s="20">
        <v>7.5548199999999996E-2</v>
      </c>
      <c r="D96" s="19">
        <v>100.90468</v>
      </c>
      <c r="E96" s="21">
        <v>0</v>
      </c>
      <c r="F96" s="19">
        <v>100</v>
      </c>
      <c r="G96" s="19">
        <v>1</v>
      </c>
      <c r="H96" s="16">
        <v>2</v>
      </c>
    </row>
    <row r="97" spans="1:8" x14ac:dyDescent="0.15">
      <c r="A97" s="19">
        <v>104.76172</v>
      </c>
      <c r="B97" s="19">
        <v>28.5</v>
      </c>
      <c r="C97" s="20">
        <v>7.5967950000000006E-2</v>
      </c>
      <c r="D97" s="19">
        <v>100.81778</v>
      </c>
      <c r="E97" s="21">
        <v>0</v>
      </c>
      <c r="F97" s="19">
        <v>100</v>
      </c>
      <c r="G97" s="19">
        <v>1</v>
      </c>
      <c r="H97" s="16">
        <v>2</v>
      </c>
    </row>
    <row r="98" spans="1:8" x14ac:dyDescent="0.15">
      <c r="A98" s="19">
        <v>104.78343</v>
      </c>
      <c r="B98" s="19">
        <v>29</v>
      </c>
      <c r="C98" s="20">
        <v>7.6418239999999998E-2</v>
      </c>
      <c r="D98" s="19">
        <v>100.73327</v>
      </c>
      <c r="E98" s="21">
        <v>0</v>
      </c>
      <c r="F98" s="19">
        <v>100</v>
      </c>
      <c r="G98" s="19">
        <v>1</v>
      </c>
      <c r="H98" s="16">
        <v>2</v>
      </c>
    </row>
    <row r="99" spans="1:8" x14ac:dyDescent="0.15">
      <c r="A99" s="19">
        <v>104.80468</v>
      </c>
      <c r="B99" s="19">
        <v>29.5</v>
      </c>
      <c r="C99" s="20">
        <v>7.6257939999999996E-2</v>
      </c>
      <c r="D99" s="19">
        <v>100.93001</v>
      </c>
      <c r="E99" s="21">
        <v>0</v>
      </c>
      <c r="F99" s="19">
        <v>100</v>
      </c>
      <c r="G99" s="19">
        <v>1</v>
      </c>
      <c r="H99" s="16">
        <v>2</v>
      </c>
    </row>
    <row r="100" spans="1:8" x14ac:dyDescent="0.15">
      <c r="A100" s="19">
        <v>104.8246</v>
      </c>
      <c r="B100" s="19">
        <v>30</v>
      </c>
      <c r="C100" s="20">
        <v>7.7453670000000002E-2</v>
      </c>
      <c r="D100" s="19">
        <v>100.73527</v>
      </c>
      <c r="E100" s="21">
        <v>0</v>
      </c>
      <c r="F100" s="19">
        <v>100</v>
      </c>
      <c r="G100" s="19">
        <v>1</v>
      </c>
      <c r="H100" s="16">
        <v>2</v>
      </c>
    </row>
    <row r="101" spans="1:8" x14ac:dyDescent="0.15">
      <c r="A101" s="19">
        <v>104.84493000000001</v>
      </c>
      <c r="B101" s="19">
        <v>30.5</v>
      </c>
      <c r="C101" s="20">
        <v>7.6810000000000003E-2</v>
      </c>
      <c r="D101" s="19">
        <v>100.74948999999999</v>
      </c>
      <c r="E101" s="21">
        <v>0</v>
      </c>
      <c r="F101" s="19">
        <v>100</v>
      </c>
      <c r="G101" s="19">
        <v>1</v>
      </c>
      <c r="H101" s="16">
        <v>2</v>
      </c>
    </row>
    <row r="102" spans="1:8" x14ac:dyDescent="0.15">
      <c r="A102" s="19">
        <v>104.86973999999999</v>
      </c>
      <c r="B102" s="19">
        <v>31</v>
      </c>
      <c r="C102" s="20">
        <v>7.6454179999999997E-2</v>
      </c>
      <c r="D102" s="19">
        <v>100.81115</v>
      </c>
      <c r="E102" s="21">
        <v>0</v>
      </c>
      <c r="F102" s="19">
        <v>100</v>
      </c>
      <c r="G102" s="19">
        <v>1</v>
      </c>
      <c r="H102" s="16">
        <v>2</v>
      </c>
    </row>
    <row r="103" spans="1:8" x14ac:dyDescent="0.15">
      <c r="A103" s="19">
        <v>104.89519</v>
      </c>
      <c r="B103" s="19">
        <v>31.5</v>
      </c>
      <c r="C103" s="20">
        <v>7.9216629999999996E-2</v>
      </c>
      <c r="D103" s="19">
        <v>100.83266</v>
      </c>
      <c r="E103" s="21">
        <v>0</v>
      </c>
      <c r="F103" s="19">
        <v>100</v>
      </c>
      <c r="G103" s="19">
        <v>1</v>
      </c>
      <c r="H103" s="16">
        <v>3</v>
      </c>
    </row>
    <row r="104" spans="1:8" x14ac:dyDescent="0.15">
      <c r="A104" s="19">
        <v>105.01228</v>
      </c>
      <c r="B104" s="19">
        <v>32</v>
      </c>
      <c r="C104" s="19">
        <v>0.1163</v>
      </c>
      <c r="D104" s="19">
        <v>100.84134</v>
      </c>
      <c r="E104" s="21">
        <v>0</v>
      </c>
      <c r="F104" s="19">
        <v>100</v>
      </c>
      <c r="G104" s="19">
        <v>1</v>
      </c>
      <c r="H104" s="16">
        <v>3</v>
      </c>
    </row>
    <row r="105" spans="1:8" x14ac:dyDescent="0.15">
      <c r="A105" s="19">
        <v>105.42015000000001</v>
      </c>
      <c r="B105" s="19">
        <v>32.5</v>
      </c>
      <c r="C105" s="19">
        <v>0.19503000000000001</v>
      </c>
      <c r="D105" s="19">
        <v>100.78488</v>
      </c>
      <c r="E105" s="21">
        <v>0</v>
      </c>
      <c r="F105" s="19">
        <v>100</v>
      </c>
      <c r="G105" s="19">
        <v>1</v>
      </c>
      <c r="H105" s="16">
        <v>3</v>
      </c>
    </row>
    <row r="106" spans="1:8" x14ac:dyDescent="0.15">
      <c r="A106" s="19">
        <v>106.25752</v>
      </c>
      <c r="B106" s="19">
        <v>33</v>
      </c>
      <c r="C106" s="19">
        <v>0.29883999999999999</v>
      </c>
      <c r="D106" s="19">
        <v>100.80789</v>
      </c>
      <c r="E106" s="21">
        <v>0</v>
      </c>
      <c r="F106" s="19">
        <v>100</v>
      </c>
      <c r="G106" s="19">
        <v>1</v>
      </c>
      <c r="H106" s="16">
        <v>3</v>
      </c>
    </row>
    <row r="107" spans="1:8" x14ac:dyDescent="0.15">
      <c r="A107" s="19">
        <v>107.56009</v>
      </c>
      <c r="B107" s="19">
        <v>33.5</v>
      </c>
      <c r="C107" s="19">
        <v>0.40371000000000001</v>
      </c>
      <c r="D107" s="19">
        <v>100.83449</v>
      </c>
      <c r="E107" s="21">
        <v>0</v>
      </c>
      <c r="F107" s="19">
        <v>100</v>
      </c>
      <c r="G107" s="19">
        <v>1</v>
      </c>
      <c r="H107" s="16">
        <v>3</v>
      </c>
    </row>
    <row r="108" spans="1:8" x14ac:dyDescent="0.15">
      <c r="A108" s="19">
        <v>109.29147</v>
      </c>
      <c r="B108" s="19">
        <v>34</v>
      </c>
      <c r="C108" s="19">
        <v>0.49774000000000002</v>
      </c>
      <c r="D108" s="19">
        <v>100.80891</v>
      </c>
      <c r="E108" s="21">
        <v>0</v>
      </c>
      <c r="F108" s="19">
        <v>100</v>
      </c>
      <c r="G108" s="19">
        <v>1</v>
      </c>
      <c r="H108" s="16">
        <v>3</v>
      </c>
    </row>
    <row r="109" spans="1:8" x14ac:dyDescent="0.15">
      <c r="A109" s="19">
        <v>111.3801</v>
      </c>
      <c r="B109" s="19">
        <v>34.5</v>
      </c>
      <c r="C109" s="19">
        <v>0.57355</v>
      </c>
      <c r="D109" s="19">
        <v>100.77161</v>
      </c>
      <c r="E109" s="21">
        <v>0</v>
      </c>
      <c r="F109" s="19">
        <v>100</v>
      </c>
      <c r="G109" s="19">
        <v>1</v>
      </c>
      <c r="H109" s="16">
        <v>3</v>
      </c>
    </row>
    <row r="110" spans="1:8" x14ac:dyDescent="0.15">
      <c r="A110" s="19">
        <v>113.73121999999999</v>
      </c>
      <c r="B110" s="19">
        <v>35</v>
      </c>
      <c r="C110" s="19">
        <v>0.63092000000000004</v>
      </c>
      <c r="D110" s="19">
        <v>100.70742</v>
      </c>
      <c r="E110" s="21">
        <v>0</v>
      </c>
      <c r="F110" s="19">
        <v>100</v>
      </c>
      <c r="G110" s="19">
        <v>1</v>
      </c>
      <c r="H110" s="16">
        <v>3</v>
      </c>
    </row>
    <row r="111" spans="1:8" x14ac:dyDescent="0.15">
      <c r="A111" s="19">
        <v>116.26472</v>
      </c>
      <c r="B111" s="19">
        <v>35.5</v>
      </c>
      <c r="C111" s="19">
        <v>0.67571999999999999</v>
      </c>
      <c r="D111" s="19">
        <v>100.85347</v>
      </c>
      <c r="E111" s="21">
        <v>0</v>
      </c>
      <c r="F111" s="19">
        <v>100</v>
      </c>
      <c r="G111" s="19">
        <v>1</v>
      </c>
      <c r="H111" s="16">
        <v>3</v>
      </c>
    </row>
    <row r="112" spans="1:8" x14ac:dyDescent="0.15">
      <c r="A112" s="19">
        <v>118.93949000000001</v>
      </c>
      <c r="B112" s="19">
        <v>36</v>
      </c>
      <c r="C112" s="19">
        <v>0.71240000000000003</v>
      </c>
      <c r="D112" s="19">
        <v>100.85581000000001</v>
      </c>
      <c r="E112" s="21">
        <v>0</v>
      </c>
      <c r="F112" s="19">
        <v>100</v>
      </c>
      <c r="G112" s="19">
        <v>1</v>
      </c>
      <c r="H112" s="16">
        <v>3</v>
      </c>
    </row>
    <row r="113" spans="1:8" x14ac:dyDescent="0.15">
      <c r="A113" s="19">
        <v>121.72308</v>
      </c>
      <c r="B113" s="19">
        <v>36.5</v>
      </c>
      <c r="C113" s="19">
        <v>0.74975999999999998</v>
      </c>
      <c r="D113" s="19">
        <v>100.79456999999999</v>
      </c>
      <c r="E113" s="21">
        <v>0</v>
      </c>
      <c r="F113" s="19">
        <v>100</v>
      </c>
      <c r="G113" s="19">
        <v>1</v>
      </c>
      <c r="H113" s="16">
        <v>3</v>
      </c>
    </row>
    <row r="114" spans="1:8" x14ac:dyDescent="0.15">
      <c r="A114" s="19">
        <v>124.5789</v>
      </c>
      <c r="B114" s="19">
        <v>37</v>
      </c>
      <c r="C114" s="19">
        <v>0.7833</v>
      </c>
      <c r="D114" s="19">
        <v>100.89364999999999</v>
      </c>
      <c r="E114" s="21">
        <v>0</v>
      </c>
      <c r="F114" s="19">
        <v>100</v>
      </c>
      <c r="G114" s="19">
        <v>1</v>
      </c>
      <c r="H114" s="16">
        <v>3</v>
      </c>
    </row>
    <row r="115" spans="1:8" x14ac:dyDescent="0.15">
      <c r="A115" s="19">
        <v>127.52012000000001</v>
      </c>
      <c r="B115" s="19">
        <v>37.5</v>
      </c>
      <c r="C115" s="19">
        <v>0.82081999999999999</v>
      </c>
      <c r="D115" s="19">
        <v>100.70981</v>
      </c>
      <c r="E115" s="21">
        <v>0</v>
      </c>
      <c r="F115" s="19">
        <v>100</v>
      </c>
      <c r="G115" s="19">
        <v>1</v>
      </c>
      <c r="H115" s="16">
        <v>3</v>
      </c>
    </row>
    <row r="116" spans="1:8" x14ac:dyDescent="0.15">
      <c r="A116" s="19">
        <v>130.51831999999999</v>
      </c>
      <c r="B116" s="19">
        <v>38</v>
      </c>
      <c r="C116" s="19">
        <v>0.85643000000000002</v>
      </c>
      <c r="D116" s="19">
        <v>100.80012000000001</v>
      </c>
      <c r="E116" s="21">
        <v>0</v>
      </c>
      <c r="F116" s="19">
        <v>100</v>
      </c>
      <c r="G116" s="19">
        <v>1</v>
      </c>
      <c r="H116" s="16">
        <v>3</v>
      </c>
    </row>
    <row r="117" spans="1:8" x14ac:dyDescent="0.15">
      <c r="A117" s="19">
        <v>133.56437</v>
      </c>
      <c r="B117" s="19">
        <v>38.5</v>
      </c>
      <c r="C117" s="19">
        <v>0.88982000000000006</v>
      </c>
      <c r="D117" s="19">
        <v>100.67783</v>
      </c>
      <c r="E117" s="21">
        <v>0</v>
      </c>
      <c r="F117" s="19">
        <v>100</v>
      </c>
      <c r="G117" s="19">
        <v>1</v>
      </c>
      <c r="H117" s="16">
        <v>3</v>
      </c>
    </row>
    <row r="118" spans="1:8" x14ac:dyDescent="0.15">
      <c r="A118" s="19">
        <v>136.64406</v>
      </c>
      <c r="B118" s="19">
        <v>39</v>
      </c>
      <c r="C118" s="19">
        <v>0.91708000000000001</v>
      </c>
      <c r="D118" s="19">
        <v>100.77722</v>
      </c>
      <c r="E118" s="21">
        <v>0</v>
      </c>
      <c r="F118" s="19">
        <v>100</v>
      </c>
      <c r="G118" s="19">
        <v>1</v>
      </c>
      <c r="H118" s="16">
        <v>3</v>
      </c>
    </row>
    <row r="119" spans="1:8" x14ac:dyDescent="0.15">
      <c r="A119" s="19">
        <v>139.73572999999999</v>
      </c>
      <c r="B119" s="19">
        <v>39.5</v>
      </c>
      <c r="C119" s="19">
        <v>0.94098999999999999</v>
      </c>
      <c r="D119" s="19">
        <v>100.59477</v>
      </c>
      <c r="E119" s="21">
        <v>0</v>
      </c>
      <c r="F119" s="19">
        <v>100</v>
      </c>
      <c r="G119" s="19">
        <v>1</v>
      </c>
      <c r="H119" s="16">
        <v>3</v>
      </c>
    </row>
    <row r="120" spans="1:8" x14ac:dyDescent="0.15">
      <c r="A120" s="19">
        <v>142.82042000000001</v>
      </c>
      <c r="B120" s="19">
        <v>40</v>
      </c>
      <c r="C120" s="19">
        <v>0.96235000000000004</v>
      </c>
      <c r="D120" s="19">
        <v>100.72507</v>
      </c>
      <c r="E120" s="21">
        <v>0</v>
      </c>
      <c r="F120" s="19">
        <v>100</v>
      </c>
      <c r="G120" s="19">
        <v>1</v>
      </c>
      <c r="H120" s="16">
        <v>3</v>
      </c>
    </row>
    <row r="121" spans="1:8" x14ac:dyDescent="0.15">
      <c r="A121" s="19">
        <v>145.88276999999999</v>
      </c>
      <c r="B121" s="19">
        <v>40.5</v>
      </c>
      <c r="C121" s="19">
        <v>0.98033999999999999</v>
      </c>
      <c r="D121" s="19">
        <v>100.73657</v>
      </c>
      <c r="E121" s="21">
        <v>0</v>
      </c>
      <c r="F121" s="19">
        <v>100</v>
      </c>
      <c r="G121" s="19">
        <v>1</v>
      </c>
      <c r="H121" s="16">
        <v>3</v>
      </c>
    </row>
    <row r="122" spans="1:8" x14ac:dyDescent="0.15">
      <c r="A122" s="19">
        <v>148.91865000000001</v>
      </c>
      <c r="B122" s="19">
        <v>41</v>
      </c>
      <c r="C122" s="19">
        <v>0.99434999999999996</v>
      </c>
      <c r="D122" s="19">
        <v>100.7032</v>
      </c>
      <c r="E122" s="21">
        <v>0</v>
      </c>
      <c r="F122" s="19">
        <v>100</v>
      </c>
      <c r="G122" s="19">
        <v>1</v>
      </c>
      <c r="H122" s="16">
        <v>3</v>
      </c>
    </row>
    <row r="123" spans="1:8" x14ac:dyDescent="0.15">
      <c r="A123" s="19">
        <v>151.91757999999999</v>
      </c>
      <c r="B123" s="19">
        <v>41.5</v>
      </c>
      <c r="C123" s="19">
        <v>1.00823</v>
      </c>
      <c r="D123" s="19">
        <v>100.79407999999999</v>
      </c>
      <c r="E123" s="21">
        <v>0</v>
      </c>
      <c r="F123" s="19">
        <v>100</v>
      </c>
      <c r="G123" s="19">
        <v>1</v>
      </c>
      <c r="H123" s="16">
        <v>3</v>
      </c>
    </row>
    <row r="124" spans="1:8" x14ac:dyDescent="0.15">
      <c r="A124" s="19">
        <v>154.87486999999999</v>
      </c>
      <c r="B124" s="19">
        <v>42</v>
      </c>
      <c r="C124" s="19">
        <v>1.0226999999999999</v>
      </c>
      <c r="D124" s="19">
        <v>100.54642</v>
      </c>
      <c r="E124" s="21">
        <v>0</v>
      </c>
      <c r="F124" s="19">
        <v>100</v>
      </c>
      <c r="G124" s="19">
        <v>1</v>
      </c>
      <c r="H124" s="16">
        <v>3</v>
      </c>
    </row>
    <row r="125" spans="1:8" x14ac:dyDescent="0.15">
      <c r="A125" s="19">
        <v>157.78736000000001</v>
      </c>
      <c r="B125" s="19">
        <v>42.5</v>
      </c>
      <c r="C125" s="19">
        <v>1.0362499999999999</v>
      </c>
      <c r="D125" s="19">
        <v>100.6417</v>
      </c>
      <c r="E125" s="21">
        <v>0</v>
      </c>
      <c r="F125" s="19">
        <v>100</v>
      </c>
      <c r="G125" s="19">
        <v>1</v>
      </c>
      <c r="H125" s="16">
        <v>3</v>
      </c>
    </row>
    <row r="126" spans="1:8" x14ac:dyDescent="0.15">
      <c r="A126" s="19">
        <v>160.66431</v>
      </c>
      <c r="B126" s="19">
        <v>43</v>
      </c>
      <c r="C126" s="19">
        <v>1.0528599999999999</v>
      </c>
      <c r="D126" s="19">
        <v>100.65958999999999</v>
      </c>
      <c r="E126" s="21">
        <v>0</v>
      </c>
      <c r="F126" s="19">
        <v>100</v>
      </c>
      <c r="G126" s="19">
        <v>1</v>
      </c>
      <c r="H126" s="16">
        <v>3</v>
      </c>
    </row>
    <row r="127" spans="1:8" x14ac:dyDescent="0.15">
      <c r="A127" s="19">
        <v>163.49852999999999</v>
      </c>
      <c r="B127" s="19">
        <v>43.5</v>
      </c>
      <c r="C127" s="19">
        <v>1.06429</v>
      </c>
      <c r="D127" s="19">
        <v>100.68608</v>
      </c>
      <c r="E127" s="21">
        <v>0</v>
      </c>
      <c r="F127" s="19">
        <v>100</v>
      </c>
      <c r="G127" s="19">
        <v>1</v>
      </c>
      <c r="H127" s="16">
        <v>3</v>
      </c>
    </row>
    <row r="128" spans="1:8" x14ac:dyDescent="0.15">
      <c r="A128" s="19">
        <v>166.29077000000001</v>
      </c>
      <c r="B128" s="19">
        <v>44</v>
      </c>
      <c r="C128" s="19">
        <v>1.07839</v>
      </c>
      <c r="D128" s="19">
        <v>100.58795000000001</v>
      </c>
      <c r="E128" s="21">
        <v>0</v>
      </c>
      <c r="F128" s="19">
        <v>100</v>
      </c>
      <c r="G128" s="19">
        <v>1</v>
      </c>
      <c r="H128" s="16">
        <v>3</v>
      </c>
    </row>
    <row r="129" spans="1:8" x14ac:dyDescent="0.15">
      <c r="A129" s="19">
        <v>169.04706999999999</v>
      </c>
      <c r="B129" s="19">
        <v>44.5</v>
      </c>
      <c r="C129" s="19">
        <v>1.0920799999999999</v>
      </c>
      <c r="D129" s="19">
        <v>100.56421</v>
      </c>
      <c r="E129" s="21">
        <v>0</v>
      </c>
      <c r="F129" s="19">
        <v>100</v>
      </c>
      <c r="G129" s="19">
        <v>1</v>
      </c>
      <c r="H129" s="16">
        <v>3</v>
      </c>
    </row>
    <row r="130" spans="1:8" x14ac:dyDescent="0.15">
      <c r="A130" s="19">
        <v>171.75820999999999</v>
      </c>
      <c r="B130" s="19">
        <v>45</v>
      </c>
      <c r="C130" s="19">
        <v>1.1073</v>
      </c>
      <c r="D130" s="19">
        <v>100.58547</v>
      </c>
      <c r="E130" s="21">
        <v>0</v>
      </c>
      <c r="F130" s="19">
        <v>100</v>
      </c>
      <c r="G130" s="19">
        <v>1</v>
      </c>
      <c r="H130" s="16">
        <v>3</v>
      </c>
    </row>
    <row r="131" spans="1:8" x14ac:dyDescent="0.15">
      <c r="A131" s="19">
        <v>174.44607999999999</v>
      </c>
      <c r="B131" s="19">
        <v>45.5</v>
      </c>
      <c r="C131" s="19">
        <v>1.12002</v>
      </c>
      <c r="D131" s="19">
        <v>100.4652</v>
      </c>
      <c r="E131" s="21">
        <v>0</v>
      </c>
      <c r="F131" s="19">
        <v>100</v>
      </c>
      <c r="G131" s="19">
        <v>1</v>
      </c>
      <c r="H131" s="16">
        <v>3</v>
      </c>
    </row>
    <row r="132" spans="1:8" x14ac:dyDescent="0.15">
      <c r="A132" s="19">
        <v>177.10058000000001</v>
      </c>
      <c r="B132" s="19">
        <v>46</v>
      </c>
      <c r="C132" s="19">
        <v>1.13547</v>
      </c>
      <c r="D132" s="19">
        <v>100.45538000000001</v>
      </c>
      <c r="E132" s="21">
        <v>0</v>
      </c>
      <c r="F132" s="19">
        <v>100</v>
      </c>
      <c r="G132" s="19">
        <v>1</v>
      </c>
      <c r="H132" s="16">
        <v>3</v>
      </c>
    </row>
    <row r="133" spans="1:8" x14ac:dyDescent="0.15">
      <c r="A133" s="19">
        <v>179.72948</v>
      </c>
      <c r="B133" s="19">
        <v>46.5</v>
      </c>
      <c r="C133" s="19">
        <v>1.15184</v>
      </c>
      <c r="D133" s="19">
        <v>100.5149</v>
      </c>
      <c r="E133" s="21">
        <v>0</v>
      </c>
      <c r="F133" s="19">
        <v>100</v>
      </c>
      <c r="G133" s="19">
        <v>1</v>
      </c>
      <c r="H133" s="16">
        <v>3</v>
      </c>
    </row>
    <row r="134" spans="1:8" x14ac:dyDescent="0.15">
      <c r="A134" s="19">
        <v>182.33296999999999</v>
      </c>
      <c r="B134" s="19">
        <v>47</v>
      </c>
      <c r="C134" s="19">
        <v>1.1667099999999999</v>
      </c>
      <c r="D134" s="19">
        <v>100.33001</v>
      </c>
      <c r="E134" s="21">
        <v>0</v>
      </c>
      <c r="F134" s="19">
        <v>100</v>
      </c>
      <c r="G134" s="19">
        <v>1</v>
      </c>
      <c r="H134" s="16">
        <v>3</v>
      </c>
    </row>
    <row r="135" spans="1:8" x14ac:dyDescent="0.15">
      <c r="A135" s="19">
        <v>184.91512</v>
      </c>
      <c r="B135" s="19">
        <v>47.5</v>
      </c>
      <c r="C135" s="19">
        <v>1.1842299999999999</v>
      </c>
      <c r="D135" s="19">
        <v>100.53659</v>
      </c>
      <c r="E135" s="21">
        <v>0</v>
      </c>
      <c r="F135" s="19">
        <v>100</v>
      </c>
      <c r="G135" s="19">
        <v>1</v>
      </c>
      <c r="H135" s="16">
        <v>3</v>
      </c>
    </row>
    <row r="136" spans="1:8" x14ac:dyDescent="0.15">
      <c r="A136" s="19">
        <v>187.48337000000001</v>
      </c>
      <c r="B136" s="19">
        <v>48</v>
      </c>
      <c r="C136" s="19">
        <v>1.2029099999999999</v>
      </c>
      <c r="D136" s="19">
        <v>100.42657</v>
      </c>
      <c r="E136" s="20">
        <v>0</v>
      </c>
      <c r="F136" s="19">
        <v>100</v>
      </c>
      <c r="G136" s="19">
        <v>1</v>
      </c>
      <c r="H136" s="16">
        <v>3</v>
      </c>
    </row>
    <row r="137" spans="1:8" x14ac:dyDescent="0.15">
      <c r="A137" s="19">
        <v>190.03648999999999</v>
      </c>
      <c r="B137" s="19">
        <v>48.5</v>
      </c>
      <c r="C137" s="19">
        <v>1.22254</v>
      </c>
      <c r="D137" s="19">
        <v>100.43527</v>
      </c>
      <c r="E137" s="20">
        <v>6.6028119999999999E-296</v>
      </c>
      <c r="F137" s="19">
        <v>100</v>
      </c>
      <c r="G137" s="19">
        <v>1</v>
      </c>
      <c r="H137" s="16">
        <v>3</v>
      </c>
    </row>
    <row r="138" spans="1:8" x14ac:dyDescent="0.15">
      <c r="A138" s="19">
        <v>192.56567999999999</v>
      </c>
      <c r="B138" s="19">
        <v>49</v>
      </c>
      <c r="C138" s="19">
        <v>1.2404299999999999</v>
      </c>
      <c r="D138" s="19">
        <v>100.47629999999999</v>
      </c>
      <c r="E138" s="20">
        <v>1.3333069999999999E-274</v>
      </c>
      <c r="F138" s="19">
        <v>100</v>
      </c>
      <c r="G138" s="19">
        <v>1</v>
      </c>
      <c r="H138" s="16">
        <v>3</v>
      </c>
    </row>
    <row r="139" spans="1:8" x14ac:dyDescent="0.15">
      <c r="A139" s="19">
        <v>195.09218000000001</v>
      </c>
      <c r="B139" s="19">
        <v>49.5</v>
      </c>
      <c r="C139" s="19">
        <v>1.2587900000000001</v>
      </c>
      <c r="D139" s="19">
        <v>100.26266</v>
      </c>
      <c r="E139" s="20">
        <v>-5.1975060000000002E-253</v>
      </c>
      <c r="F139" s="19">
        <v>100</v>
      </c>
      <c r="G139" s="19">
        <v>1</v>
      </c>
      <c r="H139" s="16">
        <v>3</v>
      </c>
    </row>
    <row r="140" spans="1:8" x14ac:dyDescent="0.15">
      <c r="A140" s="19">
        <v>197.60727</v>
      </c>
      <c r="B140" s="19">
        <v>50</v>
      </c>
      <c r="C140" s="19">
        <v>1.2800499999999999</v>
      </c>
      <c r="D140" s="19">
        <v>100.27511</v>
      </c>
      <c r="E140" s="20">
        <v>-1.049533E-231</v>
      </c>
      <c r="F140" s="19">
        <v>100</v>
      </c>
      <c r="G140" s="19">
        <v>1</v>
      </c>
      <c r="H140" s="16">
        <v>3</v>
      </c>
    </row>
    <row r="141" spans="1:8" x14ac:dyDescent="0.15">
      <c r="A141" s="19">
        <v>200.11624</v>
      </c>
      <c r="B141" s="19">
        <v>50.5</v>
      </c>
      <c r="C141" s="19">
        <v>1.3027299999999999</v>
      </c>
      <c r="D141" s="19">
        <v>100.20997</v>
      </c>
      <c r="E141" s="20">
        <v>4.0912979999999997E-210</v>
      </c>
      <c r="F141" s="19">
        <v>100</v>
      </c>
      <c r="G141" s="19">
        <v>1</v>
      </c>
      <c r="H141" s="16">
        <v>3</v>
      </c>
    </row>
    <row r="142" spans="1:8" x14ac:dyDescent="0.15">
      <c r="A142" s="19">
        <v>202.61812</v>
      </c>
      <c r="B142" s="19">
        <v>51</v>
      </c>
      <c r="C142" s="19">
        <v>1.32576</v>
      </c>
      <c r="D142" s="19">
        <v>100.28322</v>
      </c>
      <c r="E142" s="20">
        <v>8.2615650000000002E-189</v>
      </c>
      <c r="F142" s="19">
        <v>100</v>
      </c>
      <c r="G142" s="19">
        <v>1</v>
      </c>
      <c r="H142" s="16">
        <v>3</v>
      </c>
    </row>
    <row r="143" spans="1:8" x14ac:dyDescent="0.15">
      <c r="A143" s="19">
        <v>205.11838</v>
      </c>
      <c r="B143" s="19">
        <v>51.5</v>
      </c>
      <c r="C143" s="19">
        <v>1.3468899999999999</v>
      </c>
      <c r="D143" s="19">
        <v>100.38625999999999</v>
      </c>
      <c r="E143" s="20">
        <v>-3.2205280000000002E-167</v>
      </c>
      <c r="F143" s="19">
        <v>100</v>
      </c>
      <c r="G143" s="19">
        <v>1</v>
      </c>
      <c r="H143" s="16">
        <v>3</v>
      </c>
    </row>
    <row r="144" spans="1:8" x14ac:dyDescent="0.15">
      <c r="A144" s="19">
        <v>207.60906</v>
      </c>
      <c r="B144" s="19">
        <v>52</v>
      </c>
      <c r="C144" s="19">
        <v>1.3683000000000001</v>
      </c>
      <c r="D144" s="19">
        <v>100.17828</v>
      </c>
      <c r="E144" s="20">
        <v>-6.5032199999999996E-146</v>
      </c>
      <c r="F144" s="19">
        <v>100</v>
      </c>
      <c r="G144" s="19">
        <v>1</v>
      </c>
      <c r="H144" s="16">
        <v>3</v>
      </c>
    </row>
    <row r="145" spans="1:12" x14ac:dyDescent="0.15">
      <c r="A145" s="19">
        <v>210.09628000000001</v>
      </c>
      <c r="B145" s="19">
        <v>52.5</v>
      </c>
      <c r="C145" s="19">
        <v>1.39066</v>
      </c>
      <c r="D145" s="19">
        <v>100.17877</v>
      </c>
      <c r="E145" s="20">
        <v>2.535089E-124</v>
      </c>
      <c r="F145" s="19">
        <v>100</v>
      </c>
      <c r="G145" s="19">
        <v>1</v>
      </c>
      <c r="H145" s="16">
        <v>3</v>
      </c>
    </row>
    <row r="146" spans="1:12" x14ac:dyDescent="0.15">
      <c r="A146" s="19">
        <v>212.58510000000001</v>
      </c>
      <c r="B146" s="19">
        <v>53</v>
      </c>
      <c r="C146" s="19">
        <v>1.41296</v>
      </c>
      <c r="D146" s="19">
        <v>100.11261</v>
      </c>
      <c r="E146" s="20">
        <v>5.1191100000000005E-103</v>
      </c>
      <c r="F146" s="19">
        <v>100</v>
      </c>
      <c r="G146" s="19">
        <v>1</v>
      </c>
      <c r="H146" s="16">
        <v>3</v>
      </c>
    </row>
    <row r="147" spans="1:12" x14ac:dyDescent="0.15">
      <c r="A147" s="19">
        <v>215.06808000000001</v>
      </c>
      <c r="B147" s="19">
        <v>53.5</v>
      </c>
      <c r="C147" s="19">
        <v>1.4365399999999999</v>
      </c>
      <c r="D147" s="19">
        <v>100.13303999999999</v>
      </c>
      <c r="E147" s="20">
        <v>-1.9955350000000001E-81</v>
      </c>
      <c r="F147" s="19">
        <v>100</v>
      </c>
      <c r="G147" s="19">
        <v>1</v>
      </c>
      <c r="H147" s="16">
        <v>3</v>
      </c>
    </row>
    <row r="148" spans="1:12" x14ac:dyDescent="0.15">
      <c r="A148" s="19">
        <v>217.55152000000001</v>
      </c>
      <c r="B148" s="19">
        <v>54</v>
      </c>
      <c r="C148" s="19">
        <v>1.46018</v>
      </c>
      <c r="D148" s="19">
        <v>100.18634</v>
      </c>
      <c r="E148" s="20">
        <v>-4.0295870000000002E-60</v>
      </c>
      <c r="F148" s="19">
        <v>100</v>
      </c>
      <c r="G148" s="19">
        <v>1</v>
      </c>
      <c r="H148" s="16">
        <v>3</v>
      </c>
    </row>
    <row r="149" spans="1:12" x14ac:dyDescent="0.15">
      <c r="A149" s="19">
        <v>220.04084</v>
      </c>
      <c r="B149" s="19">
        <v>54.5</v>
      </c>
      <c r="C149" s="19">
        <v>1.4836800000000001</v>
      </c>
      <c r="D149" s="19">
        <v>100.07817</v>
      </c>
      <c r="E149" s="20">
        <v>1.570816E-38</v>
      </c>
      <c r="F149" s="19">
        <v>100</v>
      </c>
      <c r="G149" s="19">
        <v>1</v>
      </c>
      <c r="H149" s="16">
        <v>3</v>
      </c>
    </row>
    <row r="150" spans="1:12" x14ac:dyDescent="0.15">
      <c r="A150" s="19">
        <v>222.52316999999999</v>
      </c>
      <c r="B150" s="19">
        <v>55</v>
      </c>
      <c r="C150" s="19">
        <v>1.50691</v>
      </c>
      <c r="D150" s="19">
        <v>99.699039999999997</v>
      </c>
      <c r="E150" s="20">
        <v>3.1719520000000001E-17</v>
      </c>
      <c r="F150" s="19">
        <v>100</v>
      </c>
      <c r="G150" s="19">
        <v>1</v>
      </c>
      <c r="H150" s="16">
        <v>3</v>
      </c>
    </row>
    <row r="151" spans="1:12" x14ac:dyDescent="0.15">
      <c r="A151" s="19">
        <v>224.99323000000001</v>
      </c>
      <c r="B151" s="19">
        <v>55.5</v>
      </c>
      <c r="C151" s="19">
        <v>1.52091</v>
      </c>
      <c r="D151" s="19">
        <v>100.07581999999999</v>
      </c>
      <c r="E151" s="19">
        <v>19.45346</v>
      </c>
      <c r="F151" s="19">
        <v>80.546539999999993</v>
      </c>
      <c r="G151" s="19">
        <v>1</v>
      </c>
      <c r="H151" s="16">
        <v>4</v>
      </c>
      <c r="J151" s="19">
        <f>295-Table29[[#This Row],[Time/min]]</f>
        <v>239.5</v>
      </c>
      <c r="K151" s="15">
        <f>J151/60</f>
        <v>3.9916666666666667</v>
      </c>
      <c r="L151" s="19">
        <f>Table29[[#This Row],[Mass/%]]-D630</f>
        <v>2.0316899999999976</v>
      </c>
    </row>
    <row r="152" spans="1:12" x14ac:dyDescent="0.15">
      <c r="A152" s="19">
        <v>227.11912000000001</v>
      </c>
      <c r="B152" s="19">
        <v>56</v>
      </c>
      <c r="C152" s="19">
        <v>1.4541500000000001</v>
      </c>
      <c r="D152" s="19">
        <v>99.771339999999995</v>
      </c>
      <c r="E152" s="19">
        <v>20</v>
      </c>
      <c r="F152" s="19">
        <v>80</v>
      </c>
      <c r="G152" s="19">
        <v>1</v>
      </c>
      <c r="H152" s="16">
        <v>4</v>
      </c>
    </row>
    <row r="153" spans="1:12" x14ac:dyDescent="0.15">
      <c r="A153" s="19">
        <v>228.69852</v>
      </c>
      <c r="B153" s="19">
        <v>56.5</v>
      </c>
      <c r="C153" s="19">
        <v>1.7405900000000001</v>
      </c>
      <c r="D153" s="19">
        <v>100.08382</v>
      </c>
      <c r="E153" s="19">
        <v>20</v>
      </c>
      <c r="F153" s="19">
        <v>80</v>
      </c>
      <c r="G153" s="19">
        <v>1</v>
      </c>
      <c r="H153" s="16">
        <v>4</v>
      </c>
    </row>
    <row r="154" spans="1:12" x14ac:dyDescent="0.15">
      <c r="A154" s="19">
        <v>229.64313999999999</v>
      </c>
      <c r="B154" s="19">
        <v>57</v>
      </c>
      <c r="C154" s="19">
        <v>1.5063</v>
      </c>
      <c r="D154" s="19">
        <v>100.08121</v>
      </c>
      <c r="E154" s="19">
        <v>20</v>
      </c>
      <c r="F154" s="19">
        <v>80</v>
      </c>
      <c r="G154" s="19">
        <v>1</v>
      </c>
      <c r="H154" s="16">
        <v>4</v>
      </c>
    </row>
    <row r="155" spans="1:12" x14ac:dyDescent="0.15">
      <c r="A155" s="19">
        <v>230.09608</v>
      </c>
      <c r="B155" s="19">
        <v>57.5</v>
      </c>
      <c r="C155" s="19">
        <v>1.2722</v>
      </c>
      <c r="D155" s="19">
        <v>100.06466</v>
      </c>
      <c r="E155" s="19">
        <v>20</v>
      </c>
      <c r="F155" s="19">
        <v>80</v>
      </c>
      <c r="G155" s="19">
        <v>1</v>
      </c>
      <c r="H155" s="16">
        <v>4</v>
      </c>
    </row>
    <row r="156" spans="1:12" x14ac:dyDescent="0.15">
      <c r="A156" s="19">
        <v>230.26029</v>
      </c>
      <c r="B156" s="19">
        <v>58</v>
      </c>
      <c r="C156" s="19">
        <v>1.14273</v>
      </c>
      <c r="D156" s="19">
        <v>100.14502</v>
      </c>
      <c r="E156" s="19">
        <v>20</v>
      </c>
      <c r="F156" s="19">
        <v>80</v>
      </c>
      <c r="G156" s="19">
        <v>1</v>
      </c>
      <c r="H156" s="16">
        <v>4</v>
      </c>
    </row>
    <row r="157" spans="1:12" x14ac:dyDescent="0.15">
      <c r="A157" s="19">
        <v>230.29175000000001</v>
      </c>
      <c r="B157" s="19">
        <v>58.5</v>
      </c>
      <c r="C157" s="19">
        <v>1.07856</v>
      </c>
      <c r="D157" s="19">
        <v>100.17519</v>
      </c>
      <c r="E157" s="19">
        <v>20</v>
      </c>
      <c r="F157" s="19">
        <v>80</v>
      </c>
      <c r="G157" s="19">
        <v>1</v>
      </c>
      <c r="H157" s="16">
        <v>4</v>
      </c>
    </row>
    <row r="158" spans="1:12" x14ac:dyDescent="0.15">
      <c r="A158" s="19">
        <v>230.26491999999999</v>
      </c>
      <c r="B158" s="19">
        <v>59</v>
      </c>
      <c r="C158" s="19">
        <v>1.0374300000000001</v>
      </c>
      <c r="D158" s="19">
        <v>100.1371</v>
      </c>
      <c r="E158" s="19">
        <v>20</v>
      </c>
      <c r="F158" s="19">
        <v>80</v>
      </c>
      <c r="G158" s="19">
        <v>1</v>
      </c>
      <c r="H158" s="16">
        <v>4</v>
      </c>
    </row>
    <row r="159" spans="1:12" x14ac:dyDescent="0.15">
      <c r="A159" s="19">
        <v>230.19832</v>
      </c>
      <c r="B159" s="19">
        <v>59.5</v>
      </c>
      <c r="C159" s="19">
        <v>0.99092000000000002</v>
      </c>
      <c r="D159" s="19">
        <v>100.13039999999999</v>
      </c>
      <c r="E159" s="19">
        <v>20</v>
      </c>
      <c r="F159" s="19">
        <v>80</v>
      </c>
      <c r="G159" s="19">
        <v>1</v>
      </c>
      <c r="H159" s="16">
        <v>4</v>
      </c>
    </row>
    <row r="160" spans="1:12" x14ac:dyDescent="0.15">
      <c r="A160" s="19">
        <v>230.06881000000001</v>
      </c>
      <c r="B160" s="19">
        <v>60</v>
      </c>
      <c r="C160" s="19">
        <v>0.93281999999999998</v>
      </c>
      <c r="D160" s="19">
        <v>100.24339000000001</v>
      </c>
      <c r="E160" s="19">
        <v>20</v>
      </c>
      <c r="F160" s="19">
        <v>80</v>
      </c>
      <c r="G160" s="19">
        <v>1</v>
      </c>
      <c r="H160" s="16">
        <v>4</v>
      </c>
    </row>
    <row r="161" spans="1:8" x14ac:dyDescent="0.15">
      <c r="A161" s="19">
        <v>229.86067</v>
      </c>
      <c r="B161" s="19">
        <v>60.5</v>
      </c>
      <c r="C161" s="19">
        <v>0.87378999999999996</v>
      </c>
      <c r="D161" s="19">
        <v>99.962789999999998</v>
      </c>
      <c r="E161" s="19">
        <v>20</v>
      </c>
      <c r="F161" s="19">
        <v>80</v>
      </c>
      <c r="G161" s="19">
        <v>1</v>
      </c>
      <c r="H161" s="16">
        <v>4</v>
      </c>
    </row>
    <row r="162" spans="1:8" x14ac:dyDescent="0.15">
      <c r="A162" s="19">
        <v>229.58063000000001</v>
      </c>
      <c r="B162" s="19">
        <v>61</v>
      </c>
      <c r="C162" s="19">
        <v>0.82189999999999996</v>
      </c>
      <c r="D162" s="19">
        <v>100.04909000000001</v>
      </c>
      <c r="E162" s="19">
        <v>20</v>
      </c>
      <c r="F162" s="19">
        <v>80</v>
      </c>
      <c r="G162" s="19">
        <v>1</v>
      </c>
      <c r="H162" s="16">
        <v>4</v>
      </c>
    </row>
    <row r="163" spans="1:8" x14ac:dyDescent="0.15">
      <c r="A163" s="19">
        <v>229.24638999999999</v>
      </c>
      <c r="B163" s="19">
        <v>61.5</v>
      </c>
      <c r="C163" s="19">
        <v>0.78459999999999996</v>
      </c>
      <c r="D163" s="19">
        <v>100.13445</v>
      </c>
      <c r="E163" s="19">
        <v>20</v>
      </c>
      <c r="F163" s="19">
        <v>80</v>
      </c>
      <c r="G163" s="19">
        <v>1</v>
      </c>
      <c r="H163" s="16">
        <v>4</v>
      </c>
    </row>
    <row r="164" spans="1:8" x14ac:dyDescent="0.15">
      <c r="A164" s="19">
        <v>228.88247999999999</v>
      </c>
      <c r="B164" s="19">
        <v>62</v>
      </c>
      <c r="C164" s="19">
        <v>0.75966</v>
      </c>
      <c r="D164" s="19">
        <v>100.00054</v>
      </c>
      <c r="E164" s="19">
        <v>20</v>
      </c>
      <c r="F164" s="19">
        <v>80</v>
      </c>
      <c r="G164" s="19">
        <v>1</v>
      </c>
      <c r="H164" s="16">
        <v>4</v>
      </c>
    </row>
    <row r="165" spans="1:8" x14ac:dyDescent="0.15">
      <c r="A165" s="19">
        <v>228.51752999999999</v>
      </c>
      <c r="B165" s="19">
        <v>62.5</v>
      </c>
      <c r="C165" s="19">
        <v>0.74607999999999997</v>
      </c>
      <c r="D165" s="19">
        <v>100.19450000000001</v>
      </c>
      <c r="E165" s="19">
        <v>20</v>
      </c>
      <c r="F165" s="19">
        <v>80</v>
      </c>
      <c r="G165" s="19">
        <v>1</v>
      </c>
      <c r="H165" s="16">
        <v>4</v>
      </c>
    </row>
    <row r="166" spans="1:8" x14ac:dyDescent="0.15">
      <c r="A166" s="19">
        <v>228.17219</v>
      </c>
      <c r="B166" s="19">
        <v>63</v>
      </c>
      <c r="C166" s="19">
        <v>0.73946999999999996</v>
      </c>
      <c r="D166" s="19">
        <v>100.10457</v>
      </c>
      <c r="E166" s="19">
        <v>20</v>
      </c>
      <c r="F166" s="19">
        <v>80</v>
      </c>
      <c r="G166" s="19">
        <v>1</v>
      </c>
      <c r="H166" s="16">
        <v>4</v>
      </c>
    </row>
    <row r="167" spans="1:8" x14ac:dyDescent="0.15">
      <c r="A167" s="19">
        <v>227.84817000000001</v>
      </c>
      <c r="B167" s="19">
        <v>63.5</v>
      </c>
      <c r="C167" s="19">
        <v>0.73068</v>
      </c>
      <c r="D167" s="19">
        <v>99.995819999999995</v>
      </c>
      <c r="E167" s="19">
        <v>20</v>
      </c>
      <c r="F167" s="19">
        <v>80</v>
      </c>
      <c r="G167" s="19">
        <v>1</v>
      </c>
      <c r="H167" s="16">
        <v>4</v>
      </c>
    </row>
    <row r="168" spans="1:8" x14ac:dyDescent="0.15">
      <c r="A168" s="19">
        <v>227.54401999999999</v>
      </c>
      <c r="B168" s="19">
        <v>64</v>
      </c>
      <c r="C168" s="19">
        <v>0.72450999999999999</v>
      </c>
      <c r="D168" s="19">
        <v>99.978070000000002</v>
      </c>
      <c r="E168" s="19">
        <v>20</v>
      </c>
      <c r="F168" s="19">
        <v>80</v>
      </c>
      <c r="G168" s="19">
        <v>1</v>
      </c>
      <c r="H168" s="16">
        <v>4</v>
      </c>
    </row>
    <row r="169" spans="1:8" x14ac:dyDescent="0.15">
      <c r="A169" s="19">
        <v>227.26118</v>
      </c>
      <c r="B169" s="19">
        <v>64.5</v>
      </c>
      <c r="C169" s="19">
        <v>0.71850999999999998</v>
      </c>
      <c r="D169" s="19">
        <v>100.00991999999999</v>
      </c>
      <c r="E169" s="19">
        <v>20</v>
      </c>
      <c r="F169" s="19">
        <v>80</v>
      </c>
      <c r="G169" s="19">
        <v>1</v>
      </c>
      <c r="H169" s="16">
        <v>4</v>
      </c>
    </row>
    <row r="170" spans="1:8" x14ac:dyDescent="0.15">
      <c r="A170" s="19">
        <v>226.99897000000001</v>
      </c>
      <c r="B170" s="19">
        <v>65</v>
      </c>
      <c r="C170" s="19">
        <v>0.71306999999999998</v>
      </c>
      <c r="D170" s="19">
        <v>99.967010000000002</v>
      </c>
      <c r="E170" s="19">
        <v>20</v>
      </c>
      <c r="F170" s="19">
        <v>80</v>
      </c>
      <c r="G170" s="19">
        <v>1</v>
      </c>
      <c r="H170" s="16">
        <v>4</v>
      </c>
    </row>
    <row r="171" spans="1:8" x14ac:dyDescent="0.15">
      <c r="A171" s="19">
        <v>226.75583</v>
      </c>
      <c r="B171" s="19">
        <v>65.5</v>
      </c>
      <c r="C171" s="19">
        <v>0.70950000000000002</v>
      </c>
      <c r="D171" s="19">
        <v>100.15365</v>
      </c>
      <c r="E171" s="19">
        <v>20</v>
      </c>
      <c r="F171" s="19">
        <v>80</v>
      </c>
      <c r="G171" s="19">
        <v>1</v>
      </c>
      <c r="H171" s="16">
        <v>4</v>
      </c>
    </row>
    <row r="172" spans="1:8" x14ac:dyDescent="0.15">
      <c r="A172" s="19">
        <v>226.5316</v>
      </c>
      <c r="B172" s="19">
        <v>66</v>
      </c>
      <c r="C172" s="19">
        <v>0.70448999999999995</v>
      </c>
      <c r="D172" s="19">
        <v>100.02082</v>
      </c>
      <c r="E172" s="19">
        <v>20</v>
      </c>
      <c r="F172" s="19">
        <v>80</v>
      </c>
      <c r="G172" s="19">
        <v>1</v>
      </c>
      <c r="H172" s="16">
        <v>4</v>
      </c>
    </row>
    <row r="173" spans="1:8" x14ac:dyDescent="0.15">
      <c r="A173" s="19">
        <v>226.32705000000001</v>
      </c>
      <c r="B173" s="19">
        <v>66.5</v>
      </c>
      <c r="C173" s="19">
        <v>0.70498000000000005</v>
      </c>
      <c r="D173" s="19">
        <v>99.988169999999997</v>
      </c>
      <c r="E173" s="19">
        <v>20</v>
      </c>
      <c r="F173" s="19">
        <v>80</v>
      </c>
      <c r="G173" s="19">
        <v>1</v>
      </c>
      <c r="H173" s="16">
        <v>4</v>
      </c>
    </row>
    <row r="174" spans="1:8" x14ac:dyDescent="0.15">
      <c r="A174" s="19">
        <v>226.14424</v>
      </c>
      <c r="B174" s="19">
        <v>67</v>
      </c>
      <c r="C174" s="19">
        <v>0.70140000000000002</v>
      </c>
      <c r="D174" s="19">
        <v>100.19926</v>
      </c>
      <c r="E174" s="19">
        <v>20</v>
      </c>
      <c r="F174" s="19">
        <v>80</v>
      </c>
      <c r="G174" s="19">
        <v>1</v>
      </c>
      <c r="H174" s="16">
        <v>4</v>
      </c>
    </row>
    <row r="175" spans="1:8" x14ac:dyDescent="0.15">
      <c r="A175" s="19">
        <v>225.98161999999999</v>
      </c>
      <c r="B175" s="19">
        <v>67.5</v>
      </c>
      <c r="C175" s="19">
        <v>0.70335999999999999</v>
      </c>
      <c r="D175" s="19">
        <v>100.10898</v>
      </c>
      <c r="E175" s="19">
        <v>20</v>
      </c>
      <c r="F175" s="19">
        <v>80</v>
      </c>
      <c r="G175" s="19">
        <v>1</v>
      </c>
      <c r="H175" s="16">
        <v>4</v>
      </c>
    </row>
    <row r="176" spans="1:8" x14ac:dyDescent="0.15">
      <c r="A176" s="19">
        <v>225.84359000000001</v>
      </c>
      <c r="B176" s="19">
        <v>68</v>
      </c>
      <c r="C176" s="19">
        <v>0.70191999999999999</v>
      </c>
      <c r="D176" s="19">
        <v>99.999369999999999</v>
      </c>
      <c r="E176" s="19">
        <v>20</v>
      </c>
      <c r="F176" s="19">
        <v>80</v>
      </c>
      <c r="G176" s="19">
        <v>1</v>
      </c>
      <c r="H176" s="16">
        <v>4</v>
      </c>
    </row>
    <row r="177" spans="1:8" x14ac:dyDescent="0.15">
      <c r="A177" s="19">
        <v>225.71887000000001</v>
      </c>
      <c r="B177" s="19">
        <v>68.5</v>
      </c>
      <c r="C177" s="19">
        <v>0.70016</v>
      </c>
      <c r="D177" s="19">
        <v>99.898430000000005</v>
      </c>
      <c r="E177" s="19">
        <v>20</v>
      </c>
      <c r="F177" s="19">
        <v>80</v>
      </c>
      <c r="G177" s="19">
        <v>1</v>
      </c>
      <c r="H177" s="16">
        <v>4</v>
      </c>
    </row>
    <row r="178" spans="1:8" x14ac:dyDescent="0.15">
      <c r="A178" s="19">
        <v>225.60541000000001</v>
      </c>
      <c r="B178" s="19">
        <v>69</v>
      </c>
      <c r="C178" s="19">
        <v>0.70018999999999998</v>
      </c>
      <c r="D178" s="19">
        <v>100.0784</v>
      </c>
      <c r="E178" s="19">
        <v>20</v>
      </c>
      <c r="F178" s="19">
        <v>80</v>
      </c>
      <c r="G178" s="19">
        <v>1</v>
      </c>
      <c r="H178" s="16">
        <v>4</v>
      </c>
    </row>
    <row r="179" spans="1:8" x14ac:dyDescent="0.15">
      <c r="A179" s="19">
        <v>225.50656000000001</v>
      </c>
      <c r="B179" s="19">
        <v>69.5</v>
      </c>
      <c r="C179" s="19">
        <v>0.69957999999999998</v>
      </c>
      <c r="D179" s="19">
        <v>100.06959999999999</v>
      </c>
      <c r="E179" s="19">
        <v>20</v>
      </c>
      <c r="F179" s="19">
        <v>80</v>
      </c>
      <c r="G179" s="19">
        <v>1</v>
      </c>
      <c r="H179" s="16">
        <v>4</v>
      </c>
    </row>
    <row r="180" spans="1:8" x14ac:dyDescent="0.15">
      <c r="A180" s="19">
        <v>225.42752999999999</v>
      </c>
      <c r="B180" s="19">
        <v>70</v>
      </c>
      <c r="C180" s="19">
        <v>0.69882999999999995</v>
      </c>
      <c r="D180" s="19">
        <v>99.837159999999997</v>
      </c>
      <c r="E180" s="19">
        <v>20</v>
      </c>
      <c r="F180" s="19">
        <v>80</v>
      </c>
      <c r="G180" s="19">
        <v>1</v>
      </c>
      <c r="H180" s="16">
        <v>4</v>
      </c>
    </row>
    <row r="181" spans="1:8" x14ac:dyDescent="0.15">
      <c r="A181" s="19">
        <v>225.35889</v>
      </c>
      <c r="B181" s="19">
        <v>70.5</v>
      </c>
      <c r="C181" s="19">
        <v>0.69891999999999999</v>
      </c>
      <c r="D181" s="19">
        <v>99.973200000000006</v>
      </c>
      <c r="E181" s="19">
        <v>20</v>
      </c>
      <c r="F181" s="19">
        <v>80</v>
      </c>
      <c r="G181" s="19">
        <v>1</v>
      </c>
      <c r="H181" s="16">
        <v>4</v>
      </c>
    </row>
    <row r="182" spans="1:8" x14ac:dyDescent="0.15">
      <c r="A182" s="19">
        <v>225.29812000000001</v>
      </c>
      <c r="B182" s="19">
        <v>71</v>
      </c>
      <c r="C182" s="19">
        <v>0.69672000000000001</v>
      </c>
      <c r="D182" s="19">
        <v>100.10295000000001</v>
      </c>
      <c r="E182" s="19">
        <v>20</v>
      </c>
      <c r="F182" s="19">
        <v>80</v>
      </c>
      <c r="G182" s="19">
        <v>1</v>
      </c>
      <c r="H182" s="16">
        <v>4</v>
      </c>
    </row>
    <row r="183" spans="1:8" x14ac:dyDescent="0.15">
      <c r="A183" s="19">
        <v>225.24592000000001</v>
      </c>
      <c r="B183" s="19">
        <v>71.5</v>
      </c>
      <c r="C183" s="19">
        <v>0.69630999999999998</v>
      </c>
      <c r="D183" s="19">
        <v>100.08857999999999</v>
      </c>
      <c r="E183" s="19">
        <v>20</v>
      </c>
      <c r="F183" s="19">
        <v>80</v>
      </c>
      <c r="G183" s="19">
        <v>1</v>
      </c>
      <c r="H183" s="16">
        <v>4</v>
      </c>
    </row>
    <row r="184" spans="1:8" x14ac:dyDescent="0.15">
      <c r="A184" s="19">
        <v>225.20442</v>
      </c>
      <c r="B184" s="19">
        <v>72</v>
      </c>
      <c r="C184" s="19">
        <v>0.69430000000000003</v>
      </c>
      <c r="D184" s="19">
        <v>100.10449</v>
      </c>
      <c r="E184" s="19">
        <v>20</v>
      </c>
      <c r="F184" s="19">
        <v>80</v>
      </c>
      <c r="G184" s="19">
        <v>1</v>
      </c>
      <c r="H184" s="16">
        <v>4</v>
      </c>
    </row>
    <row r="185" spans="1:8" x14ac:dyDescent="0.15">
      <c r="A185" s="19">
        <v>225.16552999999999</v>
      </c>
      <c r="B185" s="19">
        <v>72.5</v>
      </c>
      <c r="C185" s="19">
        <v>0.69250999999999996</v>
      </c>
      <c r="D185" s="19">
        <v>100.08759000000001</v>
      </c>
      <c r="E185" s="19">
        <v>20</v>
      </c>
      <c r="F185" s="19">
        <v>80</v>
      </c>
      <c r="G185" s="19">
        <v>1</v>
      </c>
      <c r="H185" s="16">
        <v>4</v>
      </c>
    </row>
    <row r="186" spans="1:8" x14ac:dyDescent="0.15">
      <c r="A186" s="19">
        <v>225.13215</v>
      </c>
      <c r="B186" s="19">
        <v>73</v>
      </c>
      <c r="C186" s="19">
        <v>0.69164999999999999</v>
      </c>
      <c r="D186" s="19">
        <v>99.920680000000004</v>
      </c>
      <c r="E186" s="19">
        <v>20</v>
      </c>
      <c r="F186" s="19">
        <v>80</v>
      </c>
      <c r="G186" s="19">
        <v>1</v>
      </c>
      <c r="H186" s="16">
        <v>4</v>
      </c>
    </row>
    <row r="187" spans="1:8" x14ac:dyDescent="0.15">
      <c r="A187" s="19">
        <v>225.10579999999999</v>
      </c>
      <c r="B187" s="19">
        <v>73.5</v>
      </c>
      <c r="C187" s="19">
        <v>0.69152999999999998</v>
      </c>
      <c r="D187" s="19">
        <v>100.16233</v>
      </c>
      <c r="E187" s="19">
        <v>20</v>
      </c>
      <c r="F187" s="19">
        <v>80</v>
      </c>
      <c r="G187" s="19">
        <v>1</v>
      </c>
      <c r="H187" s="16">
        <v>4</v>
      </c>
    </row>
    <row r="188" spans="1:8" x14ac:dyDescent="0.15">
      <c r="A188" s="19">
        <v>225.08937</v>
      </c>
      <c r="B188" s="19">
        <v>74</v>
      </c>
      <c r="C188" s="19">
        <v>0.69005000000000005</v>
      </c>
      <c r="D188" s="19">
        <v>99.995320000000007</v>
      </c>
      <c r="E188" s="19">
        <v>20</v>
      </c>
      <c r="F188" s="19">
        <v>80</v>
      </c>
      <c r="G188" s="19">
        <v>1</v>
      </c>
      <c r="H188" s="16">
        <v>4</v>
      </c>
    </row>
    <row r="189" spans="1:8" x14ac:dyDescent="0.15">
      <c r="A189" s="19">
        <v>225.07410999999999</v>
      </c>
      <c r="B189" s="19">
        <v>74.5</v>
      </c>
      <c r="C189" s="19">
        <v>0.68801000000000001</v>
      </c>
      <c r="D189" s="19">
        <v>100.10939999999999</v>
      </c>
      <c r="E189" s="19">
        <v>20</v>
      </c>
      <c r="F189" s="19">
        <v>80</v>
      </c>
      <c r="G189" s="19">
        <v>1</v>
      </c>
      <c r="H189" s="16">
        <v>4</v>
      </c>
    </row>
    <row r="190" spans="1:8" x14ac:dyDescent="0.15">
      <c r="A190" s="19">
        <v>225.06073000000001</v>
      </c>
      <c r="B190" s="19">
        <v>75</v>
      </c>
      <c r="C190" s="19">
        <v>0.68611</v>
      </c>
      <c r="D190" s="19">
        <v>99.941339999999997</v>
      </c>
      <c r="E190" s="19">
        <v>20</v>
      </c>
      <c r="F190" s="19">
        <v>80</v>
      </c>
      <c r="G190" s="19">
        <v>1</v>
      </c>
      <c r="H190" s="16">
        <v>4</v>
      </c>
    </row>
    <row r="191" spans="1:8" x14ac:dyDescent="0.15">
      <c r="A191" s="19">
        <v>225.04811000000001</v>
      </c>
      <c r="B191" s="19">
        <v>75.5</v>
      </c>
      <c r="C191" s="19">
        <v>0.68574000000000002</v>
      </c>
      <c r="D191" s="19">
        <v>99.954300000000003</v>
      </c>
      <c r="E191" s="19">
        <v>20</v>
      </c>
      <c r="F191" s="19">
        <v>80</v>
      </c>
      <c r="G191" s="19">
        <v>1</v>
      </c>
      <c r="H191" s="16">
        <v>4</v>
      </c>
    </row>
    <row r="192" spans="1:8" x14ac:dyDescent="0.15">
      <c r="A192" s="19">
        <v>225.03962000000001</v>
      </c>
      <c r="B192" s="19">
        <v>76</v>
      </c>
      <c r="C192" s="19">
        <v>0.68398999999999999</v>
      </c>
      <c r="D192" s="19">
        <v>100.02202</v>
      </c>
      <c r="E192" s="19">
        <v>20</v>
      </c>
      <c r="F192" s="19">
        <v>80</v>
      </c>
      <c r="G192" s="19">
        <v>1</v>
      </c>
      <c r="H192" s="16">
        <v>4</v>
      </c>
    </row>
    <row r="193" spans="1:8" x14ac:dyDescent="0.15">
      <c r="A193" s="19">
        <v>225.03448</v>
      </c>
      <c r="B193" s="19">
        <v>76.5</v>
      </c>
      <c r="C193" s="19">
        <v>0.68156000000000005</v>
      </c>
      <c r="D193" s="19">
        <v>99.902969999999996</v>
      </c>
      <c r="E193" s="19">
        <v>20</v>
      </c>
      <c r="F193" s="19">
        <v>80</v>
      </c>
      <c r="G193" s="19">
        <v>1</v>
      </c>
      <c r="H193" s="16">
        <v>4</v>
      </c>
    </row>
    <row r="194" spans="1:8" x14ac:dyDescent="0.15">
      <c r="A194" s="19">
        <v>225.02906999999999</v>
      </c>
      <c r="B194" s="19">
        <v>77</v>
      </c>
      <c r="C194" s="19">
        <v>0.68103000000000002</v>
      </c>
      <c r="D194" s="19">
        <v>100.00346999999999</v>
      </c>
      <c r="E194" s="19">
        <v>20</v>
      </c>
      <c r="F194" s="19">
        <v>80</v>
      </c>
      <c r="G194" s="19">
        <v>1</v>
      </c>
      <c r="H194" s="16">
        <v>4</v>
      </c>
    </row>
    <row r="195" spans="1:8" x14ac:dyDescent="0.15">
      <c r="A195" s="19">
        <v>225.02819</v>
      </c>
      <c r="B195" s="19">
        <v>77.5</v>
      </c>
      <c r="C195" s="19">
        <v>0.67793000000000003</v>
      </c>
      <c r="D195" s="19">
        <v>99.936710000000005</v>
      </c>
      <c r="E195" s="19">
        <v>20</v>
      </c>
      <c r="F195" s="19">
        <v>80</v>
      </c>
      <c r="G195" s="19">
        <v>1</v>
      </c>
      <c r="H195" s="16">
        <v>4</v>
      </c>
    </row>
    <row r="196" spans="1:8" x14ac:dyDescent="0.15">
      <c r="A196" s="19">
        <v>225.02808999999999</v>
      </c>
      <c r="B196" s="19">
        <v>78</v>
      </c>
      <c r="C196" s="19">
        <v>0.67942000000000002</v>
      </c>
      <c r="D196" s="19">
        <v>100.06253</v>
      </c>
      <c r="E196" s="19">
        <v>20</v>
      </c>
      <c r="F196" s="19">
        <v>80</v>
      </c>
      <c r="G196" s="19">
        <v>1</v>
      </c>
      <c r="H196" s="16">
        <v>4</v>
      </c>
    </row>
    <row r="197" spans="1:8" x14ac:dyDescent="0.15">
      <c r="A197" s="19">
        <v>225.02447000000001</v>
      </c>
      <c r="B197" s="19">
        <v>78.5</v>
      </c>
      <c r="C197" s="19">
        <v>0.67608000000000001</v>
      </c>
      <c r="D197" s="19">
        <v>100.00153</v>
      </c>
      <c r="E197" s="19">
        <v>20</v>
      </c>
      <c r="F197" s="19">
        <v>80</v>
      </c>
      <c r="G197" s="19">
        <v>1</v>
      </c>
      <c r="H197" s="16">
        <v>4</v>
      </c>
    </row>
    <row r="198" spans="1:8" x14ac:dyDescent="0.15">
      <c r="A198" s="19">
        <v>225.02340000000001</v>
      </c>
      <c r="B198" s="19">
        <v>79</v>
      </c>
      <c r="C198" s="19">
        <v>0.67517000000000005</v>
      </c>
      <c r="D198" s="19">
        <v>99.864369999999994</v>
      </c>
      <c r="E198" s="19">
        <v>20</v>
      </c>
      <c r="F198" s="19">
        <v>80</v>
      </c>
      <c r="G198" s="19">
        <v>1</v>
      </c>
      <c r="H198" s="16">
        <v>4</v>
      </c>
    </row>
    <row r="199" spans="1:8" x14ac:dyDescent="0.15">
      <c r="A199" s="19">
        <v>225.02028000000001</v>
      </c>
      <c r="B199" s="19">
        <v>79.5</v>
      </c>
      <c r="C199" s="19">
        <v>0.67286000000000001</v>
      </c>
      <c r="D199" s="19">
        <v>100.01871</v>
      </c>
      <c r="E199" s="19">
        <v>20</v>
      </c>
      <c r="F199" s="19">
        <v>80</v>
      </c>
      <c r="G199" s="19">
        <v>1</v>
      </c>
      <c r="H199" s="16">
        <v>4</v>
      </c>
    </row>
    <row r="200" spans="1:8" x14ac:dyDescent="0.15">
      <c r="A200" s="19">
        <v>225.01599999999999</v>
      </c>
      <c r="B200" s="19">
        <v>80</v>
      </c>
      <c r="C200" s="19">
        <v>0.67054000000000002</v>
      </c>
      <c r="D200" s="19">
        <v>99.876670000000004</v>
      </c>
      <c r="E200" s="19">
        <v>20</v>
      </c>
      <c r="F200" s="19">
        <v>80</v>
      </c>
      <c r="G200" s="19">
        <v>1</v>
      </c>
      <c r="H200" s="16">
        <v>4</v>
      </c>
    </row>
    <row r="201" spans="1:8" x14ac:dyDescent="0.15">
      <c r="A201" s="19">
        <v>225.01461</v>
      </c>
      <c r="B201" s="19">
        <v>80.5</v>
      </c>
      <c r="C201" s="19">
        <v>0.67005000000000003</v>
      </c>
      <c r="D201" s="19">
        <v>99.749499999999998</v>
      </c>
      <c r="E201" s="19">
        <v>20</v>
      </c>
      <c r="F201" s="19">
        <v>80</v>
      </c>
      <c r="G201" s="19">
        <v>1</v>
      </c>
      <c r="H201" s="16">
        <v>4</v>
      </c>
    </row>
    <row r="202" spans="1:8" x14ac:dyDescent="0.15">
      <c r="A202" s="19">
        <v>225.01322999999999</v>
      </c>
      <c r="B202" s="19">
        <v>81</v>
      </c>
      <c r="C202" s="19">
        <v>0.66823999999999995</v>
      </c>
      <c r="D202" s="19">
        <v>99.910790000000006</v>
      </c>
      <c r="E202" s="19">
        <v>20</v>
      </c>
      <c r="F202" s="19">
        <v>80</v>
      </c>
      <c r="G202" s="19">
        <v>1</v>
      </c>
      <c r="H202" s="16">
        <v>4</v>
      </c>
    </row>
    <row r="203" spans="1:8" x14ac:dyDescent="0.15">
      <c r="A203" s="19">
        <v>225.01034999999999</v>
      </c>
      <c r="B203" s="19">
        <v>81.5</v>
      </c>
      <c r="C203" s="19">
        <v>0.66479999999999995</v>
      </c>
      <c r="D203" s="19">
        <v>99.902320000000003</v>
      </c>
      <c r="E203" s="19">
        <v>20</v>
      </c>
      <c r="F203" s="19">
        <v>80</v>
      </c>
      <c r="G203" s="19">
        <v>1</v>
      </c>
      <c r="H203" s="16">
        <v>4</v>
      </c>
    </row>
    <row r="204" spans="1:8" x14ac:dyDescent="0.15">
      <c r="A204" s="19">
        <v>225.00692000000001</v>
      </c>
      <c r="B204" s="19">
        <v>82</v>
      </c>
      <c r="C204" s="19">
        <v>0.66364000000000001</v>
      </c>
      <c r="D204" s="19">
        <v>99.920879999999997</v>
      </c>
      <c r="E204" s="19">
        <v>20</v>
      </c>
      <c r="F204" s="19">
        <v>80</v>
      </c>
      <c r="G204" s="19">
        <v>1</v>
      </c>
      <c r="H204" s="16">
        <v>4</v>
      </c>
    </row>
    <row r="205" spans="1:8" x14ac:dyDescent="0.15">
      <c r="A205" s="19">
        <v>225.00406000000001</v>
      </c>
      <c r="B205" s="19">
        <v>82.5</v>
      </c>
      <c r="C205" s="19">
        <v>0.66269</v>
      </c>
      <c r="D205" s="19">
        <v>99.913679999999999</v>
      </c>
      <c r="E205" s="19">
        <v>20</v>
      </c>
      <c r="F205" s="19">
        <v>80</v>
      </c>
      <c r="G205" s="19">
        <v>1</v>
      </c>
      <c r="H205" s="16">
        <v>4</v>
      </c>
    </row>
    <row r="206" spans="1:8" x14ac:dyDescent="0.15">
      <c r="A206" s="19">
        <v>225.00384</v>
      </c>
      <c r="B206" s="19">
        <v>83</v>
      </c>
      <c r="C206" s="19">
        <v>0.66202000000000005</v>
      </c>
      <c r="D206" s="19">
        <v>99.866079999999997</v>
      </c>
      <c r="E206" s="19">
        <v>20</v>
      </c>
      <c r="F206" s="19">
        <v>80</v>
      </c>
      <c r="G206" s="19">
        <v>1</v>
      </c>
      <c r="H206" s="16">
        <v>4</v>
      </c>
    </row>
    <row r="207" spans="1:8" x14ac:dyDescent="0.15">
      <c r="A207" s="19">
        <v>225.00475</v>
      </c>
      <c r="B207" s="19">
        <v>83.5</v>
      </c>
      <c r="C207" s="19">
        <v>0.66166999999999998</v>
      </c>
      <c r="D207" s="19">
        <v>99.925439999999995</v>
      </c>
      <c r="E207" s="19">
        <v>20</v>
      </c>
      <c r="F207" s="19">
        <v>80</v>
      </c>
      <c r="G207" s="19">
        <v>1</v>
      </c>
      <c r="H207" s="16">
        <v>4</v>
      </c>
    </row>
    <row r="208" spans="1:8" x14ac:dyDescent="0.15">
      <c r="A208" s="19">
        <v>225.00810999999999</v>
      </c>
      <c r="B208" s="19">
        <v>84</v>
      </c>
      <c r="C208" s="19">
        <v>0.66229000000000005</v>
      </c>
      <c r="D208" s="19">
        <v>99.849909999999994</v>
      </c>
      <c r="E208" s="19">
        <v>20</v>
      </c>
      <c r="F208" s="19">
        <v>80</v>
      </c>
      <c r="G208" s="19">
        <v>1</v>
      </c>
      <c r="H208" s="16">
        <v>4</v>
      </c>
    </row>
    <row r="209" spans="1:8" x14ac:dyDescent="0.15">
      <c r="A209" s="19">
        <v>225.01211000000001</v>
      </c>
      <c r="B209" s="19">
        <v>84.5</v>
      </c>
      <c r="C209" s="19">
        <v>0.66071000000000002</v>
      </c>
      <c r="D209" s="19">
        <v>99.862769999999998</v>
      </c>
      <c r="E209" s="19">
        <v>20</v>
      </c>
      <c r="F209" s="19">
        <v>80</v>
      </c>
      <c r="G209" s="19">
        <v>1</v>
      </c>
      <c r="H209" s="16">
        <v>4</v>
      </c>
    </row>
    <row r="210" spans="1:8" x14ac:dyDescent="0.15">
      <c r="A210" s="19">
        <v>225.01591999999999</v>
      </c>
      <c r="B210" s="19">
        <v>85</v>
      </c>
      <c r="C210" s="19">
        <v>0.65864</v>
      </c>
      <c r="D210" s="19">
        <v>99.927030000000002</v>
      </c>
      <c r="E210" s="19">
        <v>20</v>
      </c>
      <c r="F210" s="19">
        <v>80</v>
      </c>
      <c r="G210" s="19">
        <v>1</v>
      </c>
      <c r="H210" s="16">
        <v>4</v>
      </c>
    </row>
    <row r="211" spans="1:8" x14ac:dyDescent="0.15">
      <c r="A211" s="19">
        <v>225.01884000000001</v>
      </c>
      <c r="B211" s="19">
        <v>85.5</v>
      </c>
      <c r="C211" s="19">
        <v>0.65837999999999997</v>
      </c>
      <c r="D211" s="19">
        <v>99.862380000000002</v>
      </c>
      <c r="E211" s="19">
        <v>20</v>
      </c>
      <c r="F211" s="19">
        <v>80</v>
      </c>
      <c r="G211" s="19">
        <v>1</v>
      </c>
      <c r="H211" s="16">
        <v>4</v>
      </c>
    </row>
    <row r="212" spans="1:8" x14ac:dyDescent="0.15">
      <c r="A212" s="19">
        <v>225.02116000000001</v>
      </c>
      <c r="B212" s="19">
        <v>86</v>
      </c>
      <c r="C212" s="19">
        <v>0.65539999999999998</v>
      </c>
      <c r="D212" s="19">
        <v>99.980620000000002</v>
      </c>
      <c r="E212" s="19">
        <v>20</v>
      </c>
      <c r="F212" s="19">
        <v>80</v>
      </c>
      <c r="G212" s="19">
        <v>1</v>
      </c>
      <c r="H212" s="16">
        <v>4</v>
      </c>
    </row>
    <row r="213" spans="1:8" x14ac:dyDescent="0.15">
      <c r="A213" s="19">
        <v>225.02168</v>
      </c>
      <c r="B213" s="19">
        <v>86.5</v>
      </c>
      <c r="C213" s="19">
        <v>0.65286</v>
      </c>
      <c r="D213" s="19">
        <v>99.884050000000002</v>
      </c>
      <c r="E213" s="19">
        <v>20</v>
      </c>
      <c r="F213" s="19">
        <v>80</v>
      </c>
      <c r="G213" s="19">
        <v>1</v>
      </c>
      <c r="H213" s="16">
        <v>4</v>
      </c>
    </row>
    <row r="214" spans="1:8" x14ac:dyDescent="0.15">
      <c r="A214" s="19">
        <v>225.02117999999999</v>
      </c>
      <c r="B214" s="19">
        <v>87</v>
      </c>
      <c r="C214" s="19">
        <v>0.65161000000000002</v>
      </c>
      <c r="D214" s="19">
        <v>99.848780000000005</v>
      </c>
      <c r="E214" s="19">
        <v>20</v>
      </c>
      <c r="F214" s="19">
        <v>80</v>
      </c>
      <c r="G214" s="19">
        <v>1</v>
      </c>
      <c r="H214" s="16">
        <v>4</v>
      </c>
    </row>
    <row r="215" spans="1:8" x14ac:dyDescent="0.15">
      <c r="A215" s="19">
        <v>225.01922999999999</v>
      </c>
      <c r="B215" s="19">
        <v>87.5</v>
      </c>
      <c r="C215" s="19">
        <v>0.6502</v>
      </c>
      <c r="D215" s="19">
        <v>99.963669999999993</v>
      </c>
      <c r="E215" s="19">
        <v>20</v>
      </c>
      <c r="F215" s="19">
        <v>80</v>
      </c>
      <c r="G215" s="19">
        <v>1</v>
      </c>
      <c r="H215" s="16">
        <v>4</v>
      </c>
    </row>
    <row r="216" spans="1:8" x14ac:dyDescent="0.15">
      <c r="A216" s="19">
        <v>225.01926</v>
      </c>
      <c r="B216" s="19">
        <v>88</v>
      </c>
      <c r="C216" s="19">
        <v>0.64995999999999998</v>
      </c>
      <c r="D216" s="19">
        <v>99.986109999999996</v>
      </c>
      <c r="E216" s="19">
        <v>20</v>
      </c>
      <c r="F216" s="19">
        <v>80</v>
      </c>
      <c r="G216" s="19">
        <v>1</v>
      </c>
      <c r="H216" s="16">
        <v>4</v>
      </c>
    </row>
    <row r="217" spans="1:8" x14ac:dyDescent="0.15">
      <c r="A217" s="19">
        <v>225.02118999999999</v>
      </c>
      <c r="B217" s="19">
        <v>88.5</v>
      </c>
      <c r="C217" s="19">
        <v>0.64980000000000004</v>
      </c>
      <c r="D217" s="19">
        <v>99.779650000000004</v>
      </c>
      <c r="E217" s="19">
        <v>20</v>
      </c>
      <c r="F217" s="19">
        <v>80</v>
      </c>
      <c r="G217" s="19">
        <v>1</v>
      </c>
      <c r="H217" s="16">
        <v>4</v>
      </c>
    </row>
    <row r="218" spans="1:8" x14ac:dyDescent="0.15">
      <c r="A218" s="19">
        <v>225.01861</v>
      </c>
      <c r="B218" s="19">
        <v>89</v>
      </c>
      <c r="C218" s="19">
        <v>0.64756000000000002</v>
      </c>
      <c r="D218" s="19">
        <v>99.953159999999997</v>
      </c>
      <c r="E218" s="19">
        <v>20</v>
      </c>
      <c r="F218" s="19">
        <v>80</v>
      </c>
      <c r="G218" s="19">
        <v>1</v>
      </c>
      <c r="H218" s="16">
        <v>4</v>
      </c>
    </row>
    <row r="219" spans="1:8" x14ac:dyDescent="0.15">
      <c r="A219" s="19">
        <v>225.01947000000001</v>
      </c>
      <c r="B219" s="19">
        <v>89.5</v>
      </c>
      <c r="C219" s="19">
        <v>0.64637</v>
      </c>
      <c r="D219" s="19">
        <v>99.880210000000005</v>
      </c>
      <c r="E219" s="19">
        <v>20</v>
      </c>
      <c r="F219" s="19">
        <v>80</v>
      </c>
      <c r="G219" s="19">
        <v>1</v>
      </c>
      <c r="H219" s="16">
        <v>4</v>
      </c>
    </row>
    <row r="220" spans="1:8" x14ac:dyDescent="0.15">
      <c r="A220" s="19">
        <v>225.01993999999999</v>
      </c>
      <c r="B220" s="19">
        <v>90</v>
      </c>
      <c r="C220" s="19">
        <v>0.64548000000000005</v>
      </c>
      <c r="D220" s="19">
        <v>99.874499999999998</v>
      </c>
      <c r="E220" s="19">
        <v>20</v>
      </c>
      <c r="F220" s="19">
        <v>80</v>
      </c>
      <c r="G220" s="19">
        <v>1</v>
      </c>
      <c r="H220" s="16">
        <v>4</v>
      </c>
    </row>
    <row r="221" spans="1:8" x14ac:dyDescent="0.15">
      <c r="A221" s="19">
        <v>225.02190999999999</v>
      </c>
      <c r="B221" s="19">
        <v>90.5</v>
      </c>
      <c r="C221" s="19">
        <v>0.64468000000000003</v>
      </c>
      <c r="D221" s="19">
        <v>99.81559</v>
      </c>
      <c r="E221" s="19">
        <v>20</v>
      </c>
      <c r="F221" s="19">
        <v>80</v>
      </c>
      <c r="G221" s="19">
        <v>1</v>
      </c>
      <c r="H221" s="16">
        <v>4</v>
      </c>
    </row>
    <row r="222" spans="1:8" x14ac:dyDescent="0.15">
      <c r="A222" s="19">
        <v>225.02203</v>
      </c>
      <c r="B222" s="19">
        <v>91</v>
      </c>
      <c r="C222" s="19">
        <v>0.64307000000000003</v>
      </c>
      <c r="D222" s="19">
        <v>99.755809999999997</v>
      </c>
      <c r="E222" s="19">
        <v>20</v>
      </c>
      <c r="F222" s="19">
        <v>80</v>
      </c>
      <c r="G222" s="19">
        <v>1</v>
      </c>
      <c r="H222" s="16">
        <v>4</v>
      </c>
    </row>
    <row r="223" spans="1:8" x14ac:dyDescent="0.15">
      <c r="A223" s="19">
        <v>225.02145999999999</v>
      </c>
      <c r="B223" s="19">
        <v>91.5</v>
      </c>
      <c r="C223" s="19">
        <v>0.64168999999999998</v>
      </c>
      <c r="D223" s="19">
        <v>99.935360000000003</v>
      </c>
      <c r="E223" s="19">
        <v>20</v>
      </c>
      <c r="F223" s="19">
        <v>80</v>
      </c>
      <c r="G223" s="19">
        <v>1</v>
      </c>
      <c r="H223" s="16">
        <v>4</v>
      </c>
    </row>
    <row r="224" spans="1:8" x14ac:dyDescent="0.15">
      <c r="A224" s="19">
        <v>225.02127999999999</v>
      </c>
      <c r="B224" s="19">
        <v>92</v>
      </c>
      <c r="C224" s="19">
        <v>0.63919999999999999</v>
      </c>
      <c r="D224" s="19">
        <v>99.860749999999996</v>
      </c>
      <c r="E224" s="19">
        <v>20</v>
      </c>
      <c r="F224" s="19">
        <v>80</v>
      </c>
      <c r="G224" s="19">
        <v>1</v>
      </c>
      <c r="H224" s="16">
        <v>4</v>
      </c>
    </row>
    <row r="225" spans="1:8" x14ac:dyDescent="0.15">
      <c r="A225" s="19">
        <v>225.01895999999999</v>
      </c>
      <c r="B225" s="19">
        <v>92.5</v>
      </c>
      <c r="C225" s="19">
        <v>0.64068999999999998</v>
      </c>
      <c r="D225" s="19">
        <v>99.799499999999995</v>
      </c>
      <c r="E225" s="19">
        <v>20</v>
      </c>
      <c r="F225" s="19">
        <v>80</v>
      </c>
      <c r="G225" s="19">
        <v>1</v>
      </c>
      <c r="H225" s="16">
        <v>4</v>
      </c>
    </row>
    <row r="226" spans="1:8" x14ac:dyDescent="0.15">
      <c r="A226" s="19">
        <v>225.02086</v>
      </c>
      <c r="B226" s="19">
        <v>93</v>
      </c>
      <c r="C226" s="19">
        <v>0.63778000000000001</v>
      </c>
      <c r="D226" s="19">
        <v>99.830590000000001</v>
      </c>
      <c r="E226" s="19">
        <v>20</v>
      </c>
      <c r="F226" s="19">
        <v>80</v>
      </c>
      <c r="G226" s="19">
        <v>1</v>
      </c>
      <c r="H226" s="16">
        <v>4</v>
      </c>
    </row>
    <row r="227" spans="1:8" x14ac:dyDescent="0.15">
      <c r="A227" s="19">
        <v>225.02054000000001</v>
      </c>
      <c r="B227" s="19">
        <v>93.5</v>
      </c>
      <c r="C227" s="19">
        <v>0.63754</v>
      </c>
      <c r="D227" s="19">
        <v>99.752219999999994</v>
      </c>
      <c r="E227" s="19">
        <v>20</v>
      </c>
      <c r="F227" s="19">
        <v>80</v>
      </c>
      <c r="G227" s="19">
        <v>1</v>
      </c>
      <c r="H227" s="16">
        <v>4</v>
      </c>
    </row>
    <row r="228" spans="1:8" x14ac:dyDescent="0.15">
      <c r="A228" s="19">
        <v>225.0162</v>
      </c>
      <c r="B228" s="19">
        <v>94</v>
      </c>
      <c r="C228" s="19">
        <v>0.63490999999999997</v>
      </c>
      <c r="D228" s="19">
        <v>99.794359999999998</v>
      </c>
      <c r="E228" s="19">
        <v>20</v>
      </c>
      <c r="F228" s="19">
        <v>80</v>
      </c>
      <c r="G228" s="19">
        <v>1</v>
      </c>
      <c r="H228" s="16">
        <v>4</v>
      </c>
    </row>
    <row r="229" spans="1:8" x14ac:dyDescent="0.15">
      <c r="A229" s="19">
        <v>225.01616999999999</v>
      </c>
      <c r="B229" s="19">
        <v>94.5</v>
      </c>
      <c r="C229" s="19">
        <v>0.63617000000000001</v>
      </c>
      <c r="D229" s="19">
        <v>99.851420000000005</v>
      </c>
      <c r="E229" s="19">
        <v>20</v>
      </c>
      <c r="F229" s="19">
        <v>80</v>
      </c>
      <c r="G229" s="19">
        <v>1</v>
      </c>
      <c r="H229" s="16">
        <v>4</v>
      </c>
    </row>
    <row r="230" spans="1:8" x14ac:dyDescent="0.15">
      <c r="A230" s="19">
        <v>225.01347999999999</v>
      </c>
      <c r="B230" s="19">
        <v>95</v>
      </c>
      <c r="C230" s="19">
        <v>0.63412000000000002</v>
      </c>
      <c r="D230" s="19">
        <v>99.749399999999994</v>
      </c>
      <c r="E230" s="19">
        <v>20</v>
      </c>
      <c r="F230" s="19">
        <v>80</v>
      </c>
      <c r="G230" s="19">
        <v>1</v>
      </c>
      <c r="H230" s="16">
        <v>4</v>
      </c>
    </row>
    <row r="231" spans="1:8" x14ac:dyDescent="0.15">
      <c r="A231" s="19">
        <v>225.01155</v>
      </c>
      <c r="B231" s="19">
        <v>95.5</v>
      </c>
      <c r="C231" s="19">
        <v>0.63317999999999997</v>
      </c>
      <c r="D231" s="19">
        <v>99.855860000000007</v>
      </c>
      <c r="E231" s="19">
        <v>20</v>
      </c>
      <c r="F231" s="19">
        <v>80</v>
      </c>
      <c r="G231" s="19">
        <v>1</v>
      </c>
      <c r="H231" s="16">
        <v>4</v>
      </c>
    </row>
    <row r="232" spans="1:8" x14ac:dyDescent="0.15">
      <c r="A232" s="19">
        <v>225.01088999999999</v>
      </c>
      <c r="B232" s="19">
        <v>96</v>
      </c>
      <c r="C232" s="19">
        <v>0.63356000000000001</v>
      </c>
      <c r="D232" s="19">
        <v>99.724140000000006</v>
      </c>
      <c r="E232" s="19">
        <v>20</v>
      </c>
      <c r="F232" s="19">
        <v>80</v>
      </c>
      <c r="G232" s="19">
        <v>1</v>
      </c>
      <c r="H232" s="16">
        <v>4</v>
      </c>
    </row>
    <row r="233" spans="1:8" x14ac:dyDescent="0.15">
      <c r="A233" s="19">
        <v>225.01188999999999</v>
      </c>
      <c r="B233" s="19">
        <v>96.5</v>
      </c>
      <c r="C233" s="19">
        <v>0.63263000000000003</v>
      </c>
      <c r="D233" s="19">
        <v>99.664060000000006</v>
      </c>
      <c r="E233" s="19">
        <v>20</v>
      </c>
      <c r="F233" s="19">
        <v>80</v>
      </c>
      <c r="G233" s="19">
        <v>1</v>
      </c>
      <c r="H233" s="16">
        <v>4</v>
      </c>
    </row>
    <row r="234" spans="1:8" x14ac:dyDescent="0.15">
      <c r="A234" s="19">
        <v>225.01481999999999</v>
      </c>
      <c r="B234" s="19">
        <v>97</v>
      </c>
      <c r="C234" s="19">
        <v>0.63180999999999998</v>
      </c>
      <c r="D234" s="19">
        <v>99.655559999999994</v>
      </c>
      <c r="E234" s="19">
        <v>20</v>
      </c>
      <c r="F234" s="19">
        <v>80</v>
      </c>
      <c r="G234" s="19">
        <v>1</v>
      </c>
      <c r="H234" s="16">
        <v>4</v>
      </c>
    </row>
    <row r="235" spans="1:8" x14ac:dyDescent="0.15">
      <c r="A235" s="19">
        <v>225.01857999999999</v>
      </c>
      <c r="B235" s="19">
        <v>97.5</v>
      </c>
      <c r="C235" s="19">
        <v>0.63017000000000001</v>
      </c>
      <c r="D235" s="19">
        <v>99.542609999999996</v>
      </c>
      <c r="E235" s="19">
        <v>20</v>
      </c>
      <c r="F235" s="19">
        <v>80</v>
      </c>
      <c r="G235" s="19">
        <v>1</v>
      </c>
      <c r="H235" s="16">
        <v>4</v>
      </c>
    </row>
    <row r="236" spans="1:8" x14ac:dyDescent="0.15">
      <c r="A236" s="19">
        <v>225.02205000000001</v>
      </c>
      <c r="B236" s="19">
        <v>98</v>
      </c>
      <c r="C236" s="19">
        <v>0.62951999999999997</v>
      </c>
      <c r="D236" s="19">
        <v>99.834940000000003</v>
      </c>
      <c r="E236" s="19">
        <v>20</v>
      </c>
      <c r="F236" s="19">
        <v>80</v>
      </c>
      <c r="G236" s="19">
        <v>1</v>
      </c>
      <c r="H236" s="16">
        <v>4</v>
      </c>
    </row>
    <row r="237" spans="1:8" x14ac:dyDescent="0.15">
      <c r="A237" s="19">
        <v>225.02348000000001</v>
      </c>
      <c r="B237" s="19">
        <v>98.5</v>
      </c>
      <c r="C237" s="19">
        <v>0.62719000000000003</v>
      </c>
      <c r="D237" s="19">
        <v>99.726609999999994</v>
      </c>
      <c r="E237" s="19">
        <v>20</v>
      </c>
      <c r="F237" s="19">
        <v>80</v>
      </c>
      <c r="G237" s="19">
        <v>1</v>
      </c>
      <c r="H237" s="16">
        <v>4</v>
      </c>
    </row>
    <row r="238" spans="1:8" x14ac:dyDescent="0.15">
      <c r="A238" s="19">
        <v>225.01437999999999</v>
      </c>
      <c r="B238" s="19">
        <v>99</v>
      </c>
      <c r="C238" s="19">
        <v>0.62633000000000005</v>
      </c>
      <c r="D238" s="19">
        <v>99.767510000000001</v>
      </c>
      <c r="E238" s="19">
        <v>20</v>
      </c>
      <c r="F238" s="19">
        <v>80</v>
      </c>
      <c r="G238" s="19">
        <v>1</v>
      </c>
      <c r="H238" s="16">
        <v>4</v>
      </c>
    </row>
    <row r="239" spans="1:8" x14ac:dyDescent="0.15">
      <c r="A239" s="19">
        <v>225.01157000000001</v>
      </c>
      <c r="B239" s="19">
        <v>99.5</v>
      </c>
      <c r="C239" s="19">
        <v>0.62687999999999999</v>
      </c>
      <c r="D239" s="19">
        <v>99.645669999999996</v>
      </c>
      <c r="E239" s="19">
        <v>20</v>
      </c>
      <c r="F239" s="19">
        <v>80</v>
      </c>
      <c r="G239" s="19">
        <v>1</v>
      </c>
      <c r="H239" s="16">
        <v>4</v>
      </c>
    </row>
    <row r="240" spans="1:8" x14ac:dyDescent="0.15">
      <c r="A240" s="19">
        <v>225.01253</v>
      </c>
      <c r="B240" s="19">
        <v>100</v>
      </c>
      <c r="C240" s="19">
        <v>0.626</v>
      </c>
      <c r="D240" s="19">
        <v>99.782790000000006</v>
      </c>
      <c r="E240" s="19">
        <v>20</v>
      </c>
      <c r="F240" s="19">
        <v>80</v>
      </c>
      <c r="G240" s="19">
        <v>1</v>
      </c>
      <c r="H240" s="16">
        <v>4</v>
      </c>
    </row>
    <row r="241" spans="1:8" x14ac:dyDescent="0.15">
      <c r="A241" s="19">
        <v>225.01844</v>
      </c>
      <c r="B241" s="19">
        <v>100.5</v>
      </c>
      <c r="C241" s="19">
        <v>0.62624999999999997</v>
      </c>
      <c r="D241" s="19">
        <v>99.709569999999999</v>
      </c>
      <c r="E241" s="19">
        <v>20</v>
      </c>
      <c r="F241" s="19">
        <v>80</v>
      </c>
      <c r="G241" s="19">
        <v>1</v>
      </c>
      <c r="H241" s="16">
        <v>4</v>
      </c>
    </row>
    <row r="242" spans="1:8" x14ac:dyDescent="0.15">
      <c r="A242" s="19">
        <v>225.02211</v>
      </c>
      <c r="B242" s="19">
        <v>101</v>
      </c>
      <c r="C242" s="19">
        <v>0.62670000000000003</v>
      </c>
      <c r="D242" s="19">
        <v>99.798230000000004</v>
      </c>
      <c r="E242" s="19">
        <v>20</v>
      </c>
      <c r="F242" s="19">
        <v>80</v>
      </c>
      <c r="G242" s="19">
        <v>1</v>
      </c>
      <c r="H242" s="16">
        <v>4</v>
      </c>
    </row>
    <row r="243" spans="1:8" x14ac:dyDescent="0.15">
      <c r="A243" s="19">
        <v>225.02175</v>
      </c>
      <c r="B243" s="19">
        <v>101.5</v>
      </c>
      <c r="C243" s="19">
        <v>0.62538000000000005</v>
      </c>
      <c r="D243" s="19">
        <v>99.735060000000004</v>
      </c>
      <c r="E243" s="19">
        <v>20</v>
      </c>
      <c r="F243" s="19">
        <v>80</v>
      </c>
      <c r="G243" s="19">
        <v>1</v>
      </c>
      <c r="H243" s="16">
        <v>4</v>
      </c>
    </row>
    <row r="244" spans="1:8" x14ac:dyDescent="0.15">
      <c r="A244" s="19">
        <v>225.02091999999999</v>
      </c>
      <c r="B244" s="19">
        <v>102</v>
      </c>
      <c r="C244" s="19">
        <v>0.62585000000000002</v>
      </c>
      <c r="D244" s="19">
        <v>99.764340000000004</v>
      </c>
      <c r="E244" s="19">
        <v>20</v>
      </c>
      <c r="F244" s="19">
        <v>80</v>
      </c>
      <c r="G244" s="19">
        <v>1</v>
      </c>
      <c r="H244" s="16">
        <v>4</v>
      </c>
    </row>
    <row r="245" spans="1:8" x14ac:dyDescent="0.15">
      <c r="A245" s="19">
        <v>225.02506</v>
      </c>
      <c r="B245" s="19">
        <v>102.5</v>
      </c>
      <c r="C245" s="19">
        <v>0.62388999999999994</v>
      </c>
      <c r="D245" s="19">
        <v>99.726209999999995</v>
      </c>
      <c r="E245" s="19">
        <v>20</v>
      </c>
      <c r="F245" s="19">
        <v>80</v>
      </c>
      <c r="G245" s="19">
        <v>1</v>
      </c>
      <c r="H245" s="16">
        <v>4</v>
      </c>
    </row>
    <row r="246" spans="1:8" x14ac:dyDescent="0.15">
      <c r="A246" s="19">
        <v>225.02529999999999</v>
      </c>
      <c r="B246" s="19">
        <v>103</v>
      </c>
      <c r="C246" s="19">
        <v>0.62161</v>
      </c>
      <c r="D246" s="19">
        <v>99.734390000000005</v>
      </c>
      <c r="E246" s="19">
        <v>20</v>
      </c>
      <c r="F246" s="19">
        <v>80</v>
      </c>
      <c r="G246" s="19">
        <v>1</v>
      </c>
      <c r="H246" s="16">
        <v>4</v>
      </c>
    </row>
    <row r="247" spans="1:8" x14ac:dyDescent="0.15">
      <c r="A247" s="19">
        <v>225.02436</v>
      </c>
      <c r="B247" s="19">
        <v>103.5</v>
      </c>
      <c r="C247" s="19">
        <v>0.62265000000000004</v>
      </c>
      <c r="D247" s="19">
        <v>99.786169999999998</v>
      </c>
      <c r="E247" s="19">
        <v>20</v>
      </c>
      <c r="F247" s="19">
        <v>80</v>
      </c>
      <c r="G247" s="19">
        <v>1</v>
      </c>
      <c r="H247" s="16">
        <v>4</v>
      </c>
    </row>
    <row r="248" spans="1:8" x14ac:dyDescent="0.15">
      <c r="A248" s="19">
        <v>225.0231</v>
      </c>
      <c r="B248" s="19">
        <v>104</v>
      </c>
      <c r="C248" s="19">
        <v>0.61963000000000001</v>
      </c>
      <c r="D248" s="19">
        <v>99.618819999999999</v>
      </c>
      <c r="E248" s="19">
        <v>20</v>
      </c>
      <c r="F248" s="19">
        <v>80</v>
      </c>
      <c r="G248" s="19">
        <v>1</v>
      </c>
      <c r="H248" s="16">
        <v>4</v>
      </c>
    </row>
    <row r="249" spans="1:8" x14ac:dyDescent="0.15">
      <c r="A249" s="19">
        <v>225.02302</v>
      </c>
      <c r="B249" s="19">
        <v>104.5</v>
      </c>
      <c r="C249" s="19">
        <v>0.61968000000000001</v>
      </c>
      <c r="D249" s="19">
        <v>99.694879999999998</v>
      </c>
      <c r="E249" s="19">
        <v>20</v>
      </c>
      <c r="F249" s="19">
        <v>80</v>
      </c>
      <c r="G249" s="19">
        <v>1</v>
      </c>
      <c r="H249" s="16">
        <v>4</v>
      </c>
    </row>
    <row r="250" spans="1:8" x14ac:dyDescent="0.15">
      <c r="A250" s="19">
        <v>225.02501000000001</v>
      </c>
      <c r="B250" s="19">
        <v>105</v>
      </c>
      <c r="C250" s="19">
        <v>0.61897000000000002</v>
      </c>
      <c r="D250" s="19">
        <v>99.741659999999996</v>
      </c>
      <c r="E250" s="19">
        <v>20</v>
      </c>
      <c r="F250" s="19">
        <v>80</v>
      </c>
      <c r="G250" s="19">
        <v>1</v>
      </c>
      <c r="H250" s="16">
        <v>4</v>
      </c>
    </row>
    <row r="251" spans="1:8" x14ac:dyDescent="0.15">
      <c r="A251" s="19">
        <v>225.02578</v>
      </c>
      <c r="B251" s="19">
        <v>105.5</v>
      </c>
      <c r="C251" s="19">
        <v>0.61853999999999998</v>
      </c>
      <c r="D251" s="19">
        <v>99.765860000000004</v>
      </c>
      <c r="E251" s="19">
        <v>20</v>
      </c>
      <c r="F251" s="19">
        <v>80</v>
      </c>
      <c r="G251" s="19">
        <v>1</v>
      </c>
      <c r="H251" s="16">
        <v>4</v>
      </c>
    </row>
    <row r="252" spans="1:8" x14ac:dyDescent="0.15">
      <c r="A252" s="19">
        <v>225.02547999999999</v>
      </c>
      <c r="B252" s="19">
        <v>106</v>
      </c>
      <c r="C252" s="19">
        <v>0.61731000000000003</v>
      </c>
      <c r="D252" s="19">
        <v>99.630129999999994</v>
      </c>
      <c r="E252" s="19">
        <v>20</v>
      </c>
      <c r="F252" s="19">
        <v>80</v>
      </c>
      <c r="G252" s="19">
        <v>1</v>
      </c>
      <c r="H252" s="16">
        <v>4</v>
      </c>
    </row>
    <row r="253" spans="1:8" x14ac:dyDescent="0.15">
      <c r="A253" s="19">
        <v>225.02106000000001</v>
      </c>
      <c r="B253" s="19">
        <v>106.5</v>
      </c>
      <c r="C253" s="19">
        <v>0.61670999999999998</v>
      </c>
      <c r="D253" s="19">
        <v>99.603560000000002</v>
      </c>
      <c r="E253" s="19">
        <v>20</v>
      </c>
      <c r="F253" s="19">
        <v>80</v>
      </c>
      <c r="G253" s="19">
        <v>1</v>
      </c>
      <c r="H253" s="16">
        <v>4</v>
      </c>
    </row>
    <row r="254" spans="1:8" x14ac:dyDescent="0.15">
      <c r="A254" s="19">
        <v>225.01586</v>
      </c>
      <c r="B254" s="19">
        <v>107</v>
      </c>
      <c r="C254" s="19">
        <v>0.61634999999999995</v>
      </c>
      <c r="D254" s="19">
        <v>99.705330000000004</v>
      </c>
      <c r="E254" s="19">
        <v>20</v>
      </c>
      <c r="F254" s="19">
        <v>80</v>
      </c>
      <c r="G254" s="19">
        <v>1</v>
      </c>
      <c r="H254" s="16">
        <v>4</v>
      </c>
    </row>
    <row r="255" spans="1:8" x14ac:dyDescent="0.15">
      <c r="A255" s="19">
        <v>225.01497000000001</v>
      </c>
      <c r="B255" s="19">
        <v>107.5</v>
      </c>
      <c r="C255" s="19">
        <v>0.61731999999999998</v>
      </c>
      <c r="D255" s="19">
        <v>99.628960000000006</v>
      </c>
      <c r="E255" s="19">
        <v>20</v>
      </c>
      <c r="F255" s="19">
        <v>80</v>
      </c>
      <c r="G255" s="19">
        <v>1</v>
      </c>
      <c r="H255" s="16">
        <v>4</v>
      </c>
    </row>
    <row r="256" spans="1:8" x14ac:dyDescent="0.15">
      <c r="A256" s="19">
        <v>225.01588000000001</v>
      </c>
      <c r="B256" s="19">
        <v>108</v>
      </c>
      <c r="C256" s="19">
        <v>0.61629999999999996</v>
      </c>
      <c r="D256" s="19">
        <v>99.676240000000007</v>
      </c>
      <c r="E256" s="19">
        <v>20</v>
      </c>
      <c r="F256" s="19">
        <v>80</v>
      </c>
      <c r="G256" s="19">
        <v>1</v>
      </c>
      <c r="H256" s="16">
        <v>4</v>
      </c>
    </row>
    <row r="257" spans="1:8" x14ac:dyDescent="0.15">
      <c r="A257" s="19">
        <v>225.01468</v>
      </c>
      <c r="B257" s="19">
        <v>108.5</v>
      </c>
      <c r="C257" s="19">
        <v>0.61682999999999999</v>
      </c>
      <c r="D257" s="19">
        <v>99.664349999999999</v>
      </c>
      <c r="E257" s="19">
        <v>20</v>
      </c>
      <c r="F257" s="19">
        <v>80</v>
      </c>
      <c r="G257" s="19">
        <v>1</v>
      </c>
      <c r="H257" s="16">
        <v>4</v>
      </c>
    </row>
    <row r="258" spans="1:8" x14ac:dyDescent="0.15">
      <c r="A258" s="19">
        <v>225.01193000000001</v>
      </c>
      <c r="B258" s="19">
        <v>109</v>
      </c>
      <c r="C258" s="19">
        <v>0.61509999999999998</v>
      </c>
      <c r="D258" s="19">
        <v>99.655600000000007</v>
      </c>
      <c r="E258" s="19">
        <v>20</v>
      </c>
      <c r="F258" s="19">
        <v>80</v>
      </c>
      <c r="G258" s="19">
        <v>1</v>
      </c>
      <c r="H258" s="16">
        <v>4</v>
      </c>
    </row>
    <row r="259" spans="1:8" x14ac:dyDescent="0.15">
      <c r="A259" s="19">
        <v>225.01078999999999</v>
      </c>
      <c r="B259" s="19">
        <v>109.5</v>
      </c>
      <c r="C259" s="19">
        <v>0.61651999999999996</v>
      </c>
      <c r="D259" s="19">
        <v>99.707700000000003</v>
      </c>
      <c r="E259" s="19">
        <v>20</v>
      </c>
      <c r="F259" s="19">
        <v>80</v>
      </c>
      <c r="G259" s="19">
        <v>1</v>
      </c>
      <c r="H259" s="16">
        <v>4</v>
      </c>
    </row>
    <row r="260" spans="1:8" x14ac:dyDescent="0.15">
      <c r="A260" s="19">
        <v>225.01481999999999</v>
      </c>
      <c r="B260" s="19">
        <v>110</v>
      </c>
      <c r="C260" s="19">
        <v>0.61533000000000004</v>
      </c>
      <c r="D260" s="19">
        <v>99.602339999999998</v>
      </c>
      <c r="E260" s="19">
        <v>20</v>
      </c>
      <c r="F260" s="19">
        <v>80</v>
      </c>
      <c r="G260" s="19">
        <v>1</v>
      </c>
      <c r="H260" s="16">
        <v>4</v>
      </c>
    </row>
    <row r="261" spans="1:8" x14ac:dyDescent="0.15">
      <c r="A261" s="19">
        <v>225.01531</v>
      </c>
      <c r="B261" s="19">
        <v>110.5</v>
      </c>
      <c r="C261" s="19">
        <v>0.61445000000000005</v>
      </c>
      <c r="D261" s="19">
        <v>99.733069999999998</v>
      </c>
      <c r="E261" s="19">
        <v>20</v>
      </c>
      <c r="F261" s="19">
        <v>80</v>
      </c>
      <c r="G261" s="19">
        <v>1</v>
      </c>
      <c r="H261" s="16">
        <v>4</v>
      </c>
    </row>
    <row r="262" spans="1:8" x14ac:dyDescent="0.15">
      <c r="A262" s="19">
        <v>225.01428000000001</v>
      </c>
      <c r="B262" s="19">
        <v>111</v>
      </c>
      <c r="C262" s="19">
        <v>0.61434999999999995</v>
      </c>
      <c r="D262" s="19">
        <v>99.664810000000003</v>
      </c>
      <c r="E262" s="19">
        <v>20</v>
      </c>
      <c r="F262" s="19">
        <v>80</v>
      </c>
      <c r="G262" s="19">
        <v>1</v>
      </c>
      <c r="H262" s="16">
        <v>4</v>
      </c>
    </row>
    <row r="263" spans="1:8" x14ac:dyDescent="0.15">
      <c r="A263" s="19">
        <v>225.01338999999999</v>
      </c>
      <c r="B263" s="19">
        <v>111.5</v>
      </c>
      <c r="C263" s="19">
        <v>0.61289000000000005</v>
      </c>
      <c r="D263" s="19">
        <v>99.625659999999996</v>
      </c>
      <c r="E263" s="19">
        <v>20</v>
      </c>
      <c r="F263" s="19">
        <v>80</v>
      </c>
      <c r="G263" s="19">
        <v>1</v>
      </c>
      <c r="H263" s="16">
        <v>4</v>
      </c>
    </row>
    <row r="264" spans="1:8" x14ac:dyDescent="0.15">
      <c r="A264" s="19">
        <v>225.01279</v>
      </c>
      <c r="B264" s="19">
        <v>112</v>
      </c>
      <c r="C264" s="19">
        <v>0.61270000000000002</v>
      </c>
      <c r="D264" s="19">
        <v>99.484949999999998</v>
      </c>
      <c r="E264" s="19">
        <v>20</v>
      </c>
      <c r="F264" s="19">
        <v>80</v>
      </c>
      <c r="G264" s="19">
        <v>1</v>
      </c>
      <c r="H264" s="16">
        <v>4</v>
      </c>
    </row>
    <row r="265" spans="1:8" x14ac:dyDescent="0.15">
      <c r="A265" s="19">
        <v>225.01034000000001</v>
      </c>
      <c r="B265" s="19">
        <v>112.5</v>
      </c>
      <c r="C265" s="19">
        <v>0.61101000000000005</v>
      </c>
      <c r="D265" s="19">
        <v>99.651669999999996</v>
      </c>
      <c r="E265" s="19">
        <v>20</v>
      </c>
      <c r="F265" s="19">
        <v>80</v>
      </c>
      <c r="G265" s="19">
        <v>1</v>
      </c>
      <c r="H265" s="16">
        <v>4</v>
      </c>
    </row>
    <row r="266" spans="1:8" x14ac:dyDescent="0.15">
      <c r="A266" s="19">
        <v>225.00906000000001</v>
      </c>
      <c r="B266" s="19">
        <v>113</v>
      </c>
      <c r="C266" s="19">
        <v>0.61106000000000005</v>
      </c>
      <c r="D266" s="19">
        <v>99.762540000000001</v>
      </c>
      <c r="E266" s="19">
        <v>20</v>
      </c>
      <c r="F266" s="19">
        <v>80</v>
      </c>
      <c r="G266" s="19">
        <v>1</v>
      </c>
      <c r="H266" s="16">
        <v>4</v>
      </c>
    </row>
    <row r="267" spans="1:8" x14ac:dyDescent="0.15">
      <c r="A267" s="19">
        <v>225.00844000000001</v>
      </c>
      <c r="B267" s="19">
        <v>113.5</v>
      </c>
      <c r="C267" s="19">
        <v>0.61040000000000005</v>
      </c>
      <c r="D267" s="19">
        <v>99.634219999999999</v>
      </c>
      <c r="E267" s="19">
        <v>20</v>
      </c>
      <c r="F267" s="19">
        <v>80</v>
      </c>
      <c r="G267" s="19">
        <v>1</v>
      </c>
      <c r="H267" s="16">
        <v>4</v>
      </c>
    </row>
    <row r="268" spans="1:8" x14ac:dyDescent="0.15">
      <c r="A268" s="19">
        <v>225.00845000000001</v>
      </c>
      <c r="B268" s="19">
        <v>114</v>
      </c>
      <c r="C268" s="19">
        <v>0.61004000000000003</v>
      </c>
      <c r="D268" s="19">
        <v>99.571849999999998</v>
      </c>
      <c r="E268" s="19">
        <v>20</v>
      </c>
      <c r="F268" s="19">
        <v>80</v>
      </c>
      <c r="G268" s="19">
        <v>1</v>
      </c>
      <c r="H268" s="16">
        <v>4</v>
      </c>
    </row>
    <row r="269" spans="1:8" x14ac:dyDescent="0.15">
      <c r="A269" s="19">
        <v>225.00897000000001</v>
      </c>
      <c r="B269" s="19">
        <v>114.5</v>
      </c>
      <c r="C269" s="19">
        <v>0.60887999999999998</v>
      </c>
      <c r="D269" s="19">
        <v>99.615579999999994</v>
      </c>
      <c r="E269" s="19">
        <v>20</v>
      </c>
      <c r="F269" s="19">
        <v>80</v>
      </c>
      <c r="G269" s="19">
        <v>1</v>
      </c>
      <c r="H269" s="16">
        <v>4</v>
      </c>
    </row>
    <row r="270" spans="1:8" x14ac:dyDescent="0.15">
      <c r="A270" s="19">
        <v>225.00913</v>
      </c>
      <c r="B270" s="19">
        <v>115</v>
      </c>
      <c r="C270" s="19">
        <v>0.60704000000000002</v>
      </c>
      <c r="D270" s="19">
        <v>99.516080000000002</v>
      </c>
      <c r="E270" s="19">
        <v>20</v>
      </c>
      <c r="F270" s="19">
        <v>80</v>
      </c>
      <c r="G270" s="19">
        <v>1</v>
      </c>
      <c r="H270" s="16">
        <v>4</v>
      </c>
    </row>
    <row r="271" spans="1:8" x14ac:dyDescent="0.15">
      <c r="A271" s="19">
        <v>225.0086</v>
      </c>
      <c r="B271" s="19">
        <v>115.5</v>
      </c>
      <c r="C271" s="19">
        <v>0.60789000000000004</v>
      </c>
      <c r="D271" s="19">
        <v>99.658529999999999</v>
      </c>
      <c r="E271" s="19">
        <v>20</v>
      </c>
      <c r="F271" s="19">
        <v>80</v>
      </c>
      <c r="G271" s="19">
        <v>1</v>
      </c>
      <c r="H271" s="16">
        <v>4</v>
      </c>
    </row>
    <row r="272" spans="1:8" x14ac:dyDescent="0.15">
      <c r="A272" s="19">
        <v>225.01283000000001</v>
      </c>
      <c r="B272" s="19">
        <v>116</v>
      </c>
      <c r="C272" s="19">
        <v>0.60746</v>
      </c>
      <c r="D272" s="19">
        <v>99.597909999999999</v>
      </c>
      <c r="E272" s="19">
        <v>20</v>
      </c>
      <c r="F272" s="19">
        <v>80</v>
      </c>
      <c r="G272" s="19">
        <v>1</v>
      </c>
      <c r="H272" s="16">
        <v>4</v>
      </c>
    </row>
    <row r="273" spans="1:8" x14ac:dyDescent="0.15">
      <c r="A273" s="19">
        <v>225.01454000000001</v>
      </c>
      <c r="B273" s="19">
        <v>116.5</v>
      </c>
      <c r="C273" s="19">
        <v>0.60672000000000004</v>
      </c>
      <c r="D273" s="19">
        <v>99.587350000000001</v>
      </c>
      <c r="E273" s="19">
        <v>20</v>
      </c>
      <c r="F273" s="19">
        <v>80</v>
      </c>
      <c r="G273" s="19">
        <v>1</v>
      </c>
      <c r="H273" s="16">
        <v>4</v>
      </c>
    </row>
    <row r="274" spans="1:8" x14ac:dyDescent="0.15">
      <c r="A274" s="19">
        <v>225.01410999999999</v>
      </c>
      <c r="B274" s="19">
        <v>117</v>
      </c>
      <c r="C274" s="19">
        <v>0.60604000000000002</v>
      </c>
      <c r="D274" s="19">
        <v>99.558090000000007</v>
      </c>
      <c r="E274" s="19">
        <v>20</v>
      </c>
      <c r="F274" s="19">
        <v>80</v>
      </c>
      <c r="G274" s="19">
        <v>1</v>
      </c>
      <c r="H274" s="16">
        <v>4</v>
      </c>
    </row>
    <row r="275" spans="1:8" x14ac:dyDescent="0.15">
      <c r="A275" s="19">
        <v>225.01736</v>
      </c>
      <c r="B275" s="19">
        <v>117.5</v>
      </c>
      <c r="C275" s="19">
        <v>0.60514000000000001</v>
      </c>
      <c r="D275" s="19">
        <v>99.526539999999997</v>
      </c>
      <c r="E275" s="19">
        <v>20</v>
      </c>
      <c r="F275" s="19">
        <v>80</v>
      </c>
      <c r="G275" s="19">
        <v>1</v>
      </c>
      <c r="H275" s="16">
        <v>4</v>
      </c>
    </row>
    <row r="276" spans="1:8" x14ac:dyDescent="0.15">
      <c r="A276" s="19">
        <v>225.01804999999999</v>
      </c>
      <c r="B276" s="19">
        <v>118</v>
      </c>
      <c r="C276" s="19">
        <v>0.60585</v>
      </c>
      <c r="D276" s="19">
        <v>99.617130000000003</v>
      </c>
      <c r="E276" s="19">
        <v>20</v>
      </c>
      <c r="F276" s="19">
        <v>80</v>
      </c>
      <c r="G276" s="19">
        <v>1</v>
      </c>
      <c r="H276" s="16">
        <v>4</v>
      </c>
    </row>
    <row r="277" spans="1:8" x14ac:dyDescent="0.15">
      <c r="A277" s="19">
        <v>225.01587000000001</v>
      </c>
      <c r="B277" s="19">
        <v>118.5</v>
      </c>
      <c r="C277" s="19">
        <v>0.60524999999999995</v>
      </c>
      <c r="D277" s="19">
        <v>99.375169999999997</v>
      </c>
      <c r="E277" s="19">
        <v>20</v>
      </c>
      <c r="F277" s="19">
        <v>80</v>
      </c>
      <c r="G277" s="19">
        <v>1</v>
      </c>
      <c r="H277" s="16">
        <v>4</v>
      </c>
    </row>
    <row r="278" spans="1:8" x14ac:dyDescent="0.15">
      <c r="A278" s="19">
        <v>225.01343</v>
      </c>
      <c r="B278" s="19">
        <v>119</v>
      </c>
      <c r="C278" s="19">
        <v>0.60596000000000005</v>
      </c>
      <c r="D278" s="19">
        <v>99.544349999999994</v>
      </c>
      <c r="E278" s="19">
        <v>20</v>
      </c>
      <c r="F278" s="19">
        <v>80</v>
      </c>
      <c r="G278" s="19">
        <v>1</v>
      </c>
      <c r="H278" s="16">
        <v>4</v>
      </c>
    </row>
    <row r="279" spans="1:8" x14ac:dyDescent="0.15">
      <c r="A279" s="19">
        <v>225.01187999999999</v>
      </c>
      <c r="B279" s="19">
        <v>119.5</v>
      </c>
      <c r="C279" s="19">
        <v>0.60475000000000001</v>
      </c>
      <c r="D279" s="19">
        <v>99.630939999999995</v>
      </c>
      <c r="E279" s="19">
        <v>20</v>
      </c>
      <c r="F279" s="19">
        <v>80</v>
      </c>
      <c r="G279" s="19">
        <v>1</v>
      </c>
      <c r="H279" s="16">
        <v>4</v>
      </c>
    </row>
    <row r="280" spans="1:8" x14ac:dyDescent="0.15">
      <c r="A280" s="19">
        <v>225.00841</v>
      </c>
      <c r="B280" s="19">
        <v>120</v>
      </c>
      <c r="C280" s="19">
        <v>0.60531999999999997</v>
      </c>
      <c r="D280" s="19">
        <v>99.572289999999995</v>
      </c>
      <c r="E280" s="19">
        <v>20</v>
      </c>
      <c r="F280" s="19">
        <v>80</v>
      </c>
      <c r="G280" s="19">
        <v>1</v>
      </c>
      <c r="H280" s="16">
        <v>4</v>
      </c>
    </row>
    <row r="281" spans="1:8" x14ac:dyDescent="0.15">
      <c r="A281" s="19">
        <v>225.00775999999999</v>
      </c>
      <c r="B281" s="19">
        <v>120.5</v>
      </c>
      <c r="C281" s="19">
        <v>0.60565999999999998</v>
      </c>
      <c r="D281" s="19">
        <v>99.623900000000006</v>
      </c>
      <c r="E281" s="19">
        <v>20</v>
      </c>
      <c r="F281" s="19">
        <v>80</v>
      </c>
      <c r="G281" s="19">
        <v>1</v>
      </c>
      <c r="H281" s="16">
        <v>4</v>
      </c>
    </row>
    <row r="282" spans="1:8" x14ac:dyDescent="0.15">
      <c r="A282" s="19">
        <v>225.01059000000001</v>
      </c>
      <c r="B282" s="19">
        <v>121</v>
      </c>
      <c r="C282" s="19">
        <v>0.60645000000000004</v>
      </c>
      <c r="D282" s="19">
        <v>99.562709999999996</v>
      </c>
      <c r="E282" s="19">
        <v>20</v>
      </c>
      <c r="F282" s="19">
        <v>80</v>
      </c>
      <c r="G282" s="19">
        <v>1</v>
      </c>
      <c r="H282" s="16">
        <v>4</v>
      </c>
    </row>
    <row r="283" spans="1:8" x14ac:dyDescent="0.15">
      <c r="A283" s="19">
        <v>225.01248000000001</v>
      </c>
      <c r="B283" s="19">
        <v>121.5</v>
      </c>
      <c r="C283" s="19">
        <v>0.60551999999999995</v>
      </c>
      <c r="D283" s="19">
        <v>99.615719999999996</v>
      </c>
      <c r="E283" s="19">
        <v>20</v>
      </c>
      <c r="F283" s="19">
        <v>80</v>
      </c>
      <c r="G283" s="19">
        <v>1</v>
      </c>
      <c r="H283" s="16">
        <v>4</v>
      </c>
    </row>
    <row r="284" spans="1:8" x14ac:dyDescent="0.15">
      <c r="A284" s="19">
        <v>225.01451</v>
      </c>
      <c r="B284" s="19">
        <v>122</v>
      </c>
      <c r="C284" s="19">
        <v>0.60377999999999998</v>
      </c>
      <c r="D284" s="19">
        <v>99.721909999999994</v>
      </c>
      <c r="E284" s="19">
        <v>20</v>
      </c>
      <c r="F284" s="19">
        <v>80</v>
      </c>
      <c r="G284" s="19">
        <v>1</v>
      </c>
      <c r="H284" s="16">
        <v>4</v>
      </c>
    </row>
    <row r="285" spans="1:8" x14ac:dyDescent="0.15">
      <c r="A285" s="19">
        <v>225.01769999999999</v>
      </c>
      <c r="B285" s="19">
        <v>122.5</v>
      </c>
      <c r="C285" s="19">
        <v>0.60358999999999996</v>
      </c>
      <c r="D285" s="19">
        <v>99.540430000000001</v>
      </c>
      <c r="E285" s="19">
        <v>20</v>
      </c>
      <c r="F285" s="19">
        <v>80</v>
      </c>
      <c r="G285" s="19">
        <v>1</v>
      </c>
      <c r="H285" s="16">
        <v>4</v>
      </c>
    </row>
    <row r="286" spans="1:8" x14ac:dyDescent="0.15">
      <c r="A286" s="19">
        <v>225.01563999999999</v>
      </c>
      <c r="B286" s="19">
        <v>123</v>
      </c>
      <c r="C286" s="19">
        <v>0.60258</v>
      </c>
      <c r="D286" s="19">
        <v>99.615790000000004</v>
      </c>
      <c r="E286" s="19">
        <v>20</v>
      </c>
      <c r="F286" s="19">
        <v>80</v>
      </c>
      <c r="G286" s="19">
        <v>1</v>
      </c>
      <c r="H286" s="16">
        <v>4</v>
      </c>
    </row>
    <row r="287" spans="1:8" x14ac:dyDescent="0.15">
      <c r="A287" s="19">
        <v>225.01564999999999</v>
      </c>
      <c r="B287" s="19">
        <v>123.5</v>
      </c>
      <c r="C287" s="19">
        <v>0.60180999999999996</v>
      </c>
      <c r="D287" s="19">
        <v>99.434950000000001</v>
      </c>
      <c r="E287" s="19">
        <v>20</v>
      </c>
      <c r="F287" s="19">
        <v>80</v>
      </c>
      <c r="G287" s="19">
        <v>1</v>
      </c>
      <c r="H287" s="16">
        <v>4</v>
      </c>
    </row>
    <row r="288" spans="1:8" x14ac:dyDescent="0.15">
      <c r="A288" s="19">
        <v>225.01956000000001</v>
      </c>
      <c r="B288" s="19">
        <v>124</v>
      </c>
      <c r="C288" s="19">
        <v>0.60141</v>
      </c>
      <c r="D288" s="19">
        <v>99.446349999999995</v>
      </c>
      <c r="E288" s="19">
        <v>20</v>
      </c>
      <c r="F288" s="19">
        <v>80</v>
      </c>
      <c r="G288" s="19">
        <v>1</v>
      </c>
      <c r="H288" s="16">
        <v>4</v>
      </c>
    </row>
    <row r="289" spans="1:8" x14ac:dyDescent="0.15">
      <c r="A289" s="19">
        <v>225.02076</v>
      </c>
      <c r="B289" s="19">
        <v>124.5</v>
      </c>
      <c r="C289" s="19">
        <v>0.60001000000000004</v>
      </c>
      <c r="D289" s="19">
        <v>99.515110000000007</v>
      </c>
      <c r="E289" s="19">
        <v>20</v>
      </c>
      <c r="F289" s="19">
        <v>80</v>
      </c>
      <c r="G289" s="19">
        <v>1</v>
      </c>
      <c r="H289" s="16">
        <v>4</v>
      </c>
    </row>
    <row r="290" spans="1:8" x14ac:dyDescent="0.15">
      <c r="A290" s="19">
        <v>225.01670999999999</v>
      </c>
      <c r="B290" s="19">
        <v>125</v>
      </c>
      <c r="C290" s="19">
        <v>0.60113000000000005</v>
      </c>
      <c r="D290" s="19">
        <v>99.469930000000005</v>
      </c>
      <c r="E290" s="19">
        <v>20</v>
      </c>
      <c r="F290" s="19">
        <v>80</v>
      </c>
      <c r="G290" s="19">
        <v>1</v>
      </c>
      <c r="H290" s="16">
        <v>4</v>
      </c>
    </row>
    <row r="291" spans="1:8" x14ac:dyDescent="0.15">
      <c r="A291" s="19">
        <v>225.01614000000001</v>
      </c>
      <c r="B291" s="19">
        <v>125.5</v>
      </c>
      <c r="C291" s="19">
        <v>0.60072999999999999</v>
      </c>
      <c r="D291" s="19">
        <v>99.447519999999997</v>
      </c>
      <c r="E291" s="19">
        <v>20</v>
      </c>
      <c r="F291" s="19">
        <v>80</v>
      </c>
      <c r="G291" s="19">
        <v>1</v>
      </c>
      <c r="H291" s="16">
        <v>4</v>
      </c>
    </row>
    <row r="292" spans="1:8" x14ac:dyDescent="0.15">
      <c r="A292" s="19">
        <v>225.01822000000001</v>
      </c>
      <c r="B292" s="19">
        <v>126</v>
      </c>
      <c r="C292" s="19">
        <v>0.59965000000000002</v>
      </c>
      <c r="D292" s="19">
        <v>99.542119999999997</v>
      </c>
      <c r="E292" s="19">
        <v>20</v>
      </c>
      <c r="F292" s="19">
        <v>80</v>
      </c>
      <c r="G292" s="19">
        <v>1</v>
      </c>
      <c r="H292" s="16">
        <v>4</v>
      </c>
    </row>
    <row r="293" spans="1:8" x14ac:dyDescent="0.15">
      <c r="A293" s="19">
        <v>225.01854</v>
      </c>
      <c r="B293" s="19">
        <v>126.5</v>
      </c>
      <c r="C293" s="19">
        <v>0.60104999999999997</v>
      </c>
      <c r="D293" s="19">
        <v>99.476879999999994</v>
      </c>
      <c r="E293" s="19">
        <v>20</v>
      </c>
      <c r="F293" s="19">
        <v>80</v>
      </c>
      <c r="G293" s="19">
        <v>1</v>
      </c>
      <c r="H293" s="16">
        <v>4</v>
      </c>
    </row>
    <row r="294" spans="1:8" x14ac:dyDescent="0.15">
      <c r="A294" s="19">
        <v>225.02170000000001</v>
      </c>
      <c r="B294" s="19">
        <v>127</v>
      </c>
      <c r="C294" s="19">
        <v>0.60050000000000003</v>
      </c>
      <c r="D294" s="19">
        <v>99.410889999999995</v>
      </c>
      <c r="E294" s="19">
        <v>20</v>
      </c>
      <c r="F294" s="19">
        <v>80</v>
      </c>
      <c r="G294" s="19">
        <v>1</v>
      </c>
      <c r="H294" s="16">
        <v>4</v>
      </c>
    </row>
    <row r="295" spans="1:8" x14ac:dyDescent="0.15">
      <c r="A295" s="19">
        <v>225.01949999999999</v>
      </c>
      <c r="B295" s="19">
        <v>127.5</v>
      </c>
      <c r="C295" s="19">
        <v>0.59955000000000003</v>
      </c>
      <c r="D295" s="19">
        <v>99.469939999999994</v>
      </c>
      <c r="E295" s="19">
        <v>20</v>
      </c>
      <c r="F295" s="19">
        <v>80</v>
      </c>
      <c r="G295" s="19">
        <v>1</v>
      </c>
      <c r="H295" s="16">
        <v>4</v>
      </c>
    </row>
    <row r="296" spans="1:8" x14ac:dyDescent="0.15">
      <c r="A296" s="19">
        <v>225.01562999999999</v>
      </c>
      <c r="B296" s="19">
        <v>128</v>
      </c>
      <c r="C296" s="19">
        <v>0.59887999999999997</v>
      </c>
      <c r="D296" s="19">
        <v>99.451250000000002</v>
      </c>
      <c r="E296" s="19">
        <v>20</v>
      </c>
      <c r="F296" s="19">
        <v>80</v>
      </c>
      <c r="G296" s="19">
        <v>1</v>
      </c>
      <c r="H296" s="16">
        <v>4</v>
      </c>
    </row>
    <row r="297" spans="1:8" x14ac:dyDescent="0.15">
      <c r="A297" s="19">
        <v>225.01909000000001</v>
      </c>
      <c r="B297" s="19">
        <v>128.5</v>
      </c>
      <c r="C297" s="19">
        <v>0.59824999999999995</v>
      </c>
      <c r="D297" s="19">
        <v>99.51491</v>
      </c>
      <c r="E297" s="19">
        <v>20</v>
      </c>
      <c r="F297" s="19">
        <v>80</v>
      </c>
      <c r="G297" s="19">
        <v>1</v>
      </c>
      <c r="H297" s="16">
        <v>4</v>
      </c>
    </row>
    <row r="298" spans="1:8" x14ac:dyDescent="0.15">
      <c r="A298" s="19">
        <v>225.02094</v>
      </c>
      <c r="B298" s="19">
        <v>129</v>
      </c>
      <c r="C298" s="19">
        <v>0.59828999999999999</v>
      </c>
      <c r="D298" s="19">
        <v>99.534210000000002</v>
      </c>
      <c r="E298" s="19">
        <v>20</v>
      </c>
      <c r="F298" s="19">
        <v>80</v>
      </c>
      <c r="G298" s="19">
        <v>1</v>
      </c>
      <c r="H298" s="16">
        <v>4</v>
      </c>
    </row>
    <row r="299" spans="1:8" x14ac:dyDescent="0.15">
      <c r="A299" s="19">
        <v>225.02042</v>
      </c>
      <c r="B299" s="19">
        <v>129.5</v>
      </c>
      <c r="C299" s="19">
        <v>0.59733999999999998</v>
      </c>
      <c r="D299" s="19">
        <v>99.519840000000002</v>
      </c>
      <c r="E299" s="19">
        <v>20</v>
      </c>
      <c r="F299" s="19">
        <v>80</v>
      </c>
      <c r="G299" s="19">
        <v>1</v>
      </c>
      <c r="H299" s="16">
        <v>4</v>
      </c>
    </row>
    <row r="300" spans="1:8" x14ac:dyDescent="0.15">
      <c r="A300" s="19">
        <v>225.01864</v>
      </c>
      <c r="B300" s="19">
        <v>130</v>
      </c>
      <c r="C300" s="19">
        <v>0.59792000000000001</v>
      </c>
      <c r="D300" s="19">
        <v>99.363380000000006</v>
      </c>
      <c r="E300" s="19">
        <v>20</v>
      </c>
      <c r="F300" s="19">
        <v>80</v>
      </c>
      <c r="G300" s="19">
        <v>1</v>
      </c>
      <c r="H300" s="16">
        <v>4</v>
      </c>
    </row>
    <row r="301" spans="1:8" x14ac:dyDescent="0.15">
      <c r="A301" s="19">
        <v>225.01596000000001</v>
      </c>
      <c r="B301" s="19">
        <v>130.5</v>
      </c>
      <c r="C301" s="19">
        <v>0.59792999999999996</v>
      </c>
      <c r="D301" s="19">
        <v>99.538809999999998</v>
      </c>
      <c r="E301" s="19">
        <v>20</v>
      </c>
      <c r="F301" s="19">
        <v>80</v>
      </c>
      <c r="G301" s="19">
        <v>1</v>
      </c>
      <c r="H301" s="16">
        <v>4</v>
      </c>
    </row>
    <row r="302" spans="1:8" x14ac:dyDescent="0.15">
      <c r="A302" s="19">
        <v>225.01367999999999</v>
      </c>
      <c r="B302" s="19">
        <v>131</v>
      </c>
      <c r="C302" s="19">
        <v>0.59533999999999998</v>
      </c>
      <c r="D302" s="19">
        <v>99.460589999999996</v>
      </c>
      <c r="E302" s="19">
        <v>20</v>
      </c>
      <c r="F302" s="19">
        <v>80</v>
      </c>
      <c r="G302" s="19">
        <v>1</v>
      </c>
      <c r="H302" s="16">
        <v>4</v>
      </c>
    </row>
    <row r="303" spans="1:8" x14ac:dyDescent="0.15">
      <c r="A303" s="19">
        <v>225.01421999999999</v>
      </c>
      <c r="B303" s="19">
        <v>131.5</v>
      </c>
      <c r="C303" s="19">
        <v>0.59519999999999995</v>
      </c>
      <c r="D303" s="19">
        <v>99.521960000000007</v>
      </c>
      <c r="E303" s="19">
        <v>20</v>
      </c>
      <c r="F303" s="19">
        <v>80</v>
      </c>
      <c r="G303" s="19">
        <v>1</v>
      </c>
      <c r="H303" s="16">
        <v>4</v>
      </c>
    </row>
    <row r="304" spans="1:8" x14ac:dyDescent="0.15">
      <c r="A304" s="19">
        <v>225.01161999999999</v>
      </c>
      <c r="B304" s="19">
        <v>132</v>
      </c>
      <c r="C304" s="19">
        <v>0.59606999999999999</v>
      </c>
      <c r="D304" s="19">
        <v>99.483900000000006</v>
      </c>
      <c r="E304" s="19">
        <v>20</v>
      </c>
      <c r="F304" s="19">
        <v>80</v>
      </c>
      <c r="G304" s="19">
        <v>1</v>
      </c>
      <c r="H304" s="16">
        <v>4</v>
      </c>
    </row>
    <row r="305" spans="1:8" x14ac:dyDescent="0.15">
      <c r="A305" s="19">
        <v>225.00944999999999</v>
      </c>
      <c r="B305" s="19">
        <v>132.5</v>
      </c>
      <c r="C305" s="19">
        <v>0.59328999999999998</v>
      </c>
      <c r="D305" s="19">
        <v>99.385390000000001</v>
      </c>
      <c r="E305" s="19">
        <v>20</v>
      </c>
      <c r="F305" s="19">
        <v>80</v>
      </c>
      <c r="G305" s="19">
        <v>1</v>
      </c>
      <c r="H305" s="16">
        <v>4</v>
      </c>
    </row>
    <row r="306" spans="1:8" x14ac:dyDescent="0.15">
      <c r="A306" s="19">
        <v>225.0087</v>
      </c>
      <c r="B306" s="19">
        <v>133</v>
      </c>
      <c r="C306" s="19">
        <v>0.59484000000000004</v>
      </c>
      <c r="D306" s="19">
        <v>99.464770000000001</v>
      </c>
      <c r="E306" s="19">
        <v>20</v>
      </c>
      <c r="F306" s="19">
        <v>80</v>
      </c>
      <c r="G306" s="19">
        <v>1</v>
      </c>
      <c r="H306" s="16">
        <v>4</v>
      </c>
    </row>
    <row r="307" spans="1:8" x14ac:dyDescent="0.15">
      <c r="A307" s="19">
        <v>225.00658999999999</v>
      </c>
      <c r="B307" s="19">
        <v>133.5</v>
      </c>
      <c r="C307" s="19">
        <v>0.59557000000000004</v>
      </c>
      <c r="D307" s="19">
        <v>99.418689999999998</v>
      </c>
      <c r="E307" s="19">
        <v>20</v>
      </c>
      <c r="F307" s="19">
        <v>80</v>
      </c>
      <c r="G307" s="19">
        <v>1</v>
      </c>
      <c r="H307" s="16">
        <v>4</v>
      </c>
    </row>
    <row r="308" spans="1:8" x14ac:dyDescent="0.15">
      <c r="A308" s="19">
        <v>225.00522000000001</v>
      </c>
      <c r="B308" s="19">
        <v>134</v>
      </c>
      <c r="C308" s="19">
        <v>0.59458</v>
      </c>
      <c r="D308" s="19">
        <v>99.371020000000001</v>
      </c>
      <c r="E308" s="19">
        <v>20</v>
      </c>
      <c r="F308" s="19">
        <v>80</v>
      </c>
      <c r="G308" s="19">
        <v>1</v>
      </c>
      <c r="H308" s="16">
        <v>4</v>
      </c>
    </row>
    <row r="309" spans="1:8" x14ac:dyDescent="0.15">
      <c r="A309" s="19">
        <v>225.00581</v>
      </c>
      <c r="B309" s="19">
        <v>134.5</v>
      </c>
      <c r="C309" s="19">
        <v>0.59582999999999997</v>
      </c>
      <c r="D309" s="19">
        <v>99.397800000000004</v>
      </c>
      <c r="E309" s="19">
        <v>20</v>
      </c>
      <c r="F309" s="19">
        <v>80</v>
      </c>
      <c r="G309" s="19">
        <v>1</v>
      </c>
      <c r="H309" s="16">
        <v>4</v>
      </c>
    </row>
    <row r="310" spans="1:8" x14ac:dyDescent="0.15">
      <c r="A310" s="19">
        <v>225.00737000000001</v>
      </c>
      <c r="B310" s="19">
        <v>135</v>
      </c>
      <c r="C310" s="19">
        <v>0.59462999999999999</v>
      </c>
      <c r="D310" s="19">
        <v>99.3566</v>
      </c>
      <c r="E310" s="19">
        <v>20</v>
      </c>
      <c r="F310" s="19">
        <v>80</v>
      </c>
      <c r="G310" s="19">
        <v>1</v>
      </c>
      <c r="H310" s="16">
        <v>4</v>
      </c>
    </row>
    <row r="311" spans="1:8" x14ac:dyDescent="0.15">
      <c r="A311" s="19">
        <v>225.00773000000001</v>
      </c>
      <c r="B311" s="19">
        <v>135.5</v>
      </c>
      <c r="C311" s="19">
        <v>0.59287999999999996</v>
      </c>
      <c r="D311" s="19">
        <v>99.412239999999997</v>
      </c>
      <c r="E311" s="19">
        <v>20</v>
      </c>
      <c r="F311" s="19">
        <v>80</v>
      </c>
      <c r="G311" s="19">
        <v>1</v>
      </c>
      <c r="H311" s="16">
        <v>4</v>
      </c>
    </row>
    <row r="312" spans="1:8" x14ac:dyDescent="0.15">
      <c r="A312" s="19">
        <v>225.00855999999999</v>
      </c>
      <c r="B312" s="19">
        <v>136</v>
      </c>
      <c r="C312" s="19">
        <v>0.59233999999999998</v>
      </c>
      <c r="D312" s="19">
        <v>99.368610000000004</v>
      </c>
      <c r="E312" s="19">
        <v>20</v>
      </c>
      <c r="F312" s="19">
        <v>80</v>
      </c>
      <c r="G312" s="19">
        <v>1</v>
      </c>
      <c r="H312" s="16">
        <v>4</v>
      </c>
    </row>
    <row r="313" spans="1:8" x14ac:dyDescent="0.15">
      <c r="A313" s="19">
        <v>225.00924000000001</v>
      </c>
      <c r="B313" s="19">
        <v>136.5</v>
      </c>
      <c r="C313" s="19">
        <v>0.59406999999999999</v>
      </c>
      <c r="D313" s="19">
        <v>99.372820000000004</v>
      </c>
      <c r="E313" s="19">
        <v>20</v>
      </c>
      <c r="F313" s="19">
        <v>80</v>
      </c>
      <c r="G313" s="19">
        <v>1</v>
      </c>
      <c r="H313" s="16">
        <v>4</v>
      </c>
    </row>
    <row r="314" spans="1:8" x14ac:dyDescent="0.15">
      <c r="A314" s="19">
        <v>225.00698</v>
      </c>
      <c r="B314" s="19">
        <v>137</v>
      </c>
      <c r="C314" s="19">
        <v>0.59326999999999996</v>
      </c>
      <c r="D314" s="19">
        <v>99.382350000000002</v>
      </c>
      <c r="E314" s="19">
        <v>20</v>
      </c>
      <c r="F314" s="19">
        <v>80</v>
      </c>
      <c r="G314" s="19">
        <v>1</v>
      </c>
      <c r="H314" s="16">
        <v>4</v>
      </c>
    </row>
    <row r="315" spans="1:8" x14ac:dyDescent="0.15">
      <c r="A315" s="19">
        <v>225.00742</v>
      </c>
      <c r="B315" s="19">
        <v>137.5</v>
      </c>
      <c r="C315" s="19">
        <v>0.59352000000000005</v>
      </c>
      <c r="D315" s="19">
        <v>99.48357</v>
      </c>
      <c r="E315" s="19">
        <v>20</v>
      </c>
      <c r="F315" s="19">
        <v>80</v>
      </c>
      <c r="G315" s="19">
        <v>1</v>
      </c>
      <c r="H315" s="16">
        <v>4</v>
      </c>
    </row>
    <row r="316" spans="1:8" x14ac:dyDescent="0.15">
      <c r="A316" s="19">
        <v>225.0154</v>
      </c>
      <c r="B316" s="19">
        <v>138</v>
      </c>
      <c r="C316" s="19">
        <v>0.59333999999999998</v>
      </c>
      <c r="D316" s="19">
        <v>99.416759999999996</v>
      </c>
      <c r="E316" s="19">
        <v>20</v>
      </c>
      <c r="F316" s="19">
        <v>80</v>
      </c>
      <c r="G316" s="19">
        <v>1</v>
      </c>
      <c r="H316" s="16">
        <v>4</v>
      </c>
    </row>
    <row r="317" spans="1:8" x14ac:dyDescent="0.15">
      <c r="A317" s="19">
        <v>225.01992999999999</v>
      </c>
      <c r="B317" s="19">
        <v>138.5</v>
      </c>
      <c r="C317" s="19">
        <v>0.59321000000000002</v>
      </c>
      <c r="D317" s="19">
        <v>99.383600000000001</v>
      </c>
      <c r="E317" s="19">
        <v>20</v>
      </c>
      <c r="F317" s="19">
        <v>80</v>
      </c>
      <c r="G317" s="19">
        <v>1</v>
      </c>
      <c r="H317" s="16">
        <v>4</v>
      </c>
    </row>
    <row r="318" spans="1:8" x14ac:dyDescent="0.15">
      <c r="A318" s="19">
        <v>225.02193</v>
      </c>
      <c r="B318" s="19">
        <v>139</v>
      </c>
      <c r="C318" s="19">
        <v>0.59089000000000003</v>
      </c>
      <c r="D318" s="19">
        <v>99.487759999999994</v>
      </c>
      <c r="E318" s="19">
        <v>20</v>
      </c>
      <c r="F318" s="19">
        <v>80</v>
      </c>
      <c r="G318" s="19">
        <v>1</v>
      </c>
      <c r="H318" s="16">
        <v>4</v>
      </c>
    </row>
    <row r="319" spans="1:8" x14ac:dyDescent="0.15">
      <c r="A319" s="19">
        <v>225.02424999999999</v>
      </c>
      <c r="B319" s="19">
        <v>139.5</v>
      </c>
      <c r="C319" s="19">
        <v>0.59292</v>
      </c>
      <c r="D319" s="19">
        <v>99.438919999999996</v>
      </c>
      <c r="E319" s="19">
        <v>20</v>
      </c>
      <c r="F319" s="19">
        <v>80</v>
      </c>
      <c r="G319" s="19">
        <v>1</v>
      </c>
      <c r="H319" s="16">
        <v>4</v>
      </c>
    </row>
    <row r="320" spans="1:8" x14ac:dyDescent="0.15">
      <c r="A320" s="19">
        <v>225.02626000000001</v>
      </c>
      <c r="B320" s="19">
        <v>140</v>
      </c>
      <c r="C320" s="19">
        <v>0.59104999999999996</v>
      </c>
      <c r="D320" s="19">
        <v>99.331019999999995</v>
      </c>
      <c r="E320" s="19">
        <v>20</v>
      </c>
      <c r="F320" s="19">
        <v>80</v>
      </c>
      <c r="G320" s="19">
        <v>1</v>
      </c>
      <c r="H320" s="16">
        <v>4</v>
      </c>
    </row>
    <row r="321" spans="1:8" x14ac:dyDescent="0.15">
      <c r="A321" s="19">
        <v>225.02367000000001</v>
      </c>
      <c r="B321" s="19">
        <v>140.5</v>
      </c>
      <c r="C321" s="19">
        <v>0.58987000000000001</v>
      </c>
      <c r="D321" s="19">
        <v>99.385329999999996</v>
      </c>
      <c r="E321" s="19">
        <v>20</v>
      </c>
      <c r="F321" s="19">
        <v>80</v>
      </c>
      <c r="G321" s="19">
        <v>1</v>
      </c>
      <c r="H321" s="16">
        <v>4</v>
      </c>
    </row>
    <row r="322" spans="1:8" x14ac:dyDescent="0.15">
      <c r="A322" s="19">
        <v>225.02049</v>
      </c>
      <c r="B322" s="19">
        <v>141</v>
      </c>
      <c r="C322" s="19">
        <v>0.58816999999999997</v>
      </c>
      <c r="D322" s="19">
        <v>99.359639999999999</v>
      </c>
      <c r="E322" s="19">
        <v>20</v>
      </c>
      <c r="F322" s="19">
        <v>80</v>
      </c>
      <c r="G322" s="19">
        <v>1</v>
      </c>
      <c r="H322" s="16">
        <v>4</v>
      </c>
    </row>
    <row r="323" spans="1:8" x14ac:dyDescent="0.15">
      <c r="A323" s="19">
        <v>225.02280999999999</v>
      </c>
      <c r="B323" s="19">
        <v>141.5</v>
      </c>
      <c r="C323" s="19">
        <v>0.58811000000000002</v>
      </c>
      <c r="D323" s="19">
        <v>99.354089999999999</v>
      </c>
      <c r="E323" s="19">
        <v>20</v>
      </c>
      <c r="F323" s="19">
        <v>80</v>
      </c>
      <c r="G323" s="19">
        <v>1</v>
      </c>
      <c r="H323" s="16">
        <v>4</v>
      </c>
    </row>
    <row r="324" spans="1:8" x14ac:dyDescent="0.15">
      <c r="A324" s="19">
        <v>225.02418</v>
      </c>
      <c r="B324" s="19">
        <v>142</v>
      </c>
      <c r="C324" s="19">
        <v>0.58862999999999999</v>
      </c>
      <c r="D324" s="19">
        <v>99.502669999999995</v>
      </c>
      <c r="E324" s="19">
        <v>20</v>
      </c>
      <c r="F324" s="19">
        <v>80</v>
      </c>
      <c r="G324" s="19">
        <v>1</v>
      </c>
      <c r="H324" s="16">
        <v>4</v>
      </c>
    </row>
    <row r="325" spans="1:8" x14ac:dyDescent="0.15">
      <c r="A325" s="19">
        <v>225.01836</v>
      </c>
      <c r="B325" s="19">
        <v>142.5</v>
      </c>
      <c r="C325" s="19">
        <v>0.58957000000000004</v>
      </c>
      <c r="D325" s="19">
        <v>99.40204</v>
      </c>
      <c r="E325" s="19">
        <v>20</v>
      </c>
      <c r="F325" s="19">
        <v>80</v>
      </c>
      <c r="G325" s="19">
        <v>1</v>
      </c>
      <c r="H325" s="16">
        <v>4</v>
      </c>
    </row>
    <row r="326" spans="1:8" x14ac:dyDescent="0.15">
      <c r="A326" s="19">
        <v>225.01525000000001</v>
      </c>
      <c r="B326" s="19">
        <v>143</v>
      </c>
      <c r="C326" s="19">
        <v>0.59150000000000003</v>
      </c>
      <c r="D326" s="19">
        <v>99.421379999999999</v>
      </c>
      <c r="E326" s="19">
        <v>20</v>
      </c>
      <c r="F326" s="19">
        <v>80</v>
      </c>
      <c r="G326" s="19">
        <v>1</v>
      </c>
      <c r="H326" s="16">
        <v>4</v>
      </c>
    </row>
    <row r="327" spans="1:8" x14ac:dyDescent="0.15">
      <c r="A327" s="19">
        <v>225.01794000000001</v>
      </c>
      <c r="B327" s="19">
        <v>143.5</v>
      </c>
      <c r="C327" s="19">
        <v>0.59218000000000004</v>
      </c>
      <c r="D327" s="19">
        <v>99.324579999999997</v>
      </c>
      <c r="E327" s="19">
        <v>20</v>
      </c>
      <c r="F327" s="19">
        <v>80</v>
      </c>
      <c r="G327" s="19">
        <v>1</v>
      </c>
      <c r="H327" s="16">
        <v>4</v>
      </c>
    </row>
    <row r="328" spans="1:8" x14ac:dyDescent="0.15">
      <c r="A328" s="19">
        <v>225.01814999999999</v>
      </c>
      <c r="B328" s="19">
        <v>144</v>
      </c>
      <c r="C328" s="19">
        <v>0.59204999999999997</v>
      </c>
      <c r="D328" s="19">
        <v>99.413349999999994</v>
      </c>
      <c r="E328" s="19">
        <v>20</v>
      </c>
      <c r="F328" s="19">
        <v>80</v>
      </c>
      <c r="G328" s="19">
        <v>1</v>
      </c>
      <c r="H328" s="16">
        <v>4</v>
      </c>
    </row>
    <row r="329" spans="1:8" x14ac:dyDescent="0.15">
      <c r="A329" s="19">
        <v>225.02136999999999</v>
      </c>
      <c r="B329" s="19">
        <v>144.5</v>
      </c>
      <c r="C329" s="19">
        <v>0.58935999999999999</v>
      </c>
      <c r="D329" s="19">
        <v>99.350009999999997</v>
      </c>
      <c r="E329" s="19">
        <v>20</v>
      </c>
      <c r="F329" s="19">
        <v>80</v>
      </c>
      <c r="G329" s="19">
        <v>1</v>
      </c>
      <c r="H329" s="16">
        <v>4</v>
      </c>
    </row>
    <row r="330" spans="1:8" x14ac:dyDescent="0.15">
      <c r="A330" s="19">
        <v>225.02199999999999</v>
      </c>
      <c r="B330" s="19">
        <v>145</v>
      </c>
      <c r="C330" s="19">
        <v>0.58801999999999999</v>
      </c>
      <c r="D330" s="19">
        <v>99.318600000000004</v>
      </c>
      <c r="E330" s="19">
        <v>20</v>
      </c>
      <c r="F330" s="19">
        <v>80</v>
      </c>
      <c r="G330" s="19">
        <v>1</v>
      </c>
      <c r="H330" s="16">
        <v>4</v>
      </c>
    </row>
    <row r="331" spans="1:8" x14ac:dyDescent="0.15">
      <c r="A331" s="19">
        <v>225.02008000000001</v>
      </c>
      <c r="B331" s="19">
        <v>145.5</v>
      </c>
      <c r="C331" s="19">
        <v>0.58860999999999997</v>
      </c>
      <c r="D331" s="19">
        <v>99.305350000000004</v>
      </c>
      <c r="E331" s="19">
        <v>20</v>
      </c>
      <c r="F331" s="19">
        <v>80</v>
      </c>
      <c r="G331" s="19">
        <v>1</v>
      </c>
      <c r="H331" s="16">
        <v>4</v>
      </c>
    </row>
    <row r="332" spans="1:8" x14ac:dyDescent="0.15">
      <c r="A332" s="19">
        <v>225.01965000000001</v>
      </c>
      <c r="B332" s="19">
        <v>146</v>
      </c>
      <c r="C332" s="19">
        <v>0.58853</v>
      </c>
      <c r="D332" s="19">
        <v>99.242750000000001</v>
      </c>
      <c r="E332" s="19">
        <v>20</v>
      </c>
      <c r="F332" s="19">
        <v>80</v>
      </c>
      <c r="G332" s="19">
        <v>1</v>
      </c>
      <c r="H332" s="16">
        <v>4</v>
      </c>
    </row>
    <row r="333" spans="1:8" x14ac:dyDescent="0.15">
      <c r="A333" s="19">
        <v>225.0188</v>
      </c>
      <c r="B333" s="19">
        <v>146.5</v>
      </c>
      <c r="C333" s="19">
        <v>0.58675999999999995</v>
      </c>
      <c r="D333" s="19">
        <v>99.202079999999995</v>
      </c>
      <c r="E333" s="19">
        <v>20</v>
      </c>
      <c r="F333" s="19">
        <v>80</v>
      </c>
      <c r="G333" s="19">
        <v>1</v>
      </c>
      <c r="H333" s="16">
        <v>4</v>
      </c>
    </row>
    <row r="334" spans="1:8" x14ac:dyDescent="0.15">
      <c r="A334" s="19">
        <v>225.01866999999999</v>
      </c>
      <c r="B334" s="19">
        <v>147</v>
      </c>
      <c r="C334" s="19">
        <v>0.5877</v>
      </c>
      <c r="D334" s="19">
        <v>99.316400000000002</v>
      </c>
      <c r="E334" s="19">
        <v>20</v>
      </c>
      <c r="F334" s="19">
        <v>80</v>
      </c>
      <c r="G334" s="19">
        <v>1</v>
      </c>
      <c r="H334" s="16">
        <v>4</v>
      </c>
    </row>
    <row r="335" spans="1:8" x14ac:dyDescent="0.15">
      <c r="A335" s="19">
        <v>225.01495</v>
      </c>
      <c r="B335" s="19">
        <v>147.5</v>
      </c>
      <c r="C335" s="19">
        <v>0.58662000000000003</v>
      </c>
      <c r="D335" s="19">
        <v>99.314329999999998</v>
      </c>
      <c r="E335" s="19">
        <v>20</v>
      </c>
      <c r="F335" s="19">
        <v>80</v>
      </c>
      <c r="G335" s="19">
        <v>1</v>
      </c>
      <c r="H335" s="16">
        <v>4</v>
      </c>
    </row>
    <row r="336" spans="1:8" x14ac:dyDescent="0.15">
      <c r="A336" s="19">
        <v>225.01474999999999</v>
      </c>
      <c r="B336" s="19">
        <v>148</v>
      </c>
      <c r="C336" s="19">
        <v>0.58684999999999998</v>
      </c>
      <c r="D336" s="19">
        <v>99.381919999999994</v>
      </c>
      <c r="E336" s="19">
        <v>20</v>
      </c>
      <c r="F336" s="19">
        <v>80</v>
      </c>
      <c r="G336" s="19">
        <v>1</v>
      </c>
      <c r="H336" s="16">
        <v>4</v>
      </c>
    </row>
    <row r="337" spans="1:8" x14ac:dyDescent="0.15">
      <c r="A337" s="19">
        <v>225.01469</v>
      </c>
      <c r="B337" s="19">
        <v>148.5</v>
      </c>
      <c r="C337" s="19">
        <v>0.58628999999999998</v>
      </c>
      <c r="D337" s="19">
        <v>99.419250000000005</v>
      </c>
      <c r="E337" s="19">
        <v>20</v>
      </c>
      <c r="F337" s="19">
        <v>80</v>
      </c>
      <c r="G337" s="19">
        <v>1</v>
      </c>
      <c r="H337" s="16">
        <v>4</v>
      </c>
    </row>
    <row r="338" spans="1:8" x14ac:dyDescent="0.15">
      <c r="A338" s="19">
        <v>225.01559</v>
      </c>
      <c r="B338" s="19">
        <v>149</v>
      </c>
      <c r="C338" s="19">
        <v>0.58660000000000001</v>
      </c>
      <c r="D338" s="19">
        <v>99.346339999999998</v>
      </c>
      <c r="E338" s="19">
        <v>20</v>
      </c>
      <c r="F338" s="19">
        <v>80</v>
      </c>
      <c r="G338" s="19">
        <v>1</v>
      </c>
      <c r="H338" s="16">
        <v>4</v>
      </c>
    </row>
    <row r="339" spans="1:8" x14ac:dyDescent="0.15">
      <c r="A339" s="19">
        <v>225.01824999999999</v>
      </c>
      <c r="B339" s="19">
        <v>149.5</v>
      </c>
      <c r="C339" s="19">
        <v>0.58779000000000003</v>
      </c>
      <c r="D339" s="19">
        <v>99.310699999999997</v>
      </c>
      <c r="E339" s="19">
        <v>20</v>
      </c>
      <c r="F339" s="19">
        <v>80</v>
      </c>
      <c r="G339" s="19">
        <v>1</v>
      </c>
      <c r="H339" s="16">
        <v>4</v>
      </c>
    </row>
    <row r="340" spans="1:8" x14ac:dyDescent="0.15">
      <c r="A340" s="19">
        <v>225.02182999999999</v>
      </c>
      <c r="B340" s="19">
        <v>150</v>
      </c>
      <c r="C340" s="19">
        <v>0.58616999999999997</v>
      </c>
      <c r="D340" s="19">
        <v>99.344530000000006</v>
      </c>
      <c r="E340" s="19">
        <v>20</v>
      </c>
      <c r="F340" s="19">
        <v>80</v>
      </c>
      <c r="G340" s="19">
        <v>1</v>
      </c>
      <c r="H340" s="16">
        <v>4</v>
      </c>
    </row>
    <row r="341" spans="1:8" x14ac:dyDescent="0.15">
      <c r="A341" s="19">
        <v>225.02468999999999</v>
      </c>
      <c r="B341" s="19">
        <v>150.5</v>
      </c>
      <c r="C341" s="19">
        <v>0.58391000000000004</v>
      </c>
      <c r="D341" s="19">
        <v>99.259979999999999</v>
      </c>
      <c r="E341" s="19">
        <v>20</v>
      </c>
      <c r="F341" s="19">
        <v>80</v>
      </c>
      <c r="G341" s="19">
        <v>1</v>
      </c>
      <c r="H341" s="16">
        <v>4</v>
      </c>
    </row>
    <row r="342" spans="1:8" x14ac:dyDescent="0.15">
      <c r="A342" s="19">
        <v>225.02216000000001</v>
      </c>
      <c r="B342" s="19">
        <v>151</v>
      </c>
      <c r="C342" s="19">
        <v>0.58428000000000002</v>
      </c>
      <c r="D342" s="19">
        <v>99.293229999999994</v>
      </c>
      <c r="E342" s="19">
        <v>20</v>
      </c>
      <c r="F342" s="19">
        <v>80</v>
      </c>
      <c r="G342" s="19">
        <v>1</v>
      </c>
      <c r="H342" s="16">
        <v>4</v>
      </c>
    </row>
    <row r="343" spans="1:8" x14ac:dyDescent="0.15">
      <c r="A343" s="19">
        <v>225.01706999999999</v>
      </c>
      <c r="B343" s="19">
        <v>151.5</v>
      </c>
      <c r="C343" s="19">
        <v>0.58148999999999995</v>
      </c>
      <c r="D343" s="19">
        <v>99.295540000000003</v>
      </c>
      <c r="E343" s="19">
        <v>20</v>
      </c>
      <c r="F343" s="19">
        <v>80</v>
      </c>
      <c r="G343" s="19">
        <v>1</v>
      </c>
      <c r="H343" s="16">
        <v>4</v>
      </c>
    </row>
    <row r="344" spans="1:8" x14ac:dyDescent="0.15">
      <c r="A344" s="19">
        <v>225.01812000000001</v>
      </c>
      <c r="B344" s="19">
        <v>152</v>
      </c>
      <c r="C344" s="19">
        <v>0.58267000000000002</v>
      </c>
      <c r="D344" s="19">
        <v>99.2714</v>
      </c>
      <c r="E344" s="19">
        <v>20</v>
      </c>
      <c r="F344" s="19">
        <v>80</v>
      </c>
      <c r="G344" s="19">
        <v>1</v>
      </c>
      <c r="H344" s="16">
        <v>4</v>
      </c>
    </row>
    <row r="345" spans="1:8" x14ac:dyDescent="0.15">
      <c r="A345" s="19">
        <v>225.02051</v>
      </c>
      <c r="B345" s="19">
        <v>152.5</v>
      </c>
      <c r="C345" s="19">
        <v>0.58357999999999999</v>
      </c>
      <c r="D345" s="19">
        <v>99.246960000000001</v>
      </c>
      <c r="E345" s="19">
        <v>20</v>
      </c>
      <c r="F345" s="19">
        <v>80</v>
      </c>
      <c r="G345" s="19">
        <v>1</v>
      </c>
      <c r="H345" s="16">
        <v>4</v>
      </c>
    </row>
    <row r="346" spans="1:8" x14ac:dyDescent="0.15">
      <c r="A346" s="19">
        <v>225.0197</v>
      </c>
      <c r="B346" s="19">
        <v>153</v>
      </c>
      <c r="C346" s="19">
        <v>0.58153999999999995</v>
      </c>
      <c r="D346" s="19">
        <v>99.218710000000002</v>
      </c>
      <c r="E346" s="19">
        <v>20</v>
      </c>
      <c r="F346" s="19">
        <v>80</v>
      </c>
      <c r="G346" s="19">
        <v>1</v>
      </c>
      <c r="H346" s="16">
        <v>4</v>
      </c>
    </row>
    <row r="347" spans="1:8" x14ac:dyDescent="0.15">
      <c r="A347" s="19">
        <v>225.01779999999999</v>
      </c>
      <c r="B347" s="19">
        <v>153.5</v>
      </c>
      <c r="C347" s="19">
        <v>0.58209</v>
      </c>
      <c r="D347" s="19">
        <v>99.156700000000001</v>
      </c>
      <c r="E347" s="19">
        <v>20</v>
      </c>
      <c r="F347" s="19">
        <v>80</v>
      </c>
      <c r="G347" s="19">
        <v>1</v>
      </c>
      <c r="H347" s="16">
        <v>4</v>
      </c>
    </row>
    <row r="348" spans="1:8" x14ac:dyDescent="0.15">
      <c r="A348" s="19">
        <v>225.01689999999999</v>
      </c>
      <c r="B348" s="19">
        <v>154</v>
      </c>
      <c r="C348" s="19">
        <v>0.58153999999999995</v>
      </c>
      <c r="D348" s="19">
        <v>99.202039999999997</v>
      </c>
      <c r="E348" s="19">
        <v>20</v>
      </c>
      <c r="F348" s="19">
        <v>80</v>
      </c>
      <c r="G348" s="19">
        <v>1</v>
      </c>
      <c r="H348" s="16">
        <v>4</v>
      </c>
    </row>
    <row r="349" spans="1:8" x14ac:dyDescent="0.15">
      <c r="A349" s="19">
        <v>225.017</v>
      </c>
      <c r="B349" s="19">
        <v>154.5</v>
      </c>
      <c r="C349" s="19">
        <v>0.58296999999999999</v>
      </c>
      <c r="D349" s="19">
        <v>99.186539999999994</v>
      </c>
      <c r="E349" s="19">
        <v>20</v>
      </c>
      <c r="F349" s="19">
        <v>80</v>
      </c>
      <c r="G349" s="19">
        <v>1</v>
      </c>
      <c r="H349" s="16">
        <v>4</v>
      </c>
    </row>
    <row r="350" spans="1:8" x14ac:dyDescent="0.15">
      <c r="A350" s="19">
        <v>225.01449</v>
      </c>
      <c r="B350" s="19">
        <v>155</v>
      </c>
      <c r="C350" s="19">
        <v>0.58145000000000002</v>
      </c>
      <c r="D350" s="19">
        <v>99.194280000000006</v>
      </c>
      <c r="E350" s="19">
        <v>20</v>
      </c>
      <c r="F350" s="19">
        <v>80</v>
      </c>
      <c r="G350" s="19">
        <v>1</v>
      </c>
      <c r="H350" s="16">
        <v>4</v>
      </c>
    </row>
    <row r="351" spans="1:8" x14ac:dyDescent="0.15">
      <c r="A351" s="19">
        <v>225.01366999999999</v>
      </c>
      <c r="B351" s="19">
        <v>155.5</v>
      </c>
      <c r="C351" s="19">
        <v>0.58077999999999996</v>
      </c>
      <c r="D351" s="19">
        <v>99.145939999999996</v>
      </c>
      <c r="E351" s="19">
        <v>20</v>
      </c>
      <c r="F351" s="19">
        <v>80</v>
      </c>
      <c r="G351" s="19">
        <v>1</v>
      </c>
      <c r="H351" s="16">
        <v>4</v>
      </c>
    </row>
    <row r="352" spans="1:8" x14ac:dyDescent="0.15">
      <c r="A352" s="19">
        <v>225.01593</v>
      </c>
      <c r="B352" s="19">
        <v>156</v>
      </c>
      <c r="C352" s="19">
        <v>0.58191999999999999</v>
      </c>
      <c r="D352" s="19">
        <v>99.338440000000006</v>
      </c>
      <c r="E352" s="19">
        <v>20</v>
      </c>
      <c r="F352" s="19">
        <v>80</v>
      </c>
      <c r="G352" s="19">
        <v>1</v>
      </c>
      <c r="H352" s="16">
        <v>4</v>
      </c>
    </row>
    <row r="353" spans="1:8" x14ac:dyDescent="0.15">
      <c r="A353" s="19">
        <v>225.01627999999999</v>
      </c>
      <c r="B353" s="19">
        <v>156.5</v>
      </c>
      <c r="C353" s="19">
        <v>0.57977000000000001</v>
      </c>
      <c r="D353" s="19">
        <v>99.214089999999999</v>
      </c>
      <c r="E353" s="19">
        <v>20</v>
      </c>
      <c r="F353" s="19">
        <v>80</v>
      </c>
      <c r="G353" s="19">
        <v>1</v>
      </c>
      <c r="H353" s="16">
        <v>4</v>
      </c>
    </row>
    <row r="354" spans="1:8" x14ac:dyDescent="0.15">
      <c r="A354" s="19">
        <v>225.01426000000001</v>
      </c>
      <c r="B354" s="19">
        <v>157</v>
      </c>
      <c r="C354" s="19">
        <v>0.58016999999999996</v>
      </c>
      <c r="D354" s="19">
        <v>99.192920000000001</v>
      </c>
      <c r="E354" s="19">
        <v>20</v>
      </c>
      <c r="F354" s="19">
        <v>80</v>
      </c>
      <c r="G354" s="19">
        <v>1</v>
      </c>
      <c r="H354" s="16">
        <v>4</v>
      </c>
    </row>
    <row r="355" spans="1:8" x14ac:dyDescent="0.15">
      <c r="A355" s="19">
        <v>225.01581999999999</v>
      </c>
      <c r="B355" s="19">
        <v>157.5</v>
      </c>
      <c r="C355" s="19">
        <v>0.58072999999999997</v>
      </c>
      <c r="D355" s="19">
        <v>99.279709999999994</v>
      </c>
      <c r="E355" s="19">
        <v>20</v>
      </c>
      <c r="F355" s="19">
        <v>80</v>
      </c>
      <c r="G355" s="19">
        <v>1</v>
      </c>
      <c r="H355" s="16">
        <v>4</v>
      </c>
    </row>
    <row r="356" spans="1:8" x14ac:dyDescent="0.15">
      <c r="A356" s="19">
        <v>225.01797999999999</v>
      </c>
      <c r="B356" s="19">
        <v>158</v>
      </c>
      <c r="C356" s="19">
        <v>0.57933000000000001</v>
      </c>
      <c r="D356" s="19">
        <v>99.286060000000006</v>
      </c>
      <c r="E356" s="19">
        <v>20</v>
      </c>
      <c r="F356" s="19">
        <v>80</v>
      </c>
      <c r="G356" s="19">
        <v>1</v>
      </c>
      <c r="H356" s="16">
        <v>4</v>
      </c>
    </row>
    <row r="357" spans="1:8" x14ac:dyDescent="0.15">
      <c r="A357" s="19">
        <v>225.01867999999999</v>
      </c>
      <c r="B357" s="19">
        <v>158.5</v>
      </c>
      <c r="C357" s="19">
        <v>0.57884000000000002</v>
      </c>
      <c r="D357" s="19">
        <v>99.259309999999999</v>
      </c>
      <c r="E357" s="19">
        <v>20</v>
      </c>
      <c r="F357" s="19">
        <v>80</v>
      </c>
      <c r="G357" s="19">
        <v>1</v>
      </c>
      <c r="H357" s="16">
        <v>4</v>
      </c>
    </row>
    <row r="358" spans="1:8" x14ac:dyDescent="0.15">
      <c r="A358" s="19">
        <v>225.02104</v>
      </c>
      <c r="B358" s="19">
        <v>159</v>
      </c>
      <c r="C358" s="19">
        <v>0.57757000000000003</v>
      </c>
      <c r="D358" s="19">
        <v>99.219740000000002</v>
      </c>
      <c r="E358" s="19">
        <v>20</v>
      </c>
      <c r="F358" s="19">
        <v>80</v>
      </c>
      <c r="G358" s="19">
        <v>1</v>
      </c>
      <c r="H358" s="16">
        <v>4</v>
      </c>
    </row>
    <row r="359" spans="1:8" x14ac:dyDescent="0.15">
      <c r="A359" s="19">
        <v>225.01599999999999</v>
      </c>
      <c r="B359" s="19">
        <v>159.5</v>
      </c>
      <c r="C359" s="19">
        <v>0.57909999999999995</v>
      </c>
      <c r="D359" s="19">
        <v>99.312479999999994</v>
      </c>
      <c r="E359" s="19">
        <v>20</v>
      </c>
      <c r="F359" s="19">
        <v>80</v>
      </c>
      <c r="G359" s="19">
        <v>1</v>
      </c>
      <c r="H359" s="16">
        <v>4</v>
      </c>
    </row>
    <row r="360" spans="1:8" x14ac:dyDescent="0.15">
      <c r="A360" s="19">
        <v>225.01507000000001</v>
      </c>
      <c r="B360" s="19">
        <v>160</v>
      </c>
      <c r="C360" s="19">
        <v>0.57831999999999995</v>
      </c>
      <c r="D360" s="19">
        <v>99.171400000000006</v>
      </c>
      <c r="E360" s="19">
        <v>20</v>
      </c>
      <c r="F360" s="19">
        <v>80</v>
      </c>
      <c r="G360" s="19">
        <v>1</v>
      </c>
      <c r="H360" s="16">
        <v>4</v>
      </c>
    </row>
    <row r="361" spans="1:8" x14ac:dyDescent="0.15">
      <c r="A361" s="19">
        <v>225.01168999999999</v>
      </c>
      <c r="B361" s="19">
        <v>160.5</v>
      </c>
      <c r="C361" s="19">
        <v>0.58001999999999998</v>
      </c>
      <c r="D361" s="19">
        <v>99.128159999999994</v>
      </c>
      <c r="E361" s="19">
        <v>20</v>
      </c>
      <c r="F361" s="19">
        <v>80</v>
      </c>
      <c r="G361" s="19">
        <v>1</v>
      </c>
      <c r="H361" s="16">
        <v>4</v>
      </c>
    </row>
    <row r="362" spans="1:8" x14ac:dyDescent="0.15">
      <c r="A362" s="19">
        <v>225.01062999999999</v>
      </c>
      <c r="B362" s="19">
        <v>161</v>
      </c>
      <c r="C362" s="19">
        <v>0.58069999999999999</v>
      </c>
      <c r="D362" s="19">
        <v>99.193049999999999</v>
      </c>
      <c r="E362" s="19">
        <v>20</v>
      </c>
      <c r="F362" s="19">
        <v>80</v>
      </c>
      <c r="G362" s="19">
        <v>1</v>
      </c>
      <c r="H362" s="16">
        <v>4</v>
      </c>
    </row>
    <row r="363" spans="1:8" x14ac:dyDescent="0.15">
      <c r="A363" s="19">
        <v>225.01160999999999</v>
      </c>
      <c r="B363" s="19">
        <v>161.5</v>
      </c>
      <c r="C363" s="19">
        <v>0.58028999999999997</v>
      </c>
      <c r="D363" s="19">
        <v>99.320419999999999</v>
      </c>
      <c r="E363" s="19">
        <v>20</v>
      </c>
      <c r="F363" s="19">
        <v>80</v>
      </c>
      <c r="G363" s="19">
        <v>1</v>
      </c>
      <c r="H363" s="16">
        <v>4</v>
      </c>
    </row>
    <row r="364" spans="1:8" x14ac:dyDescent="0.15">
      <c r="A364" s="19">
        <v>225.01265000000001</v>
      </c>
      <c r="B364" s="19">
        <v>162</v>
      </c>
      <c r="C364" s="19">
        <v>0.57901000000000002</v>
      </c>
      <c r="D364" s="19">
        <v>99.129189999999994</v>
      </c>
      <c r="E364" s="19">
        <v>20</v>
      </c>
      <c r="F364" s="19">
        <v>80</v>
      </c>
      <c r="G364" s="19">
        <v>1</v>
      </c>
      <c r="H364" s="16">
        <v>4</v>
      </c>
    </row>
    <row r="365" spans="1:8" x14ac:dyDescent="0.15">
      <c r="A365" s="19">
        <v>225.01291000000001</v>
      </c>
      <c r="B365" s="19">
        <v>162.5</v>
      </c>
      <c r="C365" s="19">
        <v>0.57940999999999998</v>
      </c>
      <c r="D365" s="19">
        <v>99.152690000000007</v>
      </c>
      <c r="E365" s="19">
        <v>20</v>
      </c>
      <c r="F365" s="19">
        <v>80</v>
      </c>
      <c r="G365" s="19">
        <v>1</v>
      </c>
      <c r="H365" s="16">
        <v>4</v>
      </c>
    </row>
    <row r="366" spans="1:8" x14ac:dyDescent="0.15">
      <c r="A366" s="19">
        <v>225.01316</v>
      </c>
      <c r="B366" s="19">
        <v>163</v>
      </c>
      <c r="C366" s="19">
        <v>0.57777000000000001</v>
      </c>
      <c r="D366" s="19">
        <v>99.056439999999995</v>
      </c>
      <c r="E366" s="19">
        <v>20</v>
      </c>
      <c r="F366" s="19">
        <v>80</v>
      </c>
      <c r="G366" s="19">
        <v>1</v>
      </c>
      <c r="H366" s="16">
        <v>4</v>
      </c>
    </row>
    <row r="367" spans="1:8" x14ac:dyDescent="0.15">
      <c r="A367" s="19">
        <v>225.01499999999999</v>
      </c>
      <c r="B367" s="19">
        <v>163.5</v>
      </c>
      <c r="C367" s="19">
        <v>0.57843</v>
      </c>
      <c r="D367" s="19">
        <v>99.084249999999997</v>
      </c>
      <c r="E367" s="19">
        <v>20</v>
      </c>
      <c r="F367" s="19">
        <v>80</v>
      </c>
      <c r="G367" s="19">
        <v>1</v>
      </c>
      <c r="H367" s="16">
        <v>4</v>
      </c>
    </row>
    <row r="368" spans="1:8" x14ac:dyDescent="0.15">
      <c r="A368" s="19">
        <v>225.01643000000001</v>
      </c>
      <c r="B368" s="19">
        <v>164</v>
      </c>
      <c r="C368" s="19">
        <v>0.57752999999999999</v>
      </c>
      <c r="D368" s="19">
        <v>99.196100000000001</v>
      </c>
      <c r="E368" s="19">
        <v>20</v>
      </c>
      <c r="F368" s="19">
        <v>80</v>
      </c>
      <c r="G368" s="19">
        <v>1</v>
      </c>
      <c r="H368" s="16">
        <v>4</v>
      </c>
    </row>
    <row r="369" spans="1:8" x14ac:dyDescent="0.15">
      <c r="A369" s="19">
        <v>225.01832999999999</v>
      </c>
      <c r="B369" s="19">
        <v>164.5</v>
      </c>
      <c r="C369" s="19">
        <v>0.57874000000000003</v>
      </c>
      <c r="D369" s="19">
        <v>99.170599999999993</v>
      </c>
      <c r="E369" s="19">
        <v>20</v>
      </c>
      <c r="F369" s="19">
        <v>80</v>
      </c>
      <c r="G369" s="19">
        <v>1</v>
      </c>
      <c r="H369" s="16">
        <v>4</v>
      </c>
    </row>
    <row r="370" spans="1:8" x14ac:dyDescent="0.15">
      <c r="A370" s="19">
        <v>225.02080000000001</v>
      </c>
      <c r="B370" s="19">
        <v>165</v>
      </c>
      <c r="C370" s="19">
        <v>0.57830000000000004</v>
      </c>
      <c r="D370" s="19">
        <v>99.137410000000003</v>
      </c>
      <c r="E370" s="19">
        <v>20</v>
      </c>
      <c r="F370" s="19">
        <v>80</v>
      </c>
      <c r="G370" s="19">
        <v>1</v>
      </c>
      <c r="H370" s="16">
        <v>4</v>
      </c>
    </row>
    <row r="371" spans="1:8" x14ac:dyDescent="0.15">
      <c r="A371" s="19">
        <v>225.02170000000001</v>
      </c>
      <c r="B371" s="19">
        <v>165.5</v>
      </c>
      <c r="C371" s="19">
        <v>0.57889000000000002</v>
      </c>
      <c r="D371" s="19">
        <v>99.106210000000004</v>
      </c>
      <c r="E371" s="19">
        <v>20</v>
      </c>
      <c r="F371" s="19">
        <v>80</v>
      </c>
      <c r="G371" s="19">
        <v>1</v>
      </c>
      <c r="H371" s="16">
        <v>4</v>
      </c>
    </row>
    <row r="372" spans="1:8" x14ac:dyDescent="0.15">
      <c r="A372" s="19">
        <v>225.02144000000001</v>
      </c>
      <c r="B372" s="19">
        <v>166</v>
      </c>
      <c r="C372" s="19">
        <v>0.57648999999999995</v>
      </c>
      <c r="D372" s="19">
        <v>99.161100000000005</v>
      </c>
      <c r="E372" s="19">
        <v>20</v>
      </c>
      <c r="F372" s="19">
        <v>80</v>
      </c>
      <c r="G372" s="19">
        <v>1</v>
      </c>
      <c r="H372" s="16">
        <v>4</v>
      </c>
    </row>
    <row r="373" spans="1:8" x14ac:dyDescent="0.15">
      <c r="A373" s="19">
        <v>225.02309</v>
      </c>
      <c r="B373" s="19">
        <v>166.5</v>
      </c>
      <c r="C373" s="19">
        <v>0.57543</v>
      </c>
      <c r="D373" s="19">
        <v>99.180250000000001</v>
      </c>
      <c r="E373" s="19">
        <v>20</v>
      </c>
      <c r="F373" s="19">
        <v>80</v>
      </c>
      <c r="G373" s="19">
        <v>1</v>
      </c>
      <c r="H373" s="16">
        <v>4</v>
      </c>
    </row>
    <row r="374" spans="1:8" x14ac:dyDescent="0.15">
      <c r="A374" s="19">
        <v>225.02395999999999</v>
      </c>
      <c r="B374" s="19">
        <v>167</v>
      </c>
      <c r="C374" s="19">
        <v>0.57526999999999995</v>
      </c>
      <c r="D374" s="19">
        <v>99.176810000000003</v>
      </c>
      <c r="E374" s="19">
        <v>20</v>
      </c>
      <c r="F374" s="19">
        <v>80</v>
      </c>
      <c r="G374" s="19">
        <v>1</v>
      </c>
      <c r="H374" s="16">
        <v>4</v>
      </c>
    </row>
    <row r="375" spans="1:8" x14ac:dyDescent="0.15">
      <c r="A375" s="19">
        <v>225.0224</v>
      </c>
      <c r="B375" s="19">
        <v>167.5</v>
      </c>
      <c r="C375" s="19">
        <v>0.57586999999999999</v>
      </c>
      <c r="D375" s="19">
        <v>99.120090000000005</v>
      </c>
      <c r="E375" s="19">
        <v>20</v>
      </c>
      <c r="F375" s="19">
        <v>80</v>
      </c>
      <c r="G375" s="19">
        <v>1</v>
      </c>
      <c r="H375" s="16">
        <v>4</v>
      </c>
    </row>
    <row r="376" spans="1:8" x14ac:dyDescent="0.15">
      <c r="A376" s="19">
        <v>225.02125000000001</v>
      </c>
      <c r="B376" s="19">
        <v>168</v>
      </c>
      <c r="C376" s="19">
        <v>0.57589000000000001</v>
      </c>
      <c r="D376" s="19">
        <v>99.138249999999999</v>
      </c>
      <c r="E376" s="19">
        <v>20</v>
      </c>
      <c r="F376" s="19">
        <v>80</v>
      </c>
      <c r="G376" s="19">
        <v>1</v>
      </c>
      <c r="H376" s="16">
        <v>4</v>
      </c>
    </row>
    <row r="377" spans="1:8" x14ac:dyDescent="0.15">
      <c r="A377" s="19">
        <v>225.02216000000001</v>
      </c>
      <c r="B377" s="19">
        <v>168.5</v>
      </c>
      <c r="C377" s="19">
        <v>0.57616000000000001</v>
      </c>
      <c r="D377" s="19">
        <v>99.208699999999993</v>
      </c>
      <c r="E377" s="19">
        <v>20</v>
      </c>
      <c r="F377" s="19">
        <v>80</v>
      </c>
      <c r="G377" s="19">
        <v>1</v>
      </c>
      <c r="H377" s="16">
        <v>4</v>
      </c>
    </row>
    <row r="378" spans="1:8" x14ac:dyDescent="0.15">
      <c r="A378" s="19">
        <v>225.02413000000001</v>
      </c>
      <c r="B378" s="19">
        <v>169</v>
      </c>
      <c r="C378" s="19">
        <v>0.57554000000000005</v>
      </c>
      <c r="D378" s="19">
        <v>99.124870000000001</v>
      </c>
      <c r="E378" s="19">
        <v>20</v>
      </c>
      <c r="F378" s="19">
        <v>80</v>
      </c>
      <c r="G378" s="19">
        <v>1</v>
      </c>
      <c r="H378" s="16">
        <v>4</v>
      </c>
    </row>
    <row r="379" spans="1:8" x14ac:dyDescent="0.15">
      <c r="A379" s="19">
        <v>225.02428</v>
      </c>
      <c r="B379" s="19">
        <v>169.5</v>
      </c>
      <c r="C379" s="19">
        <v>0.57518999999999998</v>
      </c>
      <c r="D379" s="19">
        <v>99.094080000000005</v>
      </c>
      <c r="E379" s="19">
        <v>20</v>
      </c>
      <c r="F379" s="19">
        <v>80</v>
      </c>
      <c r="G379" s="19">
        <v>1</v>
      </c>
      <c r="H379" s="16">
        <v>4</v>
      </c>
    </row>
    <row r="380" spans="1:8" x14ac:dyDescent="0.15">
      <c r="A380" s="19">
        <v>225.02141</v>
      </c>
      <c r="B380" s="19">
        <v>170</v>
      </c>
      <c r="C380" s="19">
        <v>0.57471000000000005</v>
      </c>
      <c r="D380" s="19">
        <v>99.109840000000005</v>
      </c>
      <c r="E380" s="19">
        <v>20</v>
      </c>
      <c r="F380" s="19">
        <v>80</v>
      </c>
      <c r="G380" s="19">
        <v>1</v>
      </c>
      <c r="H380" s="16">
        <v>4</v>
      </c>
    </row>
    <row r="381" spans="1:8" x14ac:dyDescent="0.15">
      <c r="A381" s="19">
        <v>225.02153000000001</v>
      </c>
      <c r="B381" s="19">
        <v>170.5</v>
      </c>
      <c r="C381" s="19">
        <v>0.57642000000000004</v>
      </c>
      <c r="D381" s="19">
        <v>99.052800000000005</v>
      </c>
      <c r="E381" s="19">
        <v>20</v>
      </c>
      <c r="F381" s="19">
        <v>80</v>
      </c>
      <c r="G381" s="19">
        <v>1</v>
      </c>
      <c r="H381" s="16">
        <v>4</v>
      </c>
    </row>
    <row r="382" spans="1:8" x14ac:dyDescent="0.15">
      <c r="A382" s="19">
        <v>225.02314999999999</v>
      </c>
      <c r="B382" s="19">
        <v>171</v>
      </c>
      <c r="C382" s="19">
        <v>0.57559000000000005</v>
      </c>
      <c r="D382" s="19">
        <v>99.137060000000005</v>
      </c>
      <c r="E382" s="19">
        <v>20</v>
      </c>
      <c r="F382" s="19">
        <v>80</v>
      </c>
      <c r="G382" s="19">
        <v>1</v>
      </c>
      <c r="H382" s="16">
        <v>4</v>
      </c>
    </row>
    <row r="383" spans="1:8" x14ac:dyDescent="0.15">
      <c r="A383" s="19">
        <v>225.02444</v>
      </c>
      <c r="B383" s="19">
        <v>171.5</v>
      </c>
      <c r="C383" s="19">
        <v>0.57386000000000004</v>
      </c>
      <c r="D383" s="19">
        <v>99.131079999999997</v>
      </c>
      <c r="E383" s="19">
        <v>20</v>
      </c>
      <c r="F383" s="19">
        <v>80</v>
      </c>
      <c r="G383" s="19">
        <v>1</v>
      </c>
      <c r="H383" s="16">
        <v>4</v>
      </c>
    </row>
    <row r="384" spans="1:8" x14ac:dyDescent="0.15">
      <c r="A384" s="19">
        <v>225.02456000000001</v>
      </c>
      <c r="B384" s="19">
        <v>172</v>
      </c>
      <c r="C384" s="19">
        <v>0.57330000000000003</v>
      </c>
      <c r="D384" s="19">
        <v>99.067610000000002</v>
      </c>
      <c r="E384" s="19">
        <v>20</v>
      </c>
      <c r="F384" s="19">
        <v>80</v>
      </c>
      <c r="G384" s="19">
        <v>1</v>
      </c>
      <c r="H384" s="16">
        <v>4</v>
      </c>
    </row>
    <row r="385" spans="1:8" x14ac:dyDescent="0.15">
      <c r="A385" s="19">
        <v>225.0258</v>
      </c>
      <c r="B385" s="19">
        <v>172.5</v>
      </c>
      <c r="C385" s="19">
        <v>0.57393000000000005</v>
      </c>
      <c r="D385" s="19">
        <v>98.933850000000007</v>
      </c>
      <c r="E385" s="19">
        <v>20</v>
      </c>
      <c r="F385" s="19">
        <v>80</v>
      </c>
      <c r="G385" s="19">
        <v>1</v>
      </c>
      <c r="H385" s="16">
        <v>4</v>
      </c>
    </row>
    <row r="386" spans="1:8" x14ac:dyDescent="0.15">
      <c r="A386" s="19">
        <v>225.02745999999999</v>
      </c>
      <c r="B386" s="19">
        <v>173</v>
      </c>
      <c r="C386" s="19">
        <v>0.57403000000000004</v>
      </c>
      <c r="D386" s="19">
        <v>99.089200000000005</v>
      </c>
      <c r="E386" s="19">
        <v>20</v>
      </c>
      <c r="F386" s="19">
        <v>80</v>
      </c>
      <c r="G386" s="19">
        <v>1</v>
      </c>
      <c r="H386" s="16">
        <v>4</v>
      </c>
    </row>
    <row r="387" spans="1:8" x14ac:dyDescent="0.15">
      <c r="A387" s="19">
        <v>225.02731</v>
      </c>
      <c r="B387" s="19">
        <v>173.5</v>
      </c>
      <c r="C387" s="19">
        <v>0.57318000000000002</v>
      </c>
      <c r="D387" s="19">
        <v>99.066400000000002</v>
      </c>
      <c r="E387" s="19">
        <v>20</v>
      </c>
      <c r="F387" s="19">
        <v>80</v>
      </c>
      <c r="G387" s="19">
        <v>1</v>
      </c>
      <c r="H387" s="16">
        <v>4</v>
      </c>
    </row>
    <row r="388" spans="1:8" x14ac:dyDescent="0.15">
      <c r="A388" s="19">
        <v>225.02287999999999</v>
      </c>
      <c r="B388" s="19">
        <v>174</v>
      </c>
      <c r="C388" s="19">
        <v>0.57191999999999998</v>
      </c>
      <c r="D388" s="19">
        <v>98.963939999999994</v>
      </c>
      <c r="E388" s="19">
        <v>20</v>
      </c>
      <c r="F388" s="19">
        <v>80</v>
      </c>
      <c r="G388" s="19">
        <v>1</v>
      </c>
      <c r="H388" s="16">
        <v>4</v>
      </c>
    </row>
    <row r="389" spans="1:8" x14ac:dyDescent="0.15">
      <c r="A389" s="19">
        <v>225.01920999999999</v>
      </c>
      <c r="B389" s="19">
        <v>174.5</v>
      </c>
      <c r="C389" s="19">
        <v>0.57077</v>
      </c>
      <c r="D389" s="19">
        <v>99.075190000000006</v>
      </c>
      <c r="E389" s="19">
        <v>20</v>
      </c>
      <c r="F389" s="19">
        <v>80</v>
      </c>
      <c r="G389" s="19">
        <v>1</v>
      </c>
      <c r="H389" s="16">
        <v>4</v>
      </c>
    </row>
    <row r="390" spans="1:8" x14ac:dyDescent="0.15">
      <c r="A390" s="19">
        <v>225.01647</v>
      </c>
      <c r="B390" s="19">
        <v>175</v>
      </c>
      <c r="C390" s="19">
        <v>0.57247000000000003</v>
      </c>
      <c r="D390" s="19">
        <v>99.154420000000002</v>
      </c>
      <c r="E390" s="19">
        <v>20</v>
      </c>
      <c r="F390" s="19">
        <v>80</v>
      </c>
      <c r="G390" s="19">
        <v>1</v>
      </c>
      <c r="H390" s="16">
        <v>4</v>
      </c>
    </row>
    <row r="391" spans="1:8" x14ac:dyDescent="0.15">
      <c r="A391" s="19">
        <v>225.01571000000001</v>
      </c>
      <c r="B391" s="19">
        <v>175.5</v>
      </c>
      <c r="C391" s="19">
        <v>0.57423999999999997</v>
      </c>
      <c r="D391" s="19">
        <v>99.059690000000003</v>
      </c>
      <c r="E391" s="19">
        <v>20</v>
      </c>
      <c r="F391" s="19">
        <v>80</v>
      </c>
      <c r="G391" s="19">
        <v>1</v>
      </c>
      <c r="H391" s="16">
        <v>4</v>
      </c>
    </row>
    <row r="392" spans="1:8" x14ac:dyDescent="0.15">
      <c r="A392" s="19">
        <v>225.01684</v>
      </c>
      <c r="B392" s="19">
        <v>176</v>
      </c>
      <c r="C392" s="19">
        <v>0.57298000000000004</v>
      </c>
      <c r="D392" s="19">
        <v>99.112639999999999</v>
      </c>
      <c r="E392" s="19">
        <v>20</v>
      </c>
      <c r="F392" s="19">
        <v>80</v>
      </c>
      <c r="G392" s="19">
        <v>1</v>
      </c>
      <c r="H392" s="16">
        <v>4</v>
      </c>
    </row>
    <row r="393" spans="1:8" x14ac:dyDescent="0.15">
      <c r="A393" s="19">
        <v>225.01497000000001</v>
      </c>
      <c r="B393" s="19">
        <v>176.5</v>
      </c>
      <c r="C393" s="19">
        <v>0.57208000000000003</v>
      </c>
      <c r="D393" s="19">
        <v>99.097930000000005</v>
      </c>
      <c r="E393" s="19">
        <v>20</v>
      </c>
      <c r="F393" s="19">
        <v>80</v>
      </c>
      <c r="G393" s="19">
        <v>1</v>
      </c>
      <c r="H393" s="16">
        <v>4</v>
      </c>
    </row>
    <row r="394" spans="1:8" x14ac:dyDescent="0.15">
      <c r="A394" s="19">
        <v>225.01047</v>
      </c>
      <c r="B394" s="19">
        <v>177</v>
      </c>
      <c r="C394" s="19">
        <v>0.57098000000000004</v>
      </c>
      <c r="D394" s="19">
        <v>98.974699999999999</v>
      </c>
      <c r="E394" s="19">
        <v>20</v>
      </c>
      <c r="F394" s="19">
        <v>80</v>
      </c>
      <c r="G394" s="19">
        <v>1</v>
      </c>
      <c r="H394" s="16">
        <v>4</v>
      </c>
    </row>
    <row r="395" spans="1:8" x14ac:dyDescent="0.15">
      <c r="A395" s="19">
        <v>225.00973999999999</v>
      </c>
      <c r="B395" s="19">
        <v>177.5</v>
      </c>
      <c r="C395" s="19">
        <v>0.56943999999999995</v>
      </c>
      <c r="D395" s="19">
        <v>98.980770000000007</v>
      </c>
      <c r="E395" s="19">
        <v>20</v>
      </c>
      <c r="F395" s="19">
        <v>80</v>
      </c>
      <c r="G395" s="19">
        <v>1</v>
      </c>
      <c r="H395" s="16">
        <v>4</v>
      </c>
    </row>
    <row r="396" spans="1:8" x14ac:dyDescent="0.15">
      <c r="A396" s="19">
        <v>225.00937999999999</v>
      </c>
      <c r="B396" s="19">
        <v>178</v>
      </c>
      <c r="C396" s="19">
        <v>0.57110000000000005</v>
      </c>
      <c r="D396" s="19">
        <v>99.041129999999995</v>
      </c>
      <c r="E396" s="19">
        <v>20</v>
      </c>
      <c r="F396" s="19">
        <v>80</v>
      </c>
      <c r="G396" s="19">
        <v>1</v>
      </c>
      <c r="H396" s="16">
        <v>4</v>
      </c>
    </row>
    <row r="397" spans="1:8" x14ac:dyDescent="0.15">
      <c r="A397" s="19">
        <v>225.00883999999999</v>
      </c>
      <c r="B397" s="19">
        <v>178.5</v>
      </c>
      <c r="C397" s="19">
        <v>0.57113999999999998</v>
      </c>
      <c r="D397" s="19">
        <v>98.97175</v>
      </c>
      <c r="E397" s="19">
        <v>20</v>
      </c>
      <c r="F397" s="19">
        <v>80</v>
      </c>
      <c r="G397" s="19">
        <v>1</v>
      </c>
      <c r="H397" s="16">
        <v>4</v>
      </c>
    </row>
    <row r="398" spans="1:8" x14ac:dyDescent="0.15">
      <c r="A398" s="19">
        <v>225.00792000000001</v>
      </c>
      <c r="B398" s="19">
        <v>179</v>
      </c>
      <c r="C398" s="19">
        <v>0.57003999999999999</v>
      </c>
      <c r="D398" s="19">
        <v>99.037459999999996</v>
      </c>
      <c r="E398" s="19">
        <v>20</v>
      </c>
      <c r="F398" s="19">
        <v>80</v>
      </c>
      <c r="G398" s="19">
        <v>1</v>
      </c>
      <c r="H398" s="16">
        <v>4</v>
      </c>
    </row>
    <row r="399" spans="1:8" x14ac:dyDescent="0.15">
      <c r="A399" s="19">
        <v>225.01235</v>
      </c>
      <c r="B399" s="19">
        <v>179.5</v>
      </c>
      <c r="C399" s="19">
        <v>0.57191000000000003</v>
      </c>
      <c r="D399" s="19">
        <v>99.083340000000007</v>
      </c>
      <c r="E399" s="19">
        <v>20</v>
      </c>
      <c r="F399" s="19">
        <v>80</v>
      </c>
      <c r="G399" s="19">
        <v>1</v>
      </c>
      <c r="H399" s="16">
        <v>4</v>
      </c>
    </row>
    <row r="400" spans="1:8" x14ac:dyDescent="0.15">
      <c r="A400" s="19">
        <v>225.01429999999999</v>
      </c>
      <c r="B400" s="19">
        <v>180</v>
      </c>
      <c r="C400" s="19">
        <v>0.57001000000000002</v>
      </c>
      <c r="D400" s="19">
        <v>98.878100000000003</v>
      </c>
      <c r="E400" s="19">
        <v>20</v>
      </c>
      <c r="F400" s="19">
        <v>80</v>
      </c>
      <c r="G400" s="19">
        <v>1</v>
      </c>
      <c r="H400" s="16">
        <v>4</v>
      </c>
    </row>
    <row r="401" spans="1:8" x14ac:dyDescent="0.15">
      <c r="A401" s="19">
        <v>225.01562000000001</v>
      </c>
      <c r="B401" s="19">
        <v>180.5</v>
      </c>
      <c r="C401" s="19">
        <v>0.57194</v>
      </c>
      <c r="D401" s="19">
        <v>98.98442</v>
      </c>
      <c r="E401" s="19">
        <v>20</v>
      </c>
      <c r="F401" s="19">
        <v>80</v>
      </c>
      <c r="G401" s="19">
        <v>1</v>
      </c>
      <c r="H401" s="16">
        <v>4</v>
      </c>
    </row>
    <row r="402" spans="1:8" x14ac:dyDescent="0.15">
      <c r="A402" s="19">
        <v>225.01859999999999</v>
      </c>
      <c r="B402" s="19">
        <v>181</v>
      </c>
      <c r="C402" s="19">
        <v>0.57091000000000003</v>
      </c>
      <c r="D402" s="19">
        <v>98.992930000000001</v>
      </c>
      <c r="E402" s="19">
        <v>20</v>
      </c>
      <c r="F402" s="19">
        <v>80</v>
      </c>
      <c r="G402" s="19">
        <v>1</v>
      </c>
      <c r="H402" s="16">
        <v>4</v>
      </c>
    </row>
    <row r="403" spans="1:8" x14ac:dyDescent="0.15">
      <c r="A403" s="19">
        <v>225.01774</v>
      </c>
      <c r="B403" s="19">
        <v>181.5</v>
      </c>
      <c r="C403" s="19">
        <v>0.56911</v>
      </c>
      <c r="D403" s="19">
        <v>99.032150000000001</v>
      </c>
      <c r="E403" s="19">
        <v>20</v>
      </c>
      <c r="F403" s="19">
        <v>80</v>
      </c>
      <c r="G403" s="19">
        <v>1</v>
      </c>
      <c r="H403" s="16">
        <v>4</v>
      </c>
    </row>
    <row r="404" spans="1:8" x14ac:dyDescent="0.15">
      <c r="A404" s="19">
        <v>225.01883000000001</v>
      </c>
      <c r="B404" s="19">
        <v>182</v>
      </c>
      <c r="C404" s="19">
        <v>0.56991999999999998</v>
      </c>
      <c r="D404" s="19">
        <v>99.051730000000006</v>
      </c>
      <c r="E404" s="19">
        <v>20</v>
      </c>
      <c r="F404" s="19">
        <v>80</v>
      </c>
      <c r="G404" s="19">
        <v>1</v>
      </c>
      <c r="H404" s="16">
        <v>4</v>
      </c>
    </row>
    <row r="405" spans="1:8" x14ac:dyDescent="0.15">
      <c r="A405" s="19">
        <v>225.02008000000001</v>
      </c>
      <c r="B405" s="19">
        <v>182.5</v>
      </c>
      <c r="C405" s="19">
        <v>0.56864999999999999</v>
      </c>
      <c r="D405" s="19">
        <v>99.058459999999997</v>
      </c>
      <c r="E405" s="19">
        <v>20</v>
      </c>
      <c r="F405" s="19">
        <v>80</v>
      </c>
      <c r="G405" s="19">
        <v>1</v>
      </c>
      <c r="H405" s="16">
        <v>4</v>
      </c>
    </row>
    <row r="406" spans="1:8" x14ac:dyDescent="0.15">
      <c r="A406" s="19">
        <v>225.02074999999999</v>
      </c>
      <c r="B406" s="19">
        <v>183</v>
      </c>
      <c r="C406" s="19">
        <v>0.57018000000000002</v>
      </c>
      <c r="D406" s="19">
        <v>99.124300000000005</v>
      </c>
      <c r="E406" s="19">
        <v>20</v>
      </c>
      <c r="F406" s="19">
        <v>80</v>
      </c>
      <c r="G406" s="19">
        <v>1</v>
      </c>
      <c r="H406" s="16">
        <v>4</v>
      </c>
    </row>
    <row r="407" spans="1:8" x14ac:dyDescent="0.15">
      <c r="A407" s="19">
        <v>225.02395999999999</v>
      </c>
      <c r="B407" s="19">
        <v>183.5</v>
      </c>
      <c r="C407" s="19">
        <v>0.56915000000000004</v>
      </c>
      <c r="D407" s="19">
        <v>99.026650000000004</v>
      </c>
      <c r="E407" s="19">
        <v>20</v>
      </c>
      <c r="F407" s="19">
        <v>80</v>
      </c>
      <c r="G407" s="19">
        <v>1</v>
      </c>
      <c r="H407" s="16">
        <v>4</v>
      </c>
    </row>
    <row r="408" spans="1:8" x14ac:dyDescent="0.15">
      <c r="A408" s="19">
        <v>225.02137999999999</v>
      </c>
      <c r="B408" s="19">
        <v>184</v>
      </c>
      <c r="C408" s="19">
        <v>0.56999</v>
      </c>
      <c r="D408" s="19">
        <v>99.024959999999993</v>
      </c>
      <c r="E408" s="19">
        <v>20</v>
      </c>
      <c r="F408" s="19">
        <v>80</v>
      </c>
      <c r="G408" s="19">
        <v>1</v>
      </c>
      <c r="H408" s="16">
        <v>4</v>
      </c>
    </row>
    <row r="409" spans="1:8" x14ac:dyDescent="0.15">
      <c r="A409" s="19">
        <v>225.01857000000001</v>
      </c>
      <c r="B409" s="19">
        <v>184.5</v>
      </c>
      <c r="C409" s="19">
        <v>0.56977</v>
      </c>
      <c r="D409" s="19">
        <v>99.021720000000002</v>
      </c>
      <c r="E409" s="19">
        <v>20</v>
      </c>
      <c r="F409" s="19">
        <v>80</v>
      </c>
      <c r="G409" s="19">
        <v>1</v>
      </c>
      <c r="H409" s="16">
        <v>4</v>
      </c>
    </row>
    <row r="410" spans="1:8" x14ac:dyDescent="0.15">
      <c r="A410" s="19">
        <v>225.02072999999999</v>
      </c>
      <c r="B410" s="19">
        <v>185</v>
      </c>
      <c r="C410" s="19">
        <v>0.56950000000000001</v>
      </c>
      <c r="D410" s="19">
        <v>98.955979999999997</v>
      </c>
      <c r="E410" s="19">
        <v>20</v>
      </c>
      <c r="F410" s="19">
        <v>80</v>
      </c>
      <c r="G410" s="19">
        <v>1</v>
      </c>
      <c r="H410" s="16">
        <v>4</v>
      </c>
    </row>
    <row r="411" spans="1:8" x14ac:dyDescent="0.15">
      <c r="A411" s="19">
        <v>225.02142000000001</v>
      </c>
      <c r="B411" s="19">
        <v>185.5</v>
      </c>
      <c r="C411" s="19">
        <v>0.56830999999999998</v>
      </c>
      <c r="D411" s="19">
        <v>99.007949999999994</v>
      </c>
      <c r="E411" s="19">
        <v>20</v>
      </c>
      <c r="F411" s="19">
        <v>80</v>
      </c>
      <c r="G411" s="19">
        <v>1</v>
      </c>
      <c r="H411" s="16">
        <v>4</v>
      </c>
    </row>
    <row r="412" spans="1:8" x14ac:dyDescent="0.15">
      <c r="A412" s="19">
        <v>225.02086</v>
      </c>
      <c r="B412" s="19">
        <v>186</v>
      </c>
      <c r="C412" s="19">
        <v>0.56689000000000001</v>
      </c>
      <c r="D412" s="19">
        <v>98.965140000000005</v>
      </c>
      <c r="E412" s="19">
        <v>20</v>
      </c>
      <c r="F412" s="19">
        <v>80</v>
      </c>
      <c r="G412" s="19">
        <v>1</v>
      </c>
      <c r="H412" s="16">
        <v>4</v>
      </c>
    </row>
    <row r="413" spans="1:8" x14ac:dyDescent="0.15">
      <c r="A413" s="19">
        <v>225.02345</v>
      </c>
      <c r="B413" s="19">
        <v>186.5</v>
      </c>
      <c r="C413" s="19">
        <v>0.56767999999999996</v>
      </c>
      <c r="D413" s="19">
        <v>98.852980000000002</v>
      </c>
      <c r="E413" s="19">
        <v>20</v>
      </c>
      <c r="F413" s="19">
        <v>80</v>
      </c>
      <c r="G413" s="19">
        <v>1</v>
      </c>
      <c r="H413" s="16">
        <v>4</v>
      </c>
    </row>
    <row r="414" spans="1:8" x14ac:dyDescent="0.15">
      <c r="A414" s="19">
        <v>225.02137999999999</v>
      </c>
      <c r="B414" s="19">
        <v>187</v>
      </c>
      <c r="C414" s="19">
        <v>0.56769999999999998</v>
      </c>
      <c r="D414" s="19">
        <v>98.984430000000003</v>
      </c>
      <c r="E414" s="19">
        <v>20</v>
      </c>
      <c r="F414" s="19">
        <v>80</v>
      </c>
      <c r="G414" s="19">
        <v>1</v>
      </c>
      <c r="H414" s="16">
        <v>4</v>
      </c>
    </row>
    <row r="415" spans="1:8" x14ac:dyDescent="0.15">
      <c r="A415" s="19">
        <v>225.01773</v>
      </c>
      <c r="B415" s="19">
        <v>187.5</v>
      </c>
      <c r="C415" s="19">
        <v>0.56825999999999999</v>
      </c>
      <c r="D415" s="19">
        <v>98.997410000000002</v>
      </c>
      <c r="E415" s="19">
        <v>20</v>
      </c>
      <c r="F415" s="19">
        <v>80</v>
      </c>
      <c r="G415" s="19">
        <v>1</v>
      </c>
      <c r="H415" s="16">
        <v>4</v>
      </c>
    </row>
    <row r="416" spans="1:8" x14ac:dyDescent="0.15">
      <c r="A416" s="19">
        <v>225.02042</v>
      </c>
      <c r="B416" s="19">
        <v>188</v>
      </c>
      <c r="C416" s="19">
        <v>0.56810000000000005</v>
      </c>
      <c r="D416" s="19">
        <v>98.958470000000005</v>
      </c>
      <c r="E416" s="19">
        <v>20</v>
      </c>
      <c r="F416" s="19">
        <v>80</v>
      </c>
      <c r="G416" s="19">
        <v>1</v>
      </c>
      <c r="H416" s="16">
        <v>4</v>
      </c>
    </row>
    <row r="417" spans="1:8" x14ac:dyDescent="0.15">
      <c r="A417" s="19">
        <v>225.02025</v>
      </c>
      <c r="B417" s="19">
        <v>188.5</v>
      </c>
      <c r="C417" s="19">
        <v>0.56723999999999997</v>
      </c>
      <c r="D417" s="19">
        <v>98.914150000000006</v>
      </c>
      <c r="E417" s="19">
        <v>20</v>
      </c>
      <c r="F417" s="19">
        <v>80</v>
      </c>
      <c r="G417" s="19">
        <v>1</v>
      </c>
      <c r="H417" s="16">
        <v>4</v>
      </c>
    </row>
    <row r="418" spans="1:8" x14ac:dyDescent="0.15">
      <c r="A418" s="19">
        <v>225.01956000000001</v>
      </c>
      <c r="B418" s="19">
        <v>189</v>
      </c>
      <c r="C418" s="19">
        <v>0.56635000000000002</v>
      </c>
      <c r="D418" s="19">
        <v>98.852980000000002</v>
      </c>
      <c r="E418" s="19">
        <v>20</v>
      </c>
      <c r="F418" s="19">
        <v>80</v>
      </c>
      <c r="G418" s="19">
        <v>1</v>
      </c>
      <c r="H418" s="16">
        <v>4</v>
      </c>
    </row>
    <row r="419" spans="1:8" x14ac:dyDescent="0.15">
      <c r="A419" s="19">
        <v>225.01461</v>
      </c>
      <c r="B419" s="19">
        <v>189.5</v>
      </c>
      <c r="C419" s="19">
        <v>0.56655</v>
      </c>
      <c r="D419" s="19">
        <v>99.007859999999994</v>
      </c>
      <c r="E419" s="19">
        <v>20</v>
      </c>
      <c r="F419" s="19">
        <v>80</v>
      </c>
      <c r="G419" s="19">
        <v>1</v>
      </c>
      <c r="H419" s="16">
        <v>4</v>
      </c>
    </row>
    <row r="420" spans="1:8" x14ac:dyDescent="0.15">
      <c r="A420" s="19">
        <v>225.01542000000001</v>
      </c>
      <c r="B420" s="19">
        <v>190</v>
      </c>
      <c r="C420" s="19">
        <v>0.56684000000000001</v>
      </c>
      <c r="D420" s="19">
        <v>98.90222</v>
      </c>
      <c r="E420" s="19">
        <v>20</v>
      </c>
      <c r="F420" s="19">
        <v>80</v>
      </c>
      <c r="G420" s="19">
        <v>1</v>
      </c>
      <c r="H420" s="16">
        <v>4</v>
      </c>
    </row>
    <row r="421" spans="1:8" x14ac:dyDescent="0.15">
      <c r="A421" s="19">
        <v>225.01695000000001</v>
      </c>
      <c r="B421" s="19">
        <v>190.5</v>
      </c>
      <c r="C421" s="19">
        <v>0.56555999999999995</v>
      </c>
      <c r="D421" s="19">
        <v>98.907300000000006</v>
      </c>
      <c r="E421" s="19">
        <v>20</v>
      </c>
      <c r="F421" s="19">
        <v>80</v>
      </c>
      <c r="G421" s="19">
        <v>1</v>
      </c>
      <c r="H421" s="16">
        <v>4</v>
      </c>
    </row>
    <row r="422" spans="1:8" x14ac:dyDescent="0.15">
      <c r="A422" s="19">
        <v>225.01704000000001</v>
      </c>
      <c r="B422" s="19">
        <v>191</v>
      </c>
      <c r="C422" s="19">
        <v>0.56635999999999997</v>
      </c>
      <c r="D422" s="19">
        <v>98.948430000000002</v>
      </c>
      <c r="E422" s="19">
        <v>20</v>
      </c>
      <c r="F422" s="19">
        <v>80</v>
      </c>
      <c r="G422" s="19">
        <v>1</v>
      </c>
      <c r="H422" s="16">
        <v>4</v>
      </c>
    </row>
    <row r="423" spans="1:8" x14ac:dyDescent="0.15">
      <c r="A423" s="19">
        <v>225.01712000000001</v>
      </c>
      <c r="B423" s="19">
        <v>191.5</v>
      </c>
      <c r="C423" s="19">
        <v>0.56669999999999998</v>
      </c>
      <c r="D423" s="19">
        <v>99.016810000000007</v>
      </c>
      <c r="E423" s="19">
        <v>20</v>
      </c>
      <c r="F423" s="19">
        <v>80</v>
      </c>
      <c r="G423" s="19">
        <v>1</v>
      </c>
      <c r="H423" s="16">
        <v>4</v>
      </c>
    </row>
    <row r="424" spans="1:8" x14ac:dyDescent="0.15">
      <c r="A424" s="19">
        <v>225.01728</v>
      </c>
      <c r="B424" s="19">
        <v>192</v>
      </c>
      <c r="C424" s="19">
        <v>0.56577999999999995</v>
      </c>
      <c r="D424" s="19">
        <v>98.907300000000006</v>
      </c>
      <c r="E424" s="19">
        <v>20</v>
      </c>
      <c r="F424" s="19">
        <v>80</v>
      </c>
      <c r="G424" s="19">
        <v>1</v>
      </c>
      <c r="H424" s="16">
        <v>4</v>
      </c>
    </row>
    <row r="425" spans="1:8" x14ac:dyDescent="0.15">
      <c r="A425" s="19">
        <v>225.01875999999999</v>
      </c>
      <c r="B425" s="19">
        <v>192.5</v>
      </c>
      <c r="C425" s="19">
        <v>0.56550999999999996</v>
      </c>
      <c r="D425" s="19">
        <v>98.879980000000003</v>
      </c>
      <c r="E425" s="19">
        <v>20</v>
      </c>
      <c r="F425" s="19">
        <v>80</v>
      </c>
      <c r="G425" s="19">
        <v>1</v>
      </c>
      <c r="H425" s="16">
        <v>4</v>
      </c>
    </row>
    <row r="426" spans="1:8" x14ac:dyDescent="0.15">
      <c r="A426" s="19">
        <v>225.01937000000001</v>
      </c>
      <c r="B426" s="19">
        <v>193</v>
      </c>
      <c r="C426" s="19">
        <v>0.56647999999999998</v>
      </c>
      <c r="D426" s="19">
        <v>98.948480000000004</v>
      </c>
      <c r="E426" s="19">
        <v>20</v>
      </c>
      <c r="F426" s="19">
        <v>80</v>
      </c>
      <c r="G426" s="19">
        <v>1</v>
      </c>
      <c r="H426" s="16">
        <v>4</v>
      </c>
    </row>
    <row r="427" spans="1:8" x14ac:dyDescent="0.15">
      <c r="A427" s="19">
        <v>225.01652999999999</v>
      </c>
      <c r="B427" s="19">
        <v>193.5</v>
      </c>
      <c r="C427" s="19">
        <v>0.56662000000000001</v>
      </c>
      <c r="D427" s="19">
        <v>98.828800000000001</v>
      </c>
      <c r="E427" s="19">
        <v>20</v>
      </c>
      <c r="F427" s="19">
        <v>80</v>
      </c>
      <c r="G427" s="19">
        <v>1</v>
      </c>
      <c r="H427" s="16">
        <v>4</v>
      </c>
    </row>
    <row r="428" spans="1:8" x14ac:dyDescent="0.15">
      <c r="A428" s="19">
        <v>225.01593</v>
      </c>
      <c r="B428" s="19">
        <v>194</v>
      </c>
      <c r="C428" s="19">
        <v>0.56699999999999995</v>
      </c>
      <c r="D428" s="19">
        <v>98.88306</v>
      </c>
      <c r="E428" s="19">
        <v>20</v>
      </c>
      <c r="F428" s="19">
        <v>80</v>
      </c>
      <c r="G428" s="19">
        <v>1</v>
      </c>
      <c r="H428" s="16">
        <v>4</v>
      </c>
    </row>
    <row r="429" spans="1:8" x14ac:dyDescent="0.15">
      <c r="A429" s="19">
        <v>225.01622</v>
      </c>
      <c r="B429" s="19">
        <v>194.5</v>
      </c>
      <c r="C429" s="19">
        <v>0.56623000000000001</v>
      </c>
      <c r="D429" s="19">
        <v>98.874480000000005</v>
      </c>
      <c r="E429" s="19">
        <v>20</v>
      </c>
      <c r="F429" s="19">
        <v>80</v>
      </c>
      <c r="G429" s="19">
        <v>1</v>
      </c>
      <c r="H429" s="16">
        <v>4</v>
      </c>
    </row>
    <row r="430" spans="1:8" x14ac:dyDescent="0.15">
      <c r="A430" s="19">
        <v>225.01942</v>
      </c>
      <c r="B430" s="19">
        <v>195</v>
      </c>
      <c r="C430" s="19">
        <v>0.56581000000000004</v>
      </c>
      <c r="D430" s="19">
        <v>98.876270000000005</v>
      </c>
      <c r="E430" s="19">
        <v>20</v>
      </c>
      <c r="F430" s="19">
        <v>80</v>
      </c>
      <c r="G430" s="19">
        <v>1</v>
      </c>
      <c r="H430" s="16">
        <v>4</v>
      </c>
    </row>
    <row r="431" spans="1:8" x14ac:dyDescent="0.15">
      <c r="A431" s="19">
        <v>225.01985999999999</v>
      </c>
      <c r="B431" s="19">
        <v>195.5</v>
      </c>
      <c r="C431" s="19">
        <v>0.5665</v>
      </c>
      <c r="D431" s="19">
        <v>99.030950000000004</v>
      </c>
      <c r="E431" s="19">
        <v>20</v>
      </c>
      <c r="F431" s="19">
        <v>80</v>
      </c>
      <c r="G431" s="19">
        <v>1</v>
      </c>
      <c r="H431" s="16">
        <v>4</v>
      </c>
    </row>
    <row r="432" spans="1:8" x14ac:dyDescent="0.15">
      <c r="A432" s="19">
        <v>225.01877999999999</v>
      </c>
      <c r="B432" s="19">
        <v>196</v>
      </c>
      <c r="C432" s="19">
        <v>0.56637000000000004</v>
      </c>
      <c r="D432" s="19">
        <v>98.823419999999999</v>
      </c>
      <c r="E432" s="19">
        <v>20</v>
      </c>
      <c r="F432" s="19">
        <v>80</v>
      </c>
      <c r="G432" s="19">
        <v>1</v>
      </c>
      <c r="H432" s="16">
        <v>4</v>
      </c>
    </row>
    <row r="433" spans="1:8" x14ac:dyDescent="0.15">
      <c r="A433" s="19">
        <v>225.01542000000001</v>
      </c>
      <c r="B433" s="19">
        <v>196.5</v>
      </c>
      <c r="C433" s="19">
        <v>0.56489999999999996</v>
      </c>
      <c r="D433" s="19">
        <v>98.875360000000001</v>
      </c>
      <c r="E433" s="19">
        <v>20</v>
      </c>
      <c r="F433" s="19">
        <v>80</v>
      </c>
      <c r="G433" s="19">
        <v>1</v>
      </c>
      <c r="H433" s="16">
        <v>4</v>
      </c>
    </row>
    <row r="434" spans="1:8" x14ac:dyDescent="0.15">
      <c r="A434" s="19">
        <v>225.01598999999999</v>
      </c>
      <c r="B434" s="19">
        <v>197</v>
      </c>
      <c r="C434" s="19">
        <v>0.5645</v>
      </c>
      <c r="D434" s="19">
        <v>99.000540000000001</v>
      </c>
      <c r="E434" s="19">
        <v>20</v>
      </c>
      <c r="F434" s="19">
        <v>80</v>
      </c>
      <c r="G434" s="19">
        <v>1</v>
      </c>
      <c r="H434" s="16">
        <v>4</v>
      </c>
    </row>
    <row r="435" spans="1:8" x14ac:dyDescent="0.15">
      <c r="A435" s="19">
        <v>225.01659000000001</v>
      </c>
      <c r="B435" s="19">
        <v>197.5</v>
      </c>
      <c r="C435" s="19">
        <v>0.56511</v>
      </c>
      <c r="D435" s="19">
        <v>98.878410000000002</v>
      </c>
      <c r="E435" s="19">
        <v>20</v>
      </c>
      <c r="F435" s="19">
        <v>80</v>
      </c>
      <c r="G435" s="19">
        <v>1</v>
      </c>
      <c r="H435" s="16">
        <v>4</v>
      </c>
    </row>
    <row r="436" spans="1:8" x14ac:dyDescent="0.15">
      <c r="A436" s="19">
        <v>225.01781</v>
      </c>
      <c r="B436" s="19">
        <v>198</v>
      </c>
      <c r="C436" s="19">
        <v>0.56444000000000005</v>
      </c>
      <c r="D436" s="19">
        <v>98.71669</v>
      </c>
      <c r="E436" s="19">
        <v>20</v>
      </c>
      <c r="F436" s="19">
        <v>80</v>
      </c>
      <c r="G436" s="19">
        <v>1</v>
      </c>
      <c r="H436" s="16">
        <v>4</v>
      </c>
    </row>
    <row r="437" spans="1:8" x14ac:dyDescent="0.15">
      <c r="A437" s="19">
        <v>225.01584</v>
      </c>
      <c r="B437" s="19">
        <v>198.5</v>
      </c>
      <c r="C437" s="19">
        <v>0.5645</v>
      </c>
      <c r="D437" s="19">
        <v>98.855230000000006</v>
      </c>
      <c r="E437" s="19">
        <v>20</v>
      </c>
      <c r="F437" s="19">
        <v>80</v>
      </c>
      <c r="G437" s="19">
        <v>1</v>
      </c>
      <c r="H437" s="16">
        <v>4</v>
      </c>
    </row>
    <row r="438" spans="1:8" x14ac:dyDescent="0.15">
      <c r="A438" s="19">
        <v>225.01946000000001</v>
      </c>
      <c r="B438" s="19">
        <v>199</v>
      </c>
      <c r="C438" s="19">
        <v>0.56498000000000004</v>
      </c>
      <c r="D438" s="19">
        <v>98.799620000000004</v>
      </c>
      <c r="E438" s="19">
        <v>20</v>
      </c>
      <c r="F438" s="19">
        <v>80</v>
      </c>
      <c r="G438" s="19">
        <v>1</v>
      </c>
      <c r="H438" s="16">
        <v>4</v>
      </c>
    </row>
    <row r="439" spans="1:8" x14ac:dyDescent="0.15">
      <c r="A439" s="19">
        <v>225.01938999999999</v>
      </c>
      <c r="B439" s="19">
        <v>199.5</v>
      </c>
      <c r="C439" s="19">
        <v>0.56642000000000003</v>
      </c>
      <c r="D439" s="19">
        <v>98.861369999999994</v>
      </c>
      <c r="E439" s="19">
        <v>20</v>
      </c>
      <c r="F439" s="19">
        <v>80</v>
      </c>
      <c r="G439" s="19">
        <v>1</v>
      </c>
      <c r="H439" s="16">
        <v>4</v>
      </c>
    </row>
    <row r="440" spans="1:8" x14ac:dyDescent="0.15">
      <c r="A440" s="19">
        <v>225.01812000000001</v>
      </c>
      <c r="B440" s="19">
        <v>200</v>
      </c>
      <c r="C440" s="19">
        <v>0.56506999999999996</v>
      </c>
      <c r="D440" s="19">
        <v>98.814710000000005</v>
      </c>
      <c r="E440" s="19">
        <v>20</v>
      </c>
      <c r="F440" s="19">
        <v>80</v>
      </c>
      <c r="G440" s="19">
        <v>1</v>
      </c>
      <c r="H440" s="16">
        <v>4</v>
      </c>
    </row>
    <row r="441" spans="1:8" x14ac:dyDescent="0.15">
      <c r="A441" s="19">
        <v>225.01882000000001</v>
      </c>
      <c r="B441" s="19">
        <v>200.5</v>
      </c>
      <c r="C441" s="19">
        <v>0.56491000000000002</v>
      </c>
      <c r="D441" s="19">
        <v>98.882490000000004</v>
      </c>
      <c r="E441" s="19">
        <v>20</v>
      </c>
      <c r="F441" s="19">
        <v>80</v>
      </c>
      <c r="G441" s="19">
        <v>1</v>
      </c>
      <c r="H441" s="16">
        <v>4</v>
      </c>
    </row>
    <row r="442" spans="1:8" x14ac:dyDescent="0.15">
      <c r="A442" s="19">
        <v>225.0222</v>
      </c>
      <c r="B442" s="19">
        <v>201</v>
      </c>
      <c r="C442" s="19">
        <v>0.56418999999999997</v>
      </c>
      <c r="D442" s="19">
        <v>98.857299999999995</v>
      </c>
      <c r="E442" s="19">
        <v>20</v>
      </c>
      <c r="F442" s="19">
        <v>80</v>
      </c>
      <c r="G442" s="19">
        <v>1</v>
      </c>
      <c r="H442" s="16">
        <v>4</v>
      </c>
    </row>
    <row r="443" spans="1:8" x14ac:dyDescent="0.15">
      <c r="A443" s="19">
        <v>225.02034</v>
      </c>
      <c r="B443" s="19">
        <v>201.5</v>
      </c>
      <c r="C443" s="19">
        <v>0.56301000000000001</v>
      </c>
      <c r="D443" s="19">
        <v>98.800740000000005</v>
      </c>
      <c r="E443" s="19">
        <v>20</v>
      </c>
      <c r="F443" s="19">
        <v>80</v>
      </c>
      <c r="G443" s="19">
        <v>1</v>
      </c>
      <c r="H443" s="16">
        <v>4</v>
      </c>
    </row>
    <row r="444" spans="1:8" x14ac:dyDescent="0.15">
      <c r="A444" s="19">
        <v>225.01786999999999</v>
      </c>
      <c r="B444" s="19">
        <v>202</v>
      </c>
      <c r="C444" s="19">
        <v>0.56354000000000004</v>
      </c>
      <c r="D444" s="19">
        <v>98.916510000000002</v>
      </c>
      <c r="E444" s="19">
        <v>20</v>
      </c>
      <c r="F444" s="19">
        <v>80</v>
      </c>
      <c r="G444" s="19">
        <v>1</v>
      </c>
      <c r="H444" s="16">
        <v>4</v>
      </c>
    </row>
    <row r="445" spans="1:8" x14ac:dyDescent="0.15">
      <c r="A445" s="19">
        <v>225.01392999999999</v>
      </c>
      <c r="B445" s="19">
        <v>202.5</v>
      </c>
      <c r="C445" s="19">
        <v>0.56394</v>
      </c>
      <c r="D445" s="19">
        <v>98.763130000000004</v>
      </c>
      <c r="E445" s="19">
        <v>20</v>
      </c>
      <c r="F445" s="19">
        <v>80</v>
      </c>
      <c r="G445" s="19">
        <v>1</v>
      </c>
      <c r="H445" s="16">
        <v>4</v>
      </c>
    </row>
    <row r="446" spans="1:8" x14ac:dyDescent="0.15">
      <c r="A446" s="19">
        <v>225.01668000000001</v>
      </c>
      <c r="B446" s="19">
        <v>203</v>
      </c>
      <c r="C446" s="19">
        <v>0.56460999999999995</v>
      </c>
      <c r="D446" s="19">
        <v>98.860650000000007</v>
      </c>
      <c r="E446" s="19">
        <v>20</v>
      </c>
      <c r="F446" s="19">
        <v>80</v>
      </c>
      <c r="G446" s="19">
        <v>1</v>
      </c>
      <c r="H446" s="16">
        <v>4</v>
      </c>
    </row>
    <row r="447" spans="1:8" x14ac:dyDescent="0.15">
      <c r="A447" s="19">
        <v>225.02154999999999</v>
      </c>
      <c r="B447" s="19">
        <v>203.5</v>
      </c>
      <c r="C447" s="19">
        <v>0.56355999999999995</v>
      </c>
      <c r="D447" s="19">
        <v>98.725629999999995</v>
      </c>
      <c r="E447" s="19">
        <v>20</v>
      </c>
      <c r="F447" s="19">
        <v>80</v>
      </c>
      <c r="G447" s="19">
        <v>1</v>
      </c>
      <c r="H447" s="16">
        <v>4</v>
      </c>
    </row>
    <row r="448" spans="1:8" x14ac:dyDescent="0.15">
      <c r="A448" s="19">
        <v>225.02316999999999</v>
      </c>
      <c r="B448" s="19">
        <v>204</v>
      </c>
      <c r="C448" s="19">
        <v>0.56372</v>
      </c>
      <c r="D448" s="19">
        <v>98.909139999999994</v>
      </c>
      <c r="E448" s="19">
        <v>20</v>
      </c>
      <c r="F448" s="19">
        <v>80</v>
      </c>
      <c r="G448" s="19">
        <v>1</v>
      </c>
      <c r="H448" s="16">
        <v>4</v>
      </c>
    </row>
    <row r="449" spans="1:8" x14ac:dyDescent="0.15">
      <c r="A449" s="19">
        <v>225.02198000000001</v>
      </c>
      <c r="B449" s="19">
        <v>204.5</v>
      </c>
      <c r="C449" s="19">
        <v>0.56225000000000003</v>
      </c>
      <c r="D449" s="19">
        <v>98.699860000000001</v>
      </c>
      <c r="E449" s="19">
        <v>20</v>
      </c>
      <c r="F449" s="19">
        <v>80</v>
      </c>
      <c r="G449" s="19">
        <v>1</v>
      </c>
      <c r="H449" s="16">
        <v>4</v>
      </c>
    </row>
    <row r="450" spans="1:8" x14ac:dyDescent="0.15">
      <c r="A450" s="19">
        <v>225.01553000000001</v>
      </c>
      <c r="B450" s="19">
        <v>205</v>
      </c>
      <c r="C450" s="19">
        <v>0.56211</v>
      </c>
      <c r="D450" s="19">
        <v>98.776300000000006</v>
      </c>
      <c r="E450" s="19">
        <v>20</v>
      </c>
      <c r="F450" s="19">
        <v>80</v>
      </c>
      <c r="G450" s="19">
        <v>1</v>
      </c>
      <c r="H450" s="16">
        <v>4</v>
      </c>
    </row>
    <row r="451" spans="1:8" x14ac:dyDescent="0.15">
      <c r="A451" s="19">
        <v>225.00959</v>
      </c>
      <c r="B451" s="19">
        <v>205.5</v>
      </c>
      <c r="C451" s="19">
        <v>0.56120000000000003</v>
      </c>
      <c r="D451" s="19">
        <v>98.796369999999996</v>
      </c>
      <c r="E451" s="19">
        <v>20</v>
      </c>
      <c r="F451" s="19">
        <v>80</v>
      </c>
      <c r="G451" s="19">
        <v>1</v>
      </c>
      <c r="H451" s="16">
        <v>4</v>
      </c>
    </row>
    <row r="452" spans="1:8" x14ac:dyDescent="0.15">
      <c r="A452" s="19">
        <v>225.01367999999999</v>
      </c>
      <c r="B452" s="19">
        <v>206</v>
      </c>
      <c r="C452" s="19">
        <v>0.56306</v>
      </c>
      <c r="D452" s="19">
        <v>98.875739999999993</v>
      </c>
      <c r="E452" s="19">
        <v>20</v>
      </c>
      <c r="F452" s="19">
        <v>80</v>
      </c>
      <c r="G452" s="19">
        <v>1</v>
      </c>
      <c r="H452" s="16">
        <v>4</v>
      </c>
    </row>
    <row r="453" spans="1:8" x14ac:dyDescent="0.15">
      <c r="A453" s="19">
        <v>225.01616000000001</v>
      </c>
      <c r="B453" s="19">
        <v>206.5</v>
      </c>
      <c r="C453" s="19">
        <v>0.56420999999999999</v>
      </c>
      <c r="D453" s="19">
        <v>98.802580000000006</v>
      </c>
      <c r="E453" s="19">
        <v>20</v>
      </c>
      <c r="F453" s="19">
        <v>80</v>
      </c>
      <c r="G453" s="19">
        <v>1</v>
      </c>
      <c r="H453" s="16">
        <v>4</v>
      </c>
    </row>
    <row r="454" spans="1:8" x14ac:dyDescent="0.15">
      <c r="A454" s="19">
        <v>225.01293000000001</v>
      </c>
      <c r="B454" s="19">
        <v>207</v>
      </c>
      <c r="C454" s="19">
        <v>0.56445999999999996</v>
      </c>
      <c r="D454" s="19">
        <v>98.757000000000005</v>
      </c>
      <c r="E454" s="19">
        <v>20</v>
      </c>
      <c r="F454" s="19">
        <v>80</v>
      </c>
      <c r="G454" s="19">
        <v>1</v>
      </c>
      <c r="H454" s="16">
        <v>4</v>
      </c>
    </row>
    <row r="455" spans="1:8" x14ac:dyDescent="0.15">
      <c r="A455" s="19">
        <v>225.01587000000001</v>
      </c>
      <c r="B455" s="19">
        <v>207.5</v>
      </c>
      <c r="C455" s="19">
        <v>0.56194</v>
      </c>
      <c r="D455" s="19">
        <v>98.847369999999998</v>
      </c>
      <c r="E455" s="19">
        <v>20</v>
      </c>
      <c r="F455" s="19">
        <v>80</v>
      </c>
      <c r="G455" s="19">
        <v>1</v>
      </c>
      <c r="H455" s="16">
        <v>4</v>
      </c>
    </row>
    <row r="456" spans="1:8" x14ac:dyDescent="0.15">
      <c r="A456" s="19">
        <v>225.01636999999999</v>
      </c>
      <c r="B456" s="19">
        <v>208</v>
      </c>
      <c r="C456" s="19">
        <v>0.5625</v>
      </c>
      <c r="D456" s="19">
        <v>98.674099999999996</v>
      </c>
      <c r="E456" s="19">
        <v>20</v>
      </c>
      <c r="F456" s="19">
        <v>80</v>
      </c>
      <c r="G456" s="19">
        <v>1</v>
      </c>
      <c r="H456" s="16">
        <v>4</v>
      </c>
    </row>
    <row r="457" spans="1:8" x14ac:dyDescent="0.15">
      <c r="A457" s="19">
        <v>225.01553999999999</v>
      </c>
      <c r="B457" s="19">
        <v>208.5</v>
      </c>
      <c r="C457" s="19">
        <v>0.56108000000000002</v>
      </c>
      <c r="D457" s="19">
        <v>98.651139999999998</v>
      </c>
      <c r="E457" s="19">
        <v>20</v>
      </c>
      <c r="F457" s="19">
        <v>80</v>
      </c>
      <c r="G457" s="19">
        <v>1</v>
      </c>
      <c r="H457" s="16">
        <v>4</v>
      </c>
    </row>
    <row r="458" spans="1:8" x14ac:dyDescent="0.15">
      <c r="A458" s="19">
        <v>225.01759999999999</v>
      </c>
      <c r="B458" s="19">
        <v>209</v>
      </c>
      <c r="C458" s="19">
        <v>0.56062000000000001</v>
      </c>
      <c r="D458" s="19">
        <v>98.747330000000005</v>
      </c>
      <c r="E458" s="19">
        <v>20</v>
      </c>
      <c r="F458" s="19">
        <v>80</v>
      </c>
      <c r="G458" s="19">
        <v>1</v>
      </c>
      <c r="H458" s="16">
        <v>4</v>
      </c>
    </row>
    <row r="459" spans="1:8" x14ac:dyDescent="0.15">
      <c r="A459" s="19">
        <v>225.01401000000001</v>
      </c>
      <c r="B459" s="19">
        <v>209.5</v>
      </c>
      <c r="C459" s="19">
        <v>0.56057000000000001</v>
      </c>
      <c r="D459" s="19">
        <v>98.741680000000002</v>
      </c>
      <c r="E459" s="19">
        <v>20</v>
      </c>
      <c r="F459" s="19">
        <v>80</v>
      </c>
      <c r="G459" s="19">
        <v>1</v>
      </c>
      <c r="H459" s="16">
        <v>4</v>
      </c>
    </row>
    <row r="460" spans="1:8" x14ac:dyDescent="0.15">
      <c r="A460" s="19">
        <v>225.01246</v>
      </c>
      <c r="B460" s="19">
        <v>210</v>
      </c>
      <c r="C460" s="19">
        <v>0.56108000000000002</v>
      </c>
      <c r="D460" s="19">
        <v>98.691680000000005</v>
      </c>
      <c r="E460" s="19">
        <v>20</v>
      </c>
      <c r="F460" s="19">
        <v>80</v>
      </c>
      <c r="G460" s="19">
        <v>1</v>
      </c>
      <c r="H460" s="16">
        <v>4</v>
      </c>
    </row>
    <row r="461" spans="1:8" x14ac:dyDescent="0.15">
      <c r="A461" s="19">
        <v>225.01254</v>
      </c>
      <c r="B461" s="19">
        <v>210.5</v>
      </c>
      <c r="C461" s="19">
        <v>0.56211999999999995</v>
      </c>
      <c r="D461" s="19">
        <v>98.785390000000007</v>
      </c>
      <c r="E461" s="19">
        <v>20</v>
      </c>
      <c r="F461" s="19">
        <v>80</v>
      </c>
      <c r="G461" s="19">
        <v>1</v>
      </c>
      <c r="H461" s="16">
        <v>4</v>
      </c>
    </row>
    <row r="462" spans="1:8" x14ac:dyDescent="0.15">
      <c r="A462" s="19">
        <v>225.01399000000001</v>
      </c>
      <c r="B462" s="19">
        <v>211</v>
      </c>
      <c r="C462" s="19">
        <v>0.56105000000000005</v>
      </c>
      <c r="D462" s="19">
        <v>98.784679999999994</v>
      </c>
      <c r="E462" s="19">
        <v>20</v>
      </c>
      <c r="F462" s="19">
        <v>80</v>
      </c>
      <c r="G462" s="19">
        <v>1</v>
      </c>
      <c r="H462" s="16">
        <v>4</v>
      </c>
    </row>
    <row r="463" spans="1:8" x14ac:dyDescent="0.15">
      <c r="A463" s="19">
        <v>225.01384999999999</v>
      </c>
      <c r="B463" s="19">
        <v>211.5</v>
      </c>
      <c r="C463" s="19">
        <v>0.56035999999999997</v>
      </c>
      <c r="D463" s="19">
        <v>98.645480000000006</v>
      </c>
      <c r="E463" s="19">
        <v>20</v>
      </c>
      <c r="F463" s="19">
        <v>80</v>
      </c>
      <c r="G463" s="19">
        <v>1</v>
      </c>
      <c r="H463" s="16">
        <v>4</v>
      </c>
    </row>
    <row r="464" spans="1:8" x14ac:dyDescent="0.15">
      <c r="A464" s="19">
        <v>225.01338999999999</v>
      </c>
      <c r="B464" s="19">
        <v>212</v>
      </c>
      <c r="C464" s="19">
        <v>0.56049000000000004</v>
      </c>
      <c r="D464" s="19">
        <v>98.777910000000006</v>
      </c>
      <c r="E464" s="19">
        <v>20</v>
      </c>
      <c r="F464" s="19">
        <v>80</v>
      </c>
      <c r="G464" s="19">
        <v>1</v>
      </c>
      <c r="H464" s="16">
        <v>4</v>
      </c>
    </row>
    <row r="465" spans="1:8" x14ac:dyDescent="0.15">
      <c r="A465" s="19">
        <v>225.01411999999999</v>
      </c>
      <c r="B465" s="19">
        <v>212.5</v>
      </c>
      <c r="C465" s="19">
        <v>0.55837000000000003</v>
      </c>
      <c r="D465" s="19">
        <v>98.754140000000007</v>
      </c>
      <c r="E465" s="19">
        <v>20</v>
      </c>
      <c r="F465" s="19">
        <v>80</v>
      </c>
      <c r="G465" s="19">
        <v>1</v>
      </c>
      <c r="H465" s="16">
        <v>4</v>
      </c>
    </row>
    <row r="466" spans="1:8" x14ac:dyDescent="0.15">
      <c r="A466" s="19">
        <v>225.01307</v>
      </c>
      <c r="B466" s="19">
        <v>213</v>
      </c>
      <c r="C466" s="19">
        <v>0.56028</v>
      </c>
      <c r="D466" s="19">
        <v>98.753649999999993</v>
      </c>
      <c r="E466" s="19">
        <v>20</v>
      </c>
      <c r="F466" s="19">
        <v>80</v>
      </c>
      <c r="G466" s="19">
        <v>1</v>
      </c>
      <c r="H466" s="16">
        <v>4</v>
      </c>
    </row>
    <row r="467" spans="1:8" x14ac:dyDescent="0.15">
      <c r="A467" s="19">
        <v>225.01286999999999</v>
      </c>
      <c r="B467" s="19">
        <v>213.5</v>
      </c>
      <c r="C467" s="19">
        <v>0.56089999999999995</v>
      </c>
      <c r="D467" s="19">
        <v>98.771929999999998</v>
      </c>
      <c r="E467" s="19">
        <v>20</v>
      </c>
      <c r="F467" s="19">
        <v>80</v>
      </c>
      <c r="G467" s="19">
        <v>1</v>
      </c>
      <c r="H467" s="16">
        <v>4</v>
      </c>
    </row>
    <row r="468" spans="1:8" x14ac:dyDescent="0.15">
      <c r="A468" s="19">
        <v>225.01248000000001</v>
      </c>
      <c r="B468" s="19">
        <v>214</v>
      </c>
      <c r="C468" s="19">
        <v>0.56069000000000002</v>
      </c>
      <c r="D468" s="19">
        <v>98.837760000000003</v>
      </c>
      <c r="E468" s="19">
        <v>20</v>
      </c>
      <c r="F468" s="19">
        <v>80</v>
      </c>
      <c r="G468" s="19">
        <v>1</v>
      </c>
      <c r="H468" s="16">
        <v>4</v>
      </c>
    </row>
    <row r="469" spans="1:8" x14ac:dyDescent="0.15">
      <c r="A469" s="19">
        <v>225.01405</v>
      </c>
      <c r="B469" s="19">
        <v>214.5</v>
      </c>
      <c r="C469" s="19">
        <v>0.55967</v>
      </c>
      <c r="D469" s="19">
        <v>98.659360000000007</v>
      </c>
      <c r="E469" s="19">
        <v>20</v>
      </c>
      <c r="F469" s="19">
        <v>80</v>
      </c>
      <c r="G469" s="19">
        <v>1</v>
      </c>
      <c r="H469" s="16">
        <v>4</v>
      </c>
    </row>
    <row r="470" spans="1:8" x14ac:dyDescent="0.15">
      <c r="A470" s="19">
        <v>225.01938999999999</v>
      </c>
      <c r="B470" s="19">
        <v>215</v>
      </c>
      <c r="C470" s="19">
        <v>0.56025999999999998</v>
      </c>
      <c r="D470" s="19">
        <v>98.657020000000003</v>
      </c>
      <c r="E470" s="19">
        <v>20</v>
      </c>
      <c r="F470" s="19">
        <v>80</v>
      </c>
      <c r="G470" s="19">
        <v>1</v>
      </c>
      <c r="H470" s="16">
        <v>4</v>
      </c>
    </row>
    <row r="471" spans="1:8" x14ac:dyDescent="0.15">
      <c r="A471" s="19">
        <v>225.01799</v>
      </c>
      <c r="B471" s="19">
        <v>215.5</v>
      </c>
      <c r="C471" s="19">
        <v>0.56015000000000004</v>
      </c>
      <c r="D471" s="19">
        <v>98.64658</v>
      </c>
      <c r="E471" s="19">
        <v>20</v>
      </c>
      <c r="F471" s="19">
        <v>80</v>
      </c>
      <c r="G471" s="19">
        <v>1</v>
      </c>
      <c r="H471" s="16">
        <v>4</v>
      </c>
    </row>
    <row r="472" spans="1:8" x14ac:dyDescent="0.15">
      <c r="A472" s="19">
        <v>225.01445000000001</v>
      </c>
      <c r="B472" s="19">
        <v>216</v>
      </c>
      <c r="C472" s="19">
        <v>0.55859000000000003</v>
      </c>
      <c r="D472" s="19">
        <v>98.674580000000006</v>
      </c>
      <c r="E472" s="19">
        <v>20</v>
      </c>
      <c r="F472" s="19">
        <v>80</v>
      </c>
      <c r="G472" s="19">
        <v>1</v>
      </c>
      <c r="H472" s="16">
        <v>4</v>
      </c>
    </row>
    <row r="473" spans="1:8" x14ac:dyDescent="0.15">
      <c r="A473" s="19">
        <v>225.01122000000001</v>
      </c>
      <c r="B473" s="19">
        <v>216.5</v>
      </c>
      <c r="C473" s="19">
        <v>0.55871999999999999</v>
      </c>
      <c r="D473" s="19">
        <v>98.607849999999999</v>
      </c>
      <c r="E473" s="19">
        <v>20</v>
      </c>
      <c r="F473" s="19">
        <v>80</v>
      </c>
      <c r="G473" s="19">
        <v>1</v>
      </c>
      <c r="H473" s="16">
        <v>4</v>
      </c>
    </row>
    <row r="474" spans="1:8" x14ac:dyDescent="0.15">
      <c r="A474" s="19">
        <v>225.00900999999999</v>
      </c>
      <c r="B474" s="19">
        <v>217</v>
      </c>
      <c r="C474" s="19">
        <v>0.55915000000000004</v>
      </c>
      <c r="D474" s="19">
        <v>98.586209999999994</v>
      </c>
      <c r="E474" s="19">
        <v>20</v>
      </c>
      <c r="F474" s="19">
        <v>80</v>
      </c>
      <c r="G474" s="19">
        <v>1</v>
      </c>
      <c r="H474" s="16">
        <v>4</v>
      </c>
    </row>
    <row r="475" spans="1:8" x14ac:dyDescent="0.15">
      <c r="A475" s="19">
        <v>225.00982999999999</v>
      </c>
      <c r="B475" s="19">
        <v>217.5</v>
      </c>
      <c r="C475" s="19">
        <v>0.55810000000000004</v>
      </c>
      <c r="D475" s="19">
        <v>98.697419999999994</v>
      </c>
      <c r="E475" s="19">
        <v>20</v>
      </c>
      <c r="F475" s="19">
        <v>80</v>
      </c>
      <c r="G475" s="19">
        <v>1</v>
      </c>
      <c r="H475" s="16">
        <v>4</v>
      </c>
    </row>
    <row r="476" spans="1:8" x14ac:dyDescent="0.15">
      <c r="A476" s="19">
        <v>225.00962000000001</v>
      </c>
      <c r="B476" s="19">
        <v>218</v>
      </c>
      <c r="C476" s="19">
        <v>0.56008000000000002</v>
      </c>
      <c r="D476" s="19">
        <v>98.712620000000001</v>
      </c>
      <c r="E476" s="19">
        <v>20</v>
      </c>
      <c r="F476" s="19">
        <v>80</v>
      </c>
      <c r="G476" s="19">
        <v>1</v>
      </c>
      <c r="H476" s="16">
        <v>4</v>
      </c>
    </row>
    <row r="477" spans="1:8" x14ac:dyDescent="0.15">
      <c r="A477" s="19">
        <v>225.00987000000001</v>
      </c>
      <c r="B477" s="19">
        <v>218.5</v>
      </c>
      <c r="C477" s="19">
        <v>0.55945</v>
      </c>
      <c r="D477" s="19">
        <v>98.683949999999996</v>
      </c>
      <c r="E477" s="19">
        <v>20</v>
      </c>
      <c r="F477" s="19">
        <v>80</v>
      </c>
      <c r="G477" s="19">
        <v>1</v>
      </c>
      <c r="H477" s="16">
        <v>4</v>
      </c>
    </row>
    <row r="478" spans="1:8" x14ac:dyDescent="0.15">
      <c r="A478" s="19">
        <v>225.01302000000001</v>
      </c>
      <c r="B478" s="19">
        <v>219</v>
      </c>
      <c r="C478" s="19">
        <v>0.55855999999999995</v>
      </c>
      <c r="D478" s="19">
        <v>98.628990000000002</v>
      </c>
      <c r="E478" s="19">
        <v>20</v>
      </c>
      <c r="F478" s="19">
        <v>80</v>
      </c>
      <c r="G478" s="19">
        <v>1</v>
      </c>
      <c r="H478" s="16">
        <v>4</v>
      </c>
    </row>
    <row r="479" spans="1:8" x14ac:dyDescent="0.15">
      <c r="A479" s="19">
        <v>225.01473999999999</v>
      </c>
      <c r="B479" s="19">
        <v>219.5</v>
      </c>
      <c r="C479" s="19">
        <v>0.55983000000000005</v>
      </c>
      <c r="D479" s="19">
        <v>98.595849999999999</v>
      </c>
      <c r="E479" s="19">
        <v>20</v>
      </c>
      <c r="F479" s="19">
        <v>80</v>
      </c>
      <c r="G479" s="19">
        <v>1</v>
      </c>
      <c r="H479" s="16">
        <v>4</v>
      </c>
    </row>
    <row r="480" spans="1:8" x14ac:dyDescent="0.15">
      <c r="A480" s="19">
        <v>225.01495</v>
      </c>
      <c r="B480" s="19">
        <v>220</v>
      </c>
      <c r="C480" s="19">
        <v>0.55918999999999996</v>
      </c>
      <c r="D480" s="19">
        <v>98.683300000000003</v>
      </c>
      <c r="E480" s="19">
        <v>20</v>
      </c>
      <c r="F480" s="19">
        <v>80</v>
      </c>
      <c r="G480" s="19">
        <v>1</v>
      </c>
      <c r="H480" s="16">
        <v>4</v>
      </c>
    </row>
    <row r="481" spans="1:8" x14ac:dyDescent="0.15">
      <c r="A481" s="19">
        <v>225.01705000000001</v>
      </c>
      <c r="B481" s="19">
        <v>220.5</v>
      </c>
      <c r="C481" s="19">
        <v>0.55864000000000003</v>
      </c>
      <c r="D481" s="19">
        <v>98.621790000000004</v>
      </c>
      <c r="E481" s="19">
        <v>20</v>
      </c>
      <c r="F481" s="19">
        <v>80</v>
      </c>
      <c r="G481" s="19">
        <v>1</v>
      </c>
      <c r="H481" s="16">
        <v>4</v>
      </c>
    </row>
    <row r="482" spans="1:8" x14ac:dyDescent="0.15">
      <c r="A482" s="19">
        <v>225.01776000000001</v>
      </c>
      <c r="B482" s="19">
        <v>221</v>
      </c>
      <c r="C482" s="19">
        <v>0.5575</v>
      </c>
      <c r="D482" s="19">
        <v>98.688069999999996</v>
      </c>
      <c r="E482" s="19">
        <v>20</v>
      </c>
      <c r="F482" s="19">
        <v>80</v>
      </c>
      <c r="G482" s="19">
        <v>1</v>
      </c>
      <c r="H482" s="16">
        <v>4</v>
      </c>
    </row>
    <row r="483" spans="1:8" x14ac:dyDescent="0.15">
      <c r="A483" s="19">
        <v>225.01687999999999</v>
      </c>
      <c r="B483" s="19">
        <v>221.5</v>
      </c>
      <c r="C483" s="19">
        <v>0.55878000000000005</v>
      </c>
      <c r="D483" s="19">
        <v>98.581019999999995</v>
      </c>
      <c r="E483" s="19">
        <v>20</v>
      </c>
      <c r="F483" s="19">
        <v>80</v>
      </c>
      <c r="G483" s="19">
        <v>1</v>
      </c>
      <c r="H483" s="16">
        <v>4</v>
      </c>
    </row>
    <row r="484" spans="1:8" x14ac:dyDescent="0.15">
      <c r="A484" s="19">
        <v>225.01772</v>
      </c>
      <c r="B484" s="19">
        <v>222</v>
      </c>
      <c r="C484" s="19">
        <v>0.55759000000000003</v>
      </c>
      <c r="D484" s="19">
        <v>98.518969999999996</v>
      </c>
      <c r="E484" s="19">
        <v>20</v>
      </c>
      <c r="F484" s="19">
        <v>80</v>
      </c>
      <c r="G484" s="19">
        <v>1</v>
      </c>
      <c r="H484" s="16">
        <v>4</v>
      </c>
    </row>
    <row r="485" spans="1:8" x14ac:dyDescent="0.15">
      <c r="A485" s="19">
        <v>225.01802000000001</v>
      </c>
      <c r="B485" s="19">
        <v>222.5</v>
      </c>
      <c r="C485" s="19">
        <v>0.55779000000000001</v>
      </c>
      <c r="D485" s="19">
        <v>98.653919999999999</v>
      </c>
      <c r="E485" s="19">
        <v>20</v>
      </c>
      <c r="F485" s="19">
        <v>80</v>
      </c>
      <c r="G485" s="19">
        <v>1</v>
      </c>
      <c r="H485" s="16">
        <v>4</v>
      </c>
    </row>
    <row r="486" spans="1:8" x14ac:dyDescent="0.15">
      <c r="A486" s="19">
        <v>225.01517999999999</v>
      </c>
      <c r="B486" s="19">
        <v>223</v>
      </c>
      <c r="C486" s="19">
        <v>0.55949000000000004</v>
      </c>
      <c r="D486" s="19">
        <v>98.643680000000003</v>
      </c>
      <c r="E486" s="19">
        <v>20</v>
      </c>
      <c r="F486" s="19">
        <v>80</v>
      </c>
      <c r="G486" s="19">
        <v>1</v>
      </c>
      <c r="H486" s="16">
        <v>4</v>
      </c>
    </row>
    <row r="487" spans="1:8" x14ac:dyDescent="0.15">
      <c r="A487" s="19">
        <v>225.01791</v>
      </c>
      <c r="B487" s="19">
        <v>223.5</v>
      </c>
      <c r="C487" s="19">
        <v>0.55817000000000005</v>
      </c>
      <c r="D487" s="19">
        <v>98.66319</v>
      </c>
      <c r="E487" s="19">
        <v>20</v>
      </c>
      <c r="F487" s="19">
        <v>80</v>
      </c>
      <c r="G487" s="19">
        <v>1</v>
      </c>
      <c r="H487" s="16">
        <v>4</v>
      </c>
    </row>
    <row r="488" spans="1:8" x14ac:dyDescent="0.15">
      <c r="A488" s="19">
        <v>225.01818</v>
      </c>
      <c r="B488" s="19">
        <v>224</v>
      </c>
      <c r="C488" s="19">
        <v>0.55913000000000002</v>
      </c>
      <c r="D488" s="19">
        <v>98.640940000000001</v>
      </c>
      <c r="E488" s="19">
        <v>20</v>
      </c>
      <c r="F488" s="19">
        <v>80</v>
      </c>
      <c r="G488" s="19">
        <v>1</v>
      </c>
      <c r="H488" s="16">
        <v>4</v>
      </c>
    </row>
    <row r="489" spans="1:8" x14ac:dyDescent="0.15">
      <c r="A489" s="19">
        <v>225.01723000000001</v>
      </c>
      <c r="B489" s="19">
        <v>224.5</v>
      </c>
      <c r="C489" s="19">
        <v>0.56016999999999995</v>
      </c>
      <c r="D489" s="19">
        <v>98.681399999999996</v>
      </c>
      <c r="E489" s="19">
        <v>20</v>
      </c>
      <c r="F489" s="19">
        <v>80</v>
      </c>
      <c r="G489" s="19">
        <v>1</v>
      </c>
      <c r="H489" s="16">
        <v>4</v>
      </c>
    </row>
    <row r="490" spans="1:8" x14ac:dyDescent="0.15">
      <c r="A490" s="19">
        <v>225.01464999999999</v>
      </c>
      <c r="B490" s="19">
        <v>225</v>
      </c>
      <c r="C490" s="19">
        <v>0.55874000000000001</v>
      </c>
      <c r="D490" s="19">
        <v>98.702629999999999</v>
      </c>
      <c r="E490" s="19">
        <v>20</v>
      </c>
      <c r="F490" s="19">
        <v>80</v>
      </c>
      <c r="G490" s="19">
        <v>1</v>
      </c>
      <c r="H490" s="16">
        <v>4</v>
      </c>
    </row>
    <row r="491" spans="1:8" x14ac:dyDescent="0.15">
      <c r="A491" s="19">
        <v>225.01438999999999</v>
      </c>
      <c r="B491" s="19">
        <v>225.5</v>
      </c>
      <c r="C491" s="19">
        <v>0.56025999999999998</v>
      </c>
      <c r="D491" s="19">
        <v>98.682220000000001</v>
      </c>
      <c r="E491" s="19">
        <v>20</v>
      </c>
      <c r="F491" s="19">
        <v>80</v>
      </c>
      <c r="G491" s="19">
        <v>1</v>
      </c>
      <c r="H491" s="16">
        <v>4</v>
      </c>
    </row>
    <row r="492" spans="1:8" x14ac:dyDescent="0.15">
      <c r="A492" s="19">
        <v>225.01647</v>
      </c>
      <c r="B492" s="19">
        <v>226</v>
      </c>
      <c r="C492" s="19">
        <v>0.56069999999999998</v>
      </c>
      <c r="D492" s="19">
        <v>98.589389999999995</v>
      </c>
      <c r="E492" s="19">
        <v>20</v>
      </c>
      <c r="F492" s="19">
        <v>80</v>
      </c>
      <c r="G492" s="19">
        <v>1</v>
      </c>
      <c r="H492" s="16">
        <v>4</v>
      </c>
    </row>
    <row r="493" spans="1:8" x14ac:dyDescent="0.15">
      <c r="A493" s="19">
        <v>225.01752999999999</v>
      </c>
      <c r="B493" s="19">
        <v>226.5</v>
      </c>
      <c r="C493" s="19">
        <v>0.56055999999999995</v>
      </c>
      <c r="D493" s="19">
        <v>98.534779999999998</v>
      </c>
      <c r="E493" s="19">
        <v>20</v>
      </c>
      <c r="F493" s="19">
        <v>80</v>
      </c>
      <c r="G493" s="19">
        <v>1</v>
      </c>
      <c r="H493" s="16">
        <v>4</v>
      </c>
    </row>
    <row r="494" spans="1:8" x14ac:dyDescent="0.15">
      <c r="A494" s="19">
        <v>225.01873000000001</v>
      </c>
      <c r="B494" s="19">
        <v>227</v>
      </c>
      <c r="C494" s="19">
        <v>0.55869000000000002</v>
      </c>
      <c r="D494" s="19">
        <v>98.56626</v>
      </c>
      <c r="E494" s="19">
        <v>20</v>
      </c>
      <c r="F494" s="19">
        <v>80</v>
      </c>
      <c r="G494" s="19">
        <v>1</v>
      </c>
      <c r="H494" s="16">
        <v>4</v>
      </c>
    </row>
    <row r="495" spans="1:8" x14ac:dyDescent="0.15">
      <c r="A495" s="19">
        <v>225.02015</v>
      </c>
      <c r="B495" s="19">
        <v>227.5</v>
      </c>
      <c r="C495" s="19">
        <v>0.56016999999999995</v>
      </c>
      <c r="D495" s="19">
        <v>98.57029</v>
      </c>
      <c r="E495" s="19">
        <v>20</v>
      </c>
      <c r="F495" s="19">
        <v>80</v>
      </c>
      <c r="G495" s="19">
        <v>1</v>
      </c>
      <c r="H495" s="16">
        <v>4</v>
      </c>
    </row>
    <row r="496" spans="1:8" x14ac:dyDescent="0.15">
      <c r="A496" s="19">
        <v>225.01962</v>
      </c>
      <c r="B496" s="19">
        <v>228</v>
      </c>
      <c r="C496" s="19">
        <v>0.56001000000000001</v>
      </c>
      <c r="D496" s="19">
        <v>98.573030000000003</v>
      </c>
      <c r="E496" s="19">
        <v>20</v>
      </c>
      <c r="F496" s="19">
        <v>80</v>
      </c>
      <c r="G496" s="19">
        <v>1</v>
      </c>
      <c r="H496" s="16">
        <v>4</v>
      </c>
    </row>
    <row r="497" spans="1:8" x14ac:dyDescent="0.15">
      <c r="A497" s="19">
        <v>225.01964000000001</v>
      </c>
      <c r="B497" s="19">
        <v>228.5</v>
      </c>
      <c r="C497" s="19">
        <v>0.56066000000000005</v>
      </c>
      <c r="D497" s="19">
        <v>98.569370000000006</v>
      </c>
      <c r="E497" s="19">
        <v>20</v>
      </c>
      <c r="F497" s="19">
        <v>80</v>
      </c>
      <c r="G497" s="19">
        <v>1</v>
      </c>
      <c r="H497" s="16">
        <v>4</v>
      </c>
    </row>
    <row r="498" spans="1:8" x14ac:dyDescent="0.15">
      <c r="A498" s="19">
        <v>225.01898</v>
      </c>
      <c r="B498" s="19">
        <v>229</v>
      </c>
      <c r="C498" s="19">
        <v>0.56030999999999997</v>
      </c>
      <c r="D498" s="19">
        <v>98.611189999999993</v>
      </c>
      <c r="E498" s="19">
        <v>20</v>
      </c>
      <c r="F498" s="19">
        <v>80</v>
      </c>
      <c r="G498" s="19">
        <v>1</v>
      </c>
      <c r="H498" s="16">
        <v>4</v>
      </c>
    </row>
    <row r="499" spans="1:8" x14ac:dyDescent="0.15">
      <c r="A499" s="19">
        <v>225.02008000000001</v>
      </c>
      <c r="B499" s="19">
        <v>229.5</v>
      </c>
      <c r="C499" s="19">
        <v>0.55884</v>
      </c>
      <c r="D499" s="19">
        <v>98.527869999999993</v>
      </c>
      <c r="E499" s="19">
        <v>20</v>
      </c>
      <c r="F499" s="19">
        <v>80</v>
      </c>
      <c r="G499" s="19">
        <v>1</v>
      </c>
      <c r="H499" s="16">
        <v>4</v>
      </c>
    </row>
    <row r="500" spans="1:8" x14ac:dyDescent="0.15">
      <c r="A500" s="19">
        <v>225.01877999999999</v>
      </c>
      <c r="B500" s="19">
        <v>230</v>
      </c>
      <c r="C500" s="19">
        <v>0.56040000000000001</v>
      </c>
      <c r="D500" s="19">
        <v>98.596620000000001</v>
      </c>
      <c r="E500" s="19">
        <v>20</v>
      </c>
      <c r="F500" s="19">
        <v>80</v>
      </c>
      <c r="G500" s="19">
        <v>1</v>
      </c>
      <c r="H500" s="16">
        <v>4</v>
      </c>
    </row>
    <row r="501" spans="1:8" x14ac:dyDescent="0.15">
      <c r="A501" s="19">
        <v>225.02018000000001</v>
      </c>
      <c r="B501" s="19">
        <v>230.5</v>
      </c>
      <c r="C501" s="19">
        <v>0.55857000000000001</v>
      </c>
      <c r="D501" s="19">
        <v>98.460999999999999</v>
      </c>
      <c r="E501" s="19">
        <v>20</v>
      </c>
      <c r="F501" s="19">
        <v>80</v>
      </c>
      <c r="G501" s="19">
        <v>1</v>
      </c>
      <c r="H501" s="16">
        <v>4</v>
      </c>
    </row>
    <row r="502" spans="1:8" x14ac:dyDescent="0.15">
      <c r="A502" s="19">
        <v>225.02266</v>
      </c>
      <c r="B502" s="19">
        <v>231</v>
      </c>
      <c r="C502" s="19">
        <v>0.55928</v>
      </c>
      <c r="D502" s="19">
        <v>98.530019999999993</v>
      </c>
      <c r="E502" s="19">
        <v>20</v>
      </c>
      <c r="F502" s="19">
        <v>80</v>
      </c>
      <c r="G502" s="19">
        <v>1</v>
      </c>
      <c r="H502" s="16">
        <v>4</v>
      </c>
    </row>
    <row r="503" spans="1:8" x14ac:dyDescent="0.15">
      <c r="A503" s="19">
        <v>225.02014</v>
      </c>
      <c r="B503" s="19">
        <v>231.5</v>
      </c>
      <c r="C503" s="19">
        <v>0.55728</v>
      </c>
      <c r="D503" s="19">
        <v>98.509799999999998</v>
      </c>
      <c r="E503" s="19">
        <v>20</v>
      </c>
      <c r="F503" s="19">
        <v>80</v>
      </c>
      <c r="G503" s="19">
        <v>1</v>
      </c>
      <c r="H503" s="16">
        <v>4</v>
      </c>
    </row>
    <row r="504" spans="1:8" x14ac:dyDescent="0.15">
      <c r="A504" s="19">
        <v>225.02081000000001</v>
      </c>
      <c r="B504" s="19">
        <v>232</v>
      </c>
      <c r="C504" s="19">
        <v>0.55805000000000005</v>
      </c>
      <c r="D504" s="19">
        <v>98.521889999999999</v>
      </c>
      <c r="E504" s="19">
        <v>20</v>
      </c>
      <c r="F504" s="19">
        <v>80</v>
      </c>
      <c r="G504" s="19">
        <v>1</v>
      </c>
      <c r="H504" s="16">
        <v>4</v>
      </c>
    </row>
    <row r="505" spans="1:8" x14ac:dyDescent="0.15">
      <c r="A505" s="19">
        <v>225.02074999999999</v>
      </c>
      <c r="B505" s="19">
        <v>232.5</v>
      </c>
      <c r="C505" s="19">
        <v>0.55813999999999997</v>
      </c>
      <c r="D505" s="19">
        <v>98.594480000000004</v>
      </c>
      <c r="E505" s="19">
        <v>20</v>
      </c>
      <c r="F505" s="19">
        <v>80</v>
      </c>
      <c r="G505" s="19">
        <v>1</v>
      </c>
      <c r="H505" s="16">
        <v>4</v>
      </c>
    </row>
    <row r="506" spans="1:8" x14ac:dyDescent="0.15">
      <c r="A506" s="19">
        <v>225.01965999999999</v>
      </c>
      <c r="B506" s="19">
        <v>233</v>
      </c>
      <c r="C506" s="19">
        <v>0.55817000000000005</v>
      </c>
      <c r="D506" s="19">
        <v>98.535319999999999</v>
      </c>
      <c r="E506" s="19">
        <v>20</v>
      </c>
      <c r="F506" s="19">
        <v>80</v>
      </c>
      <c r="G506" s="19">
        <v>1</v>
      </c>
      <c r="H506" s="16">
        <v>4</v>
      </c>
    </row>
    <row r="507" spans="1:8" x14ac:dyDescent="0.15">
      <c r="A507" s="19">
        <v>225.01849000000001</v>
      </c>
      <c r="B507" s="19">
        <v>233.5</v>
      </c>
      <c r="C507" s="19">
        <v>0.55691999999999997</v>
      </c>
      <c r="D507" s="19">
        <v>98.55789</v>
      </c>
      <c r="E507" s="19">
        <v>20</v>
      </c>
      <c r="F507" s="19">
        <v>80</v>
      </c>
      <c r="G507" s="19">
        <v>1</v>
      </c>
      <c r="H507" s="16">
        <v>4</v>
      </c>
    </row>
    <row r="508" spans="1:8" x14ac:dyDescent="0.15">
      <c r="A508" s="19">
        <v>225.01701</v>
      </c>
      <c r="B508" s="19">
        <v>234</v>
      </c>
      <c r="C508" s="19">
        <v>0.55818999999999996</v>
      </c>
      <c r="D508" s="19">
        <v>98.606880000000004</v>
      </c>
      <c r="E508" s="19">
        <v>20</v>
      </c>
      <c r="F508" s="19">
        <v>80</v>
      </c>
      <c r="G508" s="19">
        <v>1</v>
      </c>
      <c r="H508" s="16">
        <v>4</v>
      </c>
    </row>
    <row r="509" spans="1:8" x14ac:dyDescent="0.15">
      <c r="A509" s="19">
        <v>225.01705999999999</v>
      </c>
      <c r="B509" s="19">
        <v>234.5</v>
      </c>
      <c r="C509" s="19">
        <v>0.55874000000000001</v>
      </c>
      <c r="D509" s="19">
        <v>98.508970000000005</v>
      </c>
      <c r="E509" s="19">
        <v>20</v>
      </c>
      <c r="F509" s="19">
        <v>80</v>
      </c>
      <c r="G509" s="19">
        <v>1</v>
      </c>
      <c r="H509" s="16">
        <v>4</v>
      </c>
    </row>
    <row r="510" spans="1:8" x14ac:dyDescent="0.15">
      <c r="A510" s="19">
        <v>225.01784000000001</v>
      </c>
      <c r="B510" s="19">
        <v>235</v>
      </c>
      <c r="C510" s="19">
        <v>0.55855999999999995</v>
      </c>
      <c r="D510" s="19">
        <v>98.45523</v>
      </c>
      <c r="E510" s="19">
        <v>20</v>
      </c>
      <c r="F510" s="19">
        <v>80</v>
      </c>
      <c r="G510" s="19">
        <v>1</v>
      </c>
      <c r="H510" s="16">
        <v>4</v>
      </c>
    </row>
    <row r="511" spans="1:8" x14ac:dyDescent="0.15">
      <c r="A511" s="19">
        <v>225.01777999999999</v>
      </c>
      <c r="B511" s="19">
        <v>235.5</v>
      </c>
      <c r="C511" s="19">
        <v>0.55845</v>
      </c>
      <c r="D511" s="19">
        <v>98.543859999999995</v>
      </c>
      <c r="E511" s="19">
        <v>20</v>
      </c>
      <c r="F511" s="19">
        <v>80</v>
      </c>
      <c r="G511" s="19">
        <v>1</v>
      </c>
      <c r="H511" s="16">
        <v>4</v>
      </c>
    </row>
    <row r="512" spans="1:8" x14ac:dyDescent="0.15">
      <c r="A512" s="19">
        <v>225.02088000000001</v>
      </c>
      <c r="B512" s="19">
        <v>236</v>
      </c>
      <c r="C512" s="19">
        <v>0.55854000000000004</v>
      </c>
      <c r="D512" s="19">
        <v>98.487830000000002</v>
      </c>
      <c r="E512" s="19">
        <v>20</v>
      </c>
      <c r="F512" s="19">
        <v>80</v>
      </c>
      <c r="G512" s="19">
        <v>1</v>
      </c>
      <c r="H512" s="16">
        <v>4</v>
      </c>
    </row>
    <row r="513" spans="1:8" x14ac:dyDescent="0.15">
      <c r="A513" s="19">
        <v>225.02486999999999</v>
      </c>
      <c r="B513" s="19">
        <v>236.5</v>
      </c>
      <c r="C513" s="19">
        <v>0.55867</v>
      </c>
      <c r="D513" s="19">
        <v>98.626249999999999</v>
      </c>
      <c r="E513" s="19">
        <v>20</v>
      </c>
      <c r="F513" s="19">
        <v>80</v>
      </c>
      <c r="G513" s="19">
        <v>1</v>
      </c>
      <c r="H513" s="16">
        <v>4</v>
      </c>
    </row>
    <row r="514" spans="1:8" x14ac:dyDescent="0.15">
      <c r="A514" s="19">
        <v>225.02445</v>
      </c>
      <c r="B514" s="19">
        <v>237</v>
      </c>
      <c r="C514" s="19">
        <v>0.55779999999999996</v>
      </c>
      <c r="D514" s="19">
        <v>98.486329999999995</v>
      </c>
      <c r="E514" s="19">
        <v>20</v>
      </c>
      <c r="F514" s="19">
        <v>80</v>
      </c>
      <c r="G514" s="19">
        <v>1</v>
      </c>
      <c r="H514" s="16">
        <v>4</v>
      </c>
    </row>
    <row r="515" spans="1:8" x14ac:dyDescent="0.15">
      <c r="A515" s="19">
        <v>225.02382</v>
      </c>
      <c r="B515" s="19">
        <v>237.5</v>
      </c>
      <c r="C515" s="19">
        <v>0.55701999999999996</v>
      </c>
      <c r="D515" s="19">
        <v>98.506379999999993</v>
      </c>
      <c r="E515" s="19">
        <v>20</v>
      </c>
      <c r="F515" s="19">
        <v>80</v>
      </c>
      <c r="G515" s="19">
        <v>1</v>
      </c>
      <c r="H515" s="16">
        <v>4</v>
      </c>
    </row>
    <row r="516" spans="1:8" x14ac:dyDescent="0.15">
      <c r="A516" s="19">
        <v>225.02170000000001</v>
      </c>
      <c r="B516" s="19">
        <v>238</v>
      </c>
      <c r="C516" s="19">
        <v>0.55652000000000001</v>
      </c>
      <c r="D516" s="19">
        <v>98.513099999999994</v>
      </c>
      <c r="E516" s="19">
        <v>20</v>
      </c>
      <c r="F516" s="19">
        <v>80</v>
      </c>
      <c r="G516" s="19">
        <v>1</v>
      </c>
      <c r="H516" s="16">
        <v>4</v>
      </c>
    </row>
    <row r="517" spans="1:8" x14ac:dyDescent="0.15">
      <c r="A517" s="19">
        <v>225.01929999999999</v>
      </c>
      <c r="B517" s="19">
        <v>238.5</v>
      </c>
      <c r="C517" s="19">
        <v>0.55764000000000002</v>
      </c>
      <c r="D517" s="19">
        <v>98.4636</v>
      </c>
      <c r="E517" s="19">
        <v>20</v>
      </c>
      <c r="F517" s="19">
        <v>80</v>
      </c>
      <c r="G517" s="19">
        <v>1</v>
      </c>
      <c r="H517" s="16">
        <v>4</v>
      </c>
    </row>
    <row r="518" spans="1:8" x14ac:dyDescent="0.15">
      <c r="A518" s="19">
        <v>225.01918000000001</v>
      </c>
      <c r="B518" s="19">
        <v>239</v>
      </c>
      <c r="C518" s="19">
        <v>0.55623</v>
      </c>
      <c r="D518" s="19">
        <v>98.402760000000001</v>
      </c>
      <c r="E518" s="19">
        <v>20</v>
      </c>
      <c r="F518" s="19">
        <v>80</v>
      </c>
      <c r="G518" s="19">
        <v>1</v>
      </c>
      <c r="H518" s="16">
        <v>4</v>
      </c>
    </row>
    <row r="519" spans="1:8" x14ac:dyDescent="0.15">
      <c r="A519" s="19">
        <v>225.02241000000001</v>
      </c>
      <c r="B519" s="19">
        <v>239.5</v>
      </c>
      <c r="C519" s="19">
        <v>0.55618000000000001</v>
      </c>
      <c r="D519" s="19">
        <v>98.507189999999994</v>
      </c>
      <c r="E519" s="19">
        <v>20</v>
      </c>
      <c r="F519" s="19">
        <v>80</v>
      </c>
      <c r="G519" s="19">
        <v>1</v>
      </c>
      <c r="H519" s="16">
        <v>4</v>
      </c>
    </row>
    <row r="520" spans="1:8" x14ac:dyDescent="0.15">
      <c r="A520" s="19">
        <v>225.02179000000001</v>
      </c>
      <c r="B520" s="19">
        <v>240</v>
      </c>
      <c r="C520" s="19">
        <v>0.55608000000000002</v>
      </c>
      <c r="D520" s="19">
        <v>98.545419999999993</v>
      </c>
      <c r="E520" s="19">
        <v>20</v>
      </c>
      <c r="F520" s="19">
        <v>80</v>
      </c>
      <c r="G520" s="19">
        <v>1</v>
      </c>
      <c r="H520" s="16">
        <v>4</v>
      </c>
    </row>
    <row r="521" spans="1:8" x14ac:dyDescent="0.15">
      <c r="A521" s="19">
        <v>225.01786000000001</v>
      </c>
      <c r="B521" s="19">
        <v>240.5</v>
      </c>
      <c r="C521" s="19">
        <v>0.55684999999999996</v>
      </c>
      <c r="D521" s="19">
        <v>98.449659999999994</v>
      </c>
      <c r="E521" s="19">
        <v>20</v>
      </c>
      <c r="F521" s="19">
        <v>80</v>
      </c>
      <c r="G521" s="19">
        <v>1</v>
      </c>
      <c r="H521" s="16">
        <v>4</v>
      </c>
    </row>
    <row r="522" spans="1:8" x14ac:dyDescent="0.15">
      <c r="A522" s="19">
        <v>225.01563999999999</v>
      </c>
      <c r="B522" s="19">
        <v>241</v>
      </c>
      <c r="C522" s="19">
        <v>0.55491999999999997</v>
      </c>
      <c r="D522" s="19">
        <v>98.511870000000002</v>
      </c>
      <c r="E522" s="19">
        <v>20</v>
      </c>
      <c r="F522" s="19">
        <v>80</v>
      </c>
      <c r="G522" s="19">
        <v>1</v>
      </c>
      <c r="H522" s="16">
        <v>4</v>
      </c>
    </row>
    <row r="523" spans="1:8" x14ac:dyDescent="0.15">
      <c r="A523" s="19">
        <v>225.01614000000001</v>
      </c>
      <c r="B523" s="19">
        <v>241.5</v>
      </c>
      <c r="C523" s="19">
        <v>0.55591000000000002</v>
      </c>
      <c r="D523" s="19">
        <v>98.492140000000006</v>
      </c>
      <c r="E523" s="19">
        <v>20</v>
      </c>
      <c r="F523" s="19">
        <v>80</v>
      </c>
      <c r="G523" s="19">
        <v>1</v>
      </c>
      <c r="H523" s="16">
        <v>4</v>
      </c>
    </row>
    <row r="524" spans="1:8" x14ac:dyDescent="0.15">
      <c r="A524" s="19">
        <v>225.01402999999999</v>
      </c>
      <c r="B524" s="19">
        <v>242</v>
      </c>
      <c r="C524" s="19">
        <v>0.55622000000000005</v>
      </c>
      <c r="D524" s="19">
        <v>98.528720000000007</v>
      </c>
      <c r="E524" s="19">
        <v>20</v>
      </c>
      <c r="F524" s="19">
        <v>80</v>
      </c>
      <c r="G524" s="19">
        <v>1</v>
      </c>
      <c r="H524" s="16">
        <v>4</v>
      </c>
    </row>
    <row r="525" spans="1:8" x14ac:dyDescent="0.15">
      <c r="A525" s="19">
        <v>225.01438999999999</v>
      </c>
      <c r="B525" s="19">
        <v>242.5</v>
      </c>
      <c r="C525" s="19">
        <v>0.55679000000000001</v>
      </c>
      <c r="D525" s="19">
        <v>98.497540000000001</v>
      </c>
      <c r="E525" s="19">
        <v>20</v>
      </c>
      <c r="F525" s="19">
        <v>80</v>
      </c>
      <c r="G525" s="19">
        <v>1</v>
      </c>
      <c r="H525" s="16">
        <v>4</v>
      </c>
    </row>
    <row r="526" spans="1:8" x14ac:dyDescent="0.15">
      <c r="A526" s="19">
        <v>225.01177000000001</v>
      </c>
      <c r="B526" s="19">
        <v>243</v>
      </c>
      <c r="C526" s="19">
        <v>0.55669999999999997</v>
      </c>
      <c r="D526" s="19">
        <v>98.425640000000001</v>
      </c>
      <c r="E526" s="19">
        <v>20</v>
      </c>
      <c r="F526" s="19">
        <v>80</v>
      </c>
      <c r="G526" s="19">
        <v>1</v>
      </c>
      <c r="H526" s="16">
        <v>4</v>
      </c>
    </row>
    <row r="527" spans="1:8" x14ac:dyDescent="0.15">
      <c r="A527" s="19">
        <v>225.00927999999999</v>
      </c>
      <c r="B527" s="19">
        <v>243.5</v>
      </c>
      <c r="C527" s="19">
        <v>0.55591000000000002</v>
      </c>
      <c r="D527" s="19">
        <v>98.43074</v>
      </c>
      <c r="E527" s="19">
        <v>20</v>
      </c>
      <c r="F527" s="19">
        <v>80</v>
      </c>
      <c r="G527" s="19">
        <v>1</v>
      </c>
      <c r="H527" s="16">
        <v>4</v>
      </c>
    </row>
    <row r="528" spans="1:8" x14ac:dyDescent="0.15">
      <c r="A528" s="19">
        <v>225.01412999999999</v>
      </c>
      <c r="B528" s="19">
        <v>244</v>
      </c>
      <c r="C528" s="19">
        <v>0.55686999999999998</v>
      </c>
      <c r="D528" s="19">
        <v>98.426820000000006</v>
      </c>
      <c r="E528" s="19">
        <v>20</v>
      </c>
      <c r="F528" s="19">
        <v>80</v>
      </c>
      <c r="G528" s="19">
        <v>1</v>
      </c>
      <c r="H528" s="16">
        <v>4</v>
      </c>
    </row>
    <row r="529" spans="1:8" x14ac:dyDescent="0.15">
      <c r="A529" s="19">
        <v>225.01489000000001</v>
      </c>
      <c r="B529" s="19">
        <v>244.5</v>
      </c>
      <c r="C529" s="19">
        <v>0.55601999999999996</v>
      </c>
      <c r="D529" s="19">
        <v>98.486990000000006</v>
      </c>
      <c r="E529" s="19">
        <v>20</v>
      </c>
      <c r="F529" s="19">
        <v>80</v>
      </c>
      <c r="G529" s="19">
        <v>1</v>
      </c>
      <c r="H529" s="16">
        <v>4</v>
      </c>
    </row>
    <row r="530" spans="1:8" x14ac:dyDescent="0.15">
      <c r="A530" s="19">
        <v>225.01516000000001</v>
      </c>
      <c r="B530" s="19">
        <v>245</v>
      </c>
      <c r="C530" s="19">
        <v>0.55603999999999998</v>
      </c>
      <c r="D530" s="19">
        <v>98.404290000000003</v>
      </c>
      <c r="E530" s="19">
        <v>20</v>
      </c>
      <c r="F530" s="19">
        <v>80</v>
      </c>
      <c r="G530" s="19">
        <v>1</v>
      </c>
      <c r="H530" s="16">
        <v>4</v>
      </c>
    </row>
    <row r="531" spans="1:8" x14ac:dyDescent="0.15">
      <c r="A531" s="19">
        <v>225.01525000000001</v>
      </c>
      <c r="B531" s="19">
        <v>245.5</v>
      </c>
      <c r="C531" s="19">
        <v>0.55576999999999999</v>
      </c>
      <c r="D531" s="19">
        <v>98.468559999999997</v>
      </c>
      <c r="E531" s="19">
        <v>20</v>
      </c>
      <c r="F531" s="19">
        <v>80</v>
      </c>
      <c r="G531" s="19">
        <v>1</v>
      </c>
      <c r="H531" s="16">
        <v>4</v>
      </c>
    </row>
    <row r="532" spans="1:8" x14ac:dyDescent="0.15">
      <c r="A532" s="19">
        <v>225.01560000000001</v>
      </c>
      <c r="B532" s="19">
        <v>246</v>
      </c>
      <c r="C532" s="19">
        <v>0.55667999999999995</v>
      </c>
      <c r="D532" s="19">
        <v>98.502650000000003</v>
      </c>
      <c r="E532" s="19">
        <v>20</v>
      </c>
      <c r="F532" s="19">
        <v>80</v>
      </c>
      <c r="G532" s="19">
        <v>1</v>
      </c>
      <c r="H532" s="16">
        <v>4</v>
      </c>
    </row>
    <row r="533" spans="1:8" x14ac:dyDescent="0.15">
      <c r="A533" s="19">
        <v>225.01840999999999</v>
      </c>
      <c r="B533" s="19">
        <v>246.5</v>
      </c>
      <c r="C533" s="19">
        <v>0.55620000000000003</v>
      </c>
      <c r="D533" s="19">
        <v>98.366190000000003</v>
      </c>
      <c r="E533" s="19">
        <v>20</v>
      </c>
      <c r="F533" s="19">
        <v>80</v>
      </c>
      <c r="G533" s="19">
        <v>1</v>
      </c>
      <c r="H533" s="16">
        <v>4</v>
      </c>
    </row>
    <row r="534" spans="1:8" x14ac:dyDescent="0.15">
      <c r="A534" s="19">
        <v>225.01763</v>
      </c>
      <c r="B534" s="19">
        <v>247</v>
      </c>
      <c r="C534" s="19">
        <v>0.55530999999999997</v>
      </c>
      <c r="D534" s="19">
        <v>98.407309999999995</v>
      </c>
      <c r="E534" s="19">
        <v>20</v>
      </c>
      <c r="F534" s="19">
        <v>80</v>
      </c>
      <c r="G534" s="19">
        <v>1</v>
      </c>
      <c r="H534" s="16">
        <v>4</v>
      </c>
    </row>
    <row r="535" spans="1:8" x14ac:dyDescent="0.15">
      <c r="A535" s="19">
        <v>225.01560000000001</v>
      </c>
      <c r="B535" s="19">
        <v>247.5</v>
      </c>
      <c r="C535" s="19">
        <v>0.55315999999999999</v>
      </c>
      <c r="D535" s="19">
        <v>98.393439999999998</v>
      </c>
      <c r="E535" s="19">
        <v>20</v>
      </c>
      <c r="F535" s="19">
        <v>80</v>
      </c>
      <c r="G535" s="19">
        <v>1</v>
      </c>
      <c r="H535" s="16">
        <v>4</v>
      </c>
    </row>
    <row r="536" spans="1:8" x14ac:dyDescent="0.15">
      <c r="A536" s="19">
        <v>225.01649</v>
      </c>
      <c r="B536" s="19">
        <v>248</v>
      </c>
      <c r="C536" s="19">
        <v>0.55520999999999998</v>
      </c>
      <c r="D536" s="19">
        <v>98.46857</v>
      </c>
      <c r="E536" s="19">
        <v>20</v>
      </c>
      <c r="F536" s="19">
        <v>80</v>
      </c>
      <c r="G536" s="19">
        <v>1</v>
      </c>
      <c r="H536" s="16">
        <v>4</v>
      </c>
    </row>
    <row r="537" spans="1:8" x14ac:dyDescent="0.15">
      <c r="A537" s="19">
        <v>225.01453000000001</v>
      </c>
      <c r="B537" s="19">
        <v>248.5</v>
      </c>
      <c r="C537" s="19">
        <v>0.55508999999999997</v>
      </c>
      <c r="D537" s="19">
        <v>98.513530000000003</v>
      </c>
      <c r="E537" s="19">
        <v>20</v>
      </c>
      <c r="F537" s="19">
        <v>80</v>
      </c>
      <c r="G537" s="19">
        <v>1</v>
      </c>
      <c r="H537" s="16">
        <v>4</v>
      </c>
    </row>
    <row r="538" spans="1:8" x14ac:dyDescent="0.15">
      <c r="A538" s="19">
        <v>225.01634000000001</v>
      </c>
      <c r="B538" s="19">
        <v>249</v>
      </c>
      <c r="C538" s="19">
        <v>0.55608999999999997</v>
      </c>
      <c r="D538" s="19">
        <v>98.474260000000001</v>
      </c>
      <c r="E538" s="19">
        <v>20</v>
      </c>
      <c r="F538" s="19">
        <v>80</v>
      </c>
      <c r="G538" s="19">
        <v>1</v>
      </c>
      <c r="H538" s="16">
        <v>4</v>
      </c>
    </row>
    <row r="539" spans="1:8" x14ac:dyDescent="0.15">
      <c r="A539" s="19">
        <v>225.01702</v>
      </c>
      <c r="B539" s="19">
        <v>249.5</v>
      </c>
      <c r="C539" s="19">
        <v>0.55625999999999998</v>
      </c>
      <c r="D539" s="19">
        <v>98.478319999999997</v>
      </c>
      <c r="E539" s="19">
        <v>20</v>
      </c>
      <c r="F539" s="19">
        <v>80</v>
      </c>
      <c r="G539" s="19">
        <v>1</v>
      </c>
      <c r="H539" s="16">
        <v>4</v>
      </c>
    </row>
    <row r="540" spans="1:8" x14ac:dyDescent="0.15">
      <c r="A540" s="19">
        <v>225.01918000000001</v>
      </c>
      <c r="B540" s="19">
        <v>250</v>
      </c>
      <c r="C540" s="19">
        <v>0.55571999999999999</v>
      </c>
      <c r="D540" s="19">
        <v>98.285619999999994</v>
      </c>
      <c r="E540" s="19">
        <v>20</v>
      </c>
      <c r="F540" s="19">
        <v>80</v>
      </c>
      <c r="G540" s="19">
        <v>1</v>
      </c>
      <c r="H540" s="16">
        <v>4</v>
      </c>
    </row>
    <row r="541" spans="1:8" x14ac:dyDescent="0.15">
      <c r="A541" s="19">
        <v>225.01828</v>
      </c>
      <c r="B541" s="19">
        <v>250.5</v>
      </c>
      <c r="C541" s="19">
        <v>0.55589999999999995</v>
      </c>
      <c r="D541" s="19">
        <v>98.470029999999994</v>
      </c>
      <c r="E541" s="19">
        <v>20</v>
      </c>
      <c r="F541" s="19">
        <v>80</v>
      </c>
      <c r="G541" s="19">
        <v>1</v>
      </c>
      <c r="H541" s="16">
        <v>4</v>
      </c>
    </row>
    <row r="542" spans="1:8" x14ac:dyDescent="0.15">
      <c r="A542" s="19">
        <v>225.01636999999999</v>
      </c>
      <c r="B542" s="19">
        <v>251</v>
      </c>
      <c r="C542" s="19">
        <v>0.55503000000000002</v>
      </c>
      <c r="D542" s="19">
        <v>98.437430000000006</v>
      </c>
      <c r="E542" s="19">
        <v>20</v>
      </c>
      <c r="F542" s="19">
        <v>80</v>
      </c>
      <c r="G542" s="19">
        <v>1</v>
      </c>
      <c r="H542" s="16">
        <v>4</v>
      </c>
    </row>
    <row r="543" spans="1:8" x14ac:dyDescent="0.15">
      <c r="A543" s="19">
        <v>225.01861</v>
      </c>
      <c r="B543" s="19">
        <v>251.5</v>
      </c>
      <c r="C543" s="19">
        <v>0.55722000000000005</v>
      </c>
      <c r="D543" s="19">
        <v>98.555719999999994</v>
      </c>
      <c r="E543" s="19">
        <v>20</v>
      </c>
      <c r="F543" s="19">
        <v>80</v>
      </c>
      <c r="G543" s="19">
        <v>1</v>
      </c>
      <c r="H543" s="16">
        <v>4</v>
      </c>
    </row>
    <row r="544" spans="1:8" x14ac:dyDescent="0.15">
      <c r="A544" s="19">
        <v>225.01844</v>
      </c>
      <c r="B544" s="19">
        <v>252</v>
      </c>
      <c r="C544" s="19">
        <v>0.55547000000000002</v>
      </c>
      <c r="D544" s="19">
        <v>98.437780000000004</v>
      </c>
      <c r="E544" s="19">
        <v>20</v>
      </c>
      <c r="F544" s="19">
        <v>80</v>
      </c>
      <c r="G544" s="19">
        <v>1</v>
      </c>
      <c r="H544" s="16">
        <v>4</v>
      </c>
    </row>
    <row r="545" spans="1:8" x14ac:dyDescent="0.15">
      <c r="A545" s="19">
        <v>225.01604</v>
      </c>
      <c r="B545" s="19">
        <v>252.5</v>
      </c>
      <c r="C545" s="19">
        <v>0.55523</v>
      </c>
      <c r="D545" s="19">
        <v>98.473479999999995</v>
      </c>
      <c r="E545" s="19">
        <v>20</v>
      </c>
      <c r="F545" s="19">
        <v>80</v>
      </c>
      <c r="G545" s="19">
        <v>1</v>
      </c>
      <c r="H545" s="16">
        <v>4</v>
      </c>
    </row>
    <row r="546" spans="1:8" x14ac:dyDescent="0.15">
      <c r="A546" s="19">
        <v>225.01974999999999</v>
      </c>
      <c r="B546" s="19">
        <v>253</v>
      </c>
      <c r="C546" s="19">
        <v>0.55472999999999995</v>
      </c>
      <c r="D546" s="19">
        <v>98.317639999999997</v>
      </c>
      <c r="E546" s="19">
        <v>20</v>
      </c>
      <c r="F546" s="19">
        <v>80</v>
      </c>
      <c r="G546" s="19">
        <v>1</v>
      </c>
      <c r="H546" s="16">
        <v>4</v>
      </c>
    </row>
    <row r="547" spans="1:8" x14ac:dyDescent="0.15">
      <c r="A547" s="19">
        <v>225.02107000000001</v>
      </c>
      <c r="B547" s="19">
        <v>253.5</v>
      </c>
      <c r="C547" s="19">
        <v>0.55481000000000003</v>
      </c>
      <c r="D547" s="19">
        <v>98.376660000000001</v>
      </c>
      <c r="E547" s="19">
        <v>20</v>
      </c>
      <c r="F547" s="19">
        <v>80</v>
      </c>
      <c r="G547" s="19">
        <v>1</v>
      </c>
      <c r="H547" s="16">
        <v>4</v>
      </c>
    </row>
    <row r="548" spans="1:8" x14ac:dyDescent="0.15">
      <c r="A548" s="19">
        <v>225.01813000000001</v>
      </c>
      <c r="B548" s="19">
        <v>254</v>
      </c>
      <c r="C548" s="19">
        <v>0.55330999999999997</v>
      </c>
      <c r="D548" s="19">
        <v>98.449460000000002</v>
      </c>
      <c r="E548" s="19">
        <v>20</v>
      </c>
      <c r="F548" s="19">
        <v>80</v>
      </c>
      <c r="G548" s="19">
        <v>1</v>
      </c>
      <c r="H548" s="16">
        <v>4</v>
      </c>
    </row>
    <row r="549" spans="1:8" x14ac:dyDescent="0.15">
      <c r="A549" s="19">
        <v>225.01399000000001</v>
      </c>
      <c r="B549" s="19">
        <v>254.5</v>
      </c>
      <c r="C549" s="19">
        <v>0.55533999999999994</v>
      </c>
      <c r="D549" s="19">
        <v>98.384169999999997</v>
      </c>
      <c r="E549" s="19">
        <v>20</v>
      </c>
      <c r="F549" s="19">
        <v>80</v>
      </c>
      <c r="G549" s="19">
        <v>1</v>
      </c>
      <c r="H549" s="16">
        <v>4</v>
      </c>
    </row>
    <row r="550" spans="1:8" x14ac:dyDescent="0.15">
      <c r="A550" s="19">
        <v>225.01472999999999</v>
      </c>
      <c r="B550" s="19">
        <v>255</v>
      </c>
      <c r="C550" s="19">
        <v>0.55644000000000005</v>
      </c>
      <c r="D550" s="19">
        <v>98.396079999999998</v>
      </c>
      <c r="E550" s="19">
        <v>20</v>
      </c>
      <c r="F550" s="19">
        <v>80</v>
      </c>
      <c r="G550" s="19">
        <v>1</v>
      </c>
      <c r="H550" s="16">
        <v>4</v>
      </c>
    </row>
    <row r="551" spans="1:8" x14ac:dyDescent="0.15">
      <c r="A551" s="19">
        <v>225.01768999999999</v>
      </c>
      <c r="B551" s="19">
        <v>255.5</v>
      </c>
      <c r="C551" s="19">
        <v>0.55330999999999997</v>
      </c>
      <c r="D551" s="19">
        <v>98.407439999999994</v>
      </c>
      <c r="E551" s="19">
        <v>20</v>
      </c>
      <c r="F551" s="19">
        <v>80</v>
      </c>
      <c r="G551" s="19">
        <v>1</v>
      </c>
      <c r="H551" s="16">
        <v>4</v>
      </c>
    </row>
    <row r="552" spans="1:8" x14ac:dyDescent="0.15">
      <c r="A552" s="19">
        <v>225.02067</v>
      </c>
      <c r="B552" s="19">
        <v>256</v>
      </c>
      <c r="C552" s="19">
        <v>0.55347999999999997</v>
      </c>
      <c r="D552" s="19">
        <v>98.285560000000004</v>
      </c>
      <c r="E552" s="19">
        <v>20</v>
      </c>
      <c r="F552" s="19">
        <v>80</v>
      </c>
      <c r="G552" s="19">
        <v>1</v>
      </c>
      <c r="H552" s="16">
        <v>4</v>
      </c>
    </row>
    <row r="553" spans="1:8" x14ac:dyDescent="0.15">
      <c r="A553" s="19">
        <v>225.01729</v>
      </c>
      <c r="B553" s="19">
        <v>256.5</v>
      </c>
      <c r="C553" s="19">
        <v>0.55247999999999997</v>
      </c>
      <c r="D553" s="19">
        <v>98.336470000000006</v>
      </c>
      <c r="E553" s="19">
        <v>20</v>
      </c>
      <c r="F553" s="19">
        <v>80</v>
      </c>
      <c r="G553" s="19">
        <v>1</v>
      </c>
      <c r="H553" s="16">
        <v>4</v>
      </c>
    </row>
    <row r="554" spans="1:8" x14ac:dyDescent="0.15">
      <c r="A554" s="19">
        <v>225.0163</v>
      </c>
      <c r="B554" s="19">
        <v>257</v>
      </c>
      <c r="C554" s="19">
        <v>0.55279999999999996</v>
      </c>
      <c r="D554" s="19">
        <v>98.342280000000002</v>
      </c>
      <c r="E554" s="19">
        <v>20</v>
      </c>
      <c r="F554" s="19">
        <v>80</v>
      </c>
      <c r="G554" s="19">
        <v>1</v>
      </c>
      <c r="H554" s="16">
        <v>4</v>
      </c>
    </row>
    <row r="555" spans="1:8" x14ac:dyDescent="0.15">
      <c r="A555" s="19">
        <v>225.01419000000001</v>
      </c>
      <c r="B555" s="19">
        <v>257.5</v>
      </c>
      <c r="C555" s="19">
        <v>0.55242000000000002</v>
      </c>
      <c r="D555" s="19">
        <v>98.239450000000005</v>
      </c>
      <c r="E555" s="19">
        <v>20</v>
      </c>
      <c r="F555" s="19">
        <v>80</v>
      </c>
      <c r="G555" s="19">
        <v>1</v>
      </c>
      <c r="H555" s="16">
        <v>4</v>
      </c>
    </row>
    <row r="556" spans="1:8" x14ac:dyDescent="0.15">
      <c r="A556" s="19">
        <v>225.01293000000001</v>
      </c>
      <c r="B556" s="19">
        <v>258</v>
      </c>
      <c r="C556" s="19">
        <v>0.55223999999999995</v>
      </c>
      <c r="D556" s="19">
        <v>98.398219999999995</v>
      </c>
      <c r="E556" s="19">
        <v>20</v>
      </c>
      <c r="F556" s="19">
        <v>80</v>
      </c>
      <c r="G556" s="19">
        <v>1</v>
      </c>
      <c r="H556" s="16">
        <v>4</v>
      </c>
    </row>
    <row r="557" spans="1:8" x14ac:dyDescent="0.15">
      <c r="A557" s="19">
        <v>225.01291000000001</v>
      </c>
      <c r="B557" s="19">
        <v>258.5</v>
      </c>
      <c r="C557" s="19">
        <v>0.55298000000000003</v>
      </c>
      <c r="D557" s="19">
        <v>98.307860000000005</v>
      </c>
      <c r="E557" s="19">
        <v>20</v>
      </c>
      <c r="F557" s="19">
        <v>80</v>
      </c>
      <c r="G557" s="19">
        <v>1</v>
      </c>
      <c r="H557" s="16">
        <v>4</v>
      </c>
    </row>
    <row r="558" spans="1:8" x14ac:dyDescent="0.15">
      <c r="A558" s="19">
        <v>225.01330999999999</v>
      </c>
      <c r="B558" s="19">
        <v>259</v>
      </c>
      <c r="C558" s="19">
        <v>0.55362</v>
      </c>
      <c r="D558" s="19">
        <v>98.32884</v>
      </c>
      <c r="E558" s="19">
        <v>20</v>
      </c>
      <c r="F558" s="19">
        <v>80</v>
      </c>
      <c r="G558" s="19">
        <v>1</v>
      </c>
      <c r="H558" s="16">
        <v>4</v>
      </c>
    </row>
    <row r="559" spans="1:8" x14ac:dyDescent="0.15">
      <c r="A559" s="19">
        <v>225.01588000000001</v>
      </c>
      <c r="B559" s="19">
        <v>259.5</v>
      </c>
      <c r="C559" s="19">
        <v>0.55259000000000003</v>
      </c>
      <c r="D559" s="19">
        <v>98.406710000000004</v>
      </c>
      <c r="E559" s="19">
        <v>20</v>
      </c>
      <c r="F559" s="19">
        <v>80</v>
      </c>
      <c r="G559" s="19">
        <v>1</v>
      </c>
      <c r="H559" s="16">
        <v>4</v>
      </c>
    </row>
    <row r="560" spans="1:8" x14ac:dyDescent="0.15">
      <c r="A560" s="19">
        <v>225.01772</v>
      </c>
      <c r="B560" s="19">
        <v>260</v>
      </c>
      <c r="C560" s="19">
        <v>0.55423999999999995</v>
      </c>
      <c r="D560" s="19">
        <v>98.31465</v>
      </c>
      <c r="E560" s="19">
        <v>20</v>
      </c>
      <c r="F560" s="19">
        <v>80</v>
      </c>
      <c r="G560" s="19">
        <v>1</v>
      </c>
      <c r="H560" s="16">
        <v>4</v>
      </c>
    </row>
    <row r="561" spans="1:8" x14ac:dyDescent="0.15">
      <c r="A561" s="19">
        <v>225.0129</v>
      </c>
      <c r="B561" s="19">
        <v>260.5</v>
      </c>
      <c r="C561" s="19">
        <v>0.55259999999999998</v>
      </c>
      <c r="D561" s="19">
        <v>98.268180000000001</v>
      </c>
      <c r="E561" s="19">
        <v>20</v>
      </c>
      <c r="F561" s="19">
        <v>80</v>
      </c>
      <c r="G561" s="19">
        <v>1</v>
      </c>
      <c r="H561" s="16">
        <v>4</v>
      </c>
    </row>
    <row r="562" spans="1:8" x14ac:dyDescent="0.15">
      <c r="A562" s="19">
        <v>225.01485</v>
      </c>
      <c r="B562" s="19">
        <v>261</v>
      </c>
      <c r="C562" s="19">
        <v>0.55437999999999998</v>
      </c>
      <c r="D562" s="19">
        <v>98.403390000000002</v>
      </c>
      <c r="E562" s="19">
        <v>20</v>
      </c>
      <c r="F562" s="19">
        <v>80</v>
      </c>
      <c r="G562" s="19">
        <v>1</v>
      </c>
      <c r="H562" s="16">
        <v>4</v>
      </c>
    </row>
    <row r="563" spans="1:8" x14ac:dyDescent="0.15">
      <c r="A563" s="19">
        <v>225.01676</v>
      </c>
      <c r="B563" s="19">
        <v>261.5</v>
      </c>
      <c r="C563" s="19">
        <v>0.55427000000000004</v>
      </c>
      <c r="D563" s="19">
        <v>98.348389999999995</v>
      </c>
      <c r="E563" s="19">
        <v>20</v>
      </c>
      <c r="F563" s="19">
        <v>80</v>
      </c>
      <c r="G563" s="19">
        <v>1</v>
      </c>
      <c r="H563" s="16">
        <v>4</v>
      </c>
    </row>
    <row r="564" spans="1:8" x14ac:dyDescent="0.15">
      <c r="A564" s="19">
        <v>225.01644999999999</v>
      </c>
      <c r="B564" s="19">
        <v>262</v>
      </c>
      <c r="C564" s="19">
        <v>0.55317000000000005</v>
      </c>
      <c r="D564" s="19">
        <v>98.359840000000005</v>
      </c>
      <c r="E564" s="19">
        <v>20</v>
      </c>
      <c r="F564" s="19">
        <v>80</v>
      </c>
      <c r="G564" s="19">
        <v>1</v>
      </c>
      <c r="H564" s="16">
        <v>4</v>
      </c>
    </row>
    <row r="565" spans="1:8" x14ac:dyDescent="0.15">
      <c r="A565" s="19">
        <v>225.01824999999999</v>
      </c>
      <c r="B565" s="19">
        <v>262.5</v>
      </c>
      <c r="C565" s="19">
        <v>0.55239000000000005</v>
      </c>
      <c r="D565" s="19">
        <v>98.27749</v>
      </c>
      <c r="E565" s="19">
        <v>20</v>
      </c>
      <c r="F565" s="19">
        <v>80</v>
      </c>
      <c r="G565" s="19">
        <v>1</v>
      </c>
      <c r="H565" s="16">
        <v>4</v>
      </c>
    </row>
    <row r="566" spans="1:8" x14ac:dyDescent="0.15">
      <c r="A566" s="19">
        <v>225.01924</v>
      </c>
      <c r="B566" s="19">
        <v>263</v>
      </c>
      <c r="C566" s="19">
        <v>0.55362</v>
      </c>
      <c r="D566" s="19">
        <v>98.30162</v>
      </c>
      <c r="E566" s="19">
        <v>20</v>
      </c>
      <c r="F566" s="19">
        <v>80</v>
      </c>
      <c r="G566" s="19">
        <v>1</v>
      </c>
      <c r="H566" s="16">
        <v>4</v>
      </c>
    </row>
    <row r="567" spans="1:8" x14ac:dyDescent="0.15">
      <c r="A567" s="19">
        <v>225.02016</v>
      </c>
      <c r="B567" s="19">
        <v>263.5</v>
      </c>
      <c r="C567" s="19">
        <v>0.55293999999999999</v>
      </c>
      <c r="D567" s="19">
        <v>98.397980000000004</v>
      </c>
      <c r="E567" s="19">
        <v>20</v>
      </c>
      <c r="F567" s="19">
        <v>80</v>
      </c>
      <c r="G567" s="19">
        <v>1</v>
      </c>
      <c r="H567" s="16">
        <v>4</v>
      </c>
    </row>
    <row r="568" spans="1:8" x14ac:dyDescent="0.15">
      <c r="A568" s="19">
        <v>225.01963000000001</v>
      </c>
      <c r="B568" s="19">
        <v>264</v>
      </c>
      <c r="C568" s="19">
        <v>0.55156000000000005</v>
      </c>
      <c r="D568" s="19">
        <v>98.317009999999996</v>
      </c>
      <c r="E568" s="19">
        <v>20</v>
      </c>
      <c r="F568" s="19">
        <v>80</v>
      </c>
      <c r="G568" s="19">
        <v>1</v>
      </c>
      <c r="H568" s="16">
        <v>4</v>
      </c>
    </row>
    <row r="569" spans="1:8" x14ac:dyDescent="0.15">
      <c r="A569" s="19">
        <v>225.01702</v>
      </c>
      <c r="B569" s="19">
        <v>264.5</v>
      </c>
      <c r="C569" s="19">
        <v>0.55196999999999996</v>
      </c>
      <c r="D569" s="19">
        <v>98.318240000000003</v>
      </c>
      <c r="E569" s="19">
        <v>20</v>
      </c>
      <c r="F569" s="19">
        <v>80</v>
      </c>
      <c r="G569" s="19">
        <v>1</v>
      </c>
      <c r="H569" s="16">
        <v>4</v>
      </c>
    </row>
    <row r="570" spans="1:8" x14ac:dyDescent="0.15">
      <c r="A570" s="19">
        <v>225.01438999999999</v>
      </c>
      <c r="B570" s="19">
        <v>265</v>
      </c>
      <c r="C570" s="19">
        <v>0.55181999999999998</v>
      </c>
      <c r="D570" s="19">
        <v>98.264769999999999</v>
      </c>
      <c r="E570" s="19">
        <v>20</v>
      </c>
      <c r="F570" s="19">
        <v>80</v>
      </c>
      <c r="G570" s="19">
        <v>1</v>
      </c>
      <c r="H570" s="16">
        <v>4</v>
      </c>
    </row>
    <row r="571" spans="1:8" x14ac:dyDescent="0.15">
      <c r="A571" s="19">
        <v>225.01451</v>
      </c>
      <c r="B571" s="19">
        <v>265.5</v>
      </c>
      <c r="C571" s="19">
        <v>0.55232999999999999</v>
      </c>
      <c r="D571" s="19">
        <v>98.357799999999997</v>
      </c>
      <c r="E571" s="19">
        <v>20</v>
      </c>
      <c r="F571" s="19">
        <v>80</v>
      </c>
      <c r="G571" s="19">
        <v>1</v>
      </c>
      <c r="H571" s="16">
        <v>4</v>
      </c>
    </row>
    <row r="572" spans="1:8" x14ac:dyDescent="0.15">
      <c r="A572" s="19">
        <v>225.01957999999999</v>
      </c>
      <c r="B572" s="19">
        <v>266</v>
      </c>
      <c r="C572" s="19">
        <v>0.55147000000000002</v>
      </c>
      <c r="D572" s="19">
        <v>98.340699999999998</v>
      </c>
      <c r="E572" s="19">
        <v>20</v>
      </c>
      <c r="F572" s="19">
        <v>80</v>
      </c>
      <c r="G572" s="19">
        <v>1</v>
      </c>
      <c r="H572" s="16">
        <v>4</v>
      </c>
    </row>
    <row r="573" spans="1:8" x14ac:dyDescent="0.15">
      <c r="A573" s="19">
        <v>225.02127999999999</v>
      </c>
      <c r="B573" s="19">
        <v>266.5</v>
      </c>
      <c r="C573" s="19">
        <v>0.55095000000000005</v>
      </c>
      <c r="D573" s="19">
        <v>98.343249999999998</v>
      </c>
      <c r="E573" s="19">
        <v>20</v>
      </c>
      <c r="F573" s="19">
        <v>80</v>
      </c>
      <c r="G573" s="19">
        <v>1</v>
      </c>
      <c r="H573" s="16">
        <v>4</v>
      </c>
    </row>
    <row r="574" spans="1:8" x14ac:dyDescent="0.15">
      <c r="A574" s="19">
        <v>225.01719</v>
      </c>
      <c r="B574" s="19">
        <v>267</v>
      </c>
      <c r="C574" s="19">
        <v>0.55057</v>
      </c>
      <c r="D574" s="19">
        <v>98.414069999999995</v>
      </c>
      <c r="E574" s="19">
        <v>20</v>
      </c>
      <c r="F574" s="19">
        <v>80</v>
      </c>
      <c r="G574" s="19">
        <v>1</v>
      </c>
      <c r="H574" s="16">
        <v>4</v>
      </c>
    </row>
    <row r="575" spans="1:8" x14ac:dyDescent="0.15">
      <c r="A575" s="19">
        <v>225.02072999999999</v>
      </c>
      <c r="B575" s="19">
        <v>267.5</v>
      </c>
      <c r="C575" s="19">
        <v>0.55152999999999996</v>
      </c>
      <c r="D575" s="19">
        <v>98.350080000000005</v>
      </c>
      <c r="E575" s="19">
        <v>20</v>
      </c>
      <c r="F575" s="19">
        <v>80</v>
      </c>
      <c r="G575" s="19">
        <v>1</v>
      </c>
      <c r="H575" s="16">
        <v>4</v>
      </c>
    </row>
    <row r="576" spans="1:8" x14ac:dyDescent="0.15">
      <c r="A576" s="19">
        <v>225.02472</v>
      </c>
      <c r="B576" s="19">
        <v>268</v>
      </c>
      <c r="C576" s="19">
        <v>0.55225999999999997</v>
      </c>
      <c r="D576" s="19">
        <v>98.336330000000004</v>
      </c>
      <c r="E576" s="19">
        <v>20</v>
      </c>
      <c r="F576" s="19">
        <v>80</v>
      </c>
      <c r="G576" s="19">
        <v>1</v>
      </c>
      <c r="H576" s="16">
        <v>4</v>
      </c>
    </row>
    <row r="577" spans="1:8" x14ac:dyDescent="0.15">
      <c r="A577" s="19">
        <v>225.02239</v>
      </c>
      <c r="B577" s="19">
        <v>268.5</v>
      </c>
      <c r="C577" s="19">
        <v>0.55149000000000004</v>
      </c>
      <c r="D577" s="19">
        <v>98.439170000000004</v>
      </c>
      <c r="E577" s="19">
        <v>20</v>
      </c>
      <c r="F577" s="19">
        <v>80</v>
      </c>
      <c r="G577" s="19">
        <v>1</v>
      </c>
      <c r="H577" s="16">
        <v>4</v>
      </c>
    </row>
    <row r="578" spans="1:8" x14ac:dyDescent="0.15">
      <c r="A578" s="19">
        <v>225.02718999999999</v>
      </c>
      <c r="B578" s="19">
        <v>269</v>
      </c>
      <c r="C578" s="19">
        <v>0.55103000000000002</v>
      </c>
      <c r="D578" s="19">
        <v>98.196389999999994</v>
      </c>
      <c r="E578" s="19">
        <v>20</v>
      </c>
      <c r="F578" s="19">
        <v>80</v>
      </c>
      <c r="G578" s="19">
        <v>1</v>
      </c>
      <c r="H578" s="16">
        <v>4</v>
      </c>
    </row>
    <row r="579" spans="1:8" x14ac:dyDescent="0.15">
      <c r="A579" s="19">
        <v>225.03036</v>
      </c>
      <c r="B579" s="19">
        <v>269.5</v>
      </c>
      <c r="C579" s="19">
        <v>0.55169000000000001</v>
      </c>
      <c r="D579" s="19">
        <v>98.220309999999998</v>
      </c>
      <c r="E579" s="19">
        <v>20</v>
      </c>
      <c r="F579" s="19">
        <v>80</v>
      </c>
      <c r="G579" s="19">
        <v>1</v>
      </c>
      <c r="H579" s="16">
        <v>4</v>
      </c>
    </row>
    <row r="580" spans="1:8" x14ac:dyDescent="0.15">
      <c r="A580" s="19">
        <v>225.02762999999999</v>
      </c>
      <c r="B580" s="19">
        <v>270</v>
      </c>
      <c r="C580" s="19">
        <v>0.54925000000000002</v>
      </c>
      <c r="D580" s="19">
        <v>98.292100000000005</v>
      </c>
      <c r="E580" s="19">
        <v>20</v>
      </c>
      <c r="F580" s="19">
        <v>80</v>
      </c>
      <c r="G580" s="19">
        <v>1</v>
      </c>
      <c r="H580" s="16">
        <v>4</v>
      </c>
    </row>
    <row r="581" spans="1:8" x14ac:dyDescent="0.15">
      <c r="A581" s="19">
        <v>225.02626000000001</v>
      </c>
      <c r="B581" s="19">
        <v>270.5</v>
      </c>
      <c r="C581" s="19">
        <v>0.54874999999999996</v>
      </c>
      <c r="D581" s="19">
        <v>98.292029999999997</v>
      </c>
      <c r="E581" s="19">
        <v>20</v>
      </c>
      <c r="F581" s="19">
        <v>80</v>
      </c>
      <c r="G581" s="19">
        <v>1</v>
      </c>
      <c r="H581" s="16">
        <v>4</v>
      </c>
    </row>
    <row r="582" spans="1:8" x14ac:dyDescent="0.15">
      <c r="A582" s="19">
        <v>225.02280999999999</v>
      </c>
      <c r="B582" s="19">
        <v>271</v>
      </c>
      <c r="C582" s="19">
        <v>0.55073000000000005</v>
      </c>
      <c r="D582" s="19">
        <v>98.246709999999993</v>
      </c>
      <c r="E582" s="19">
        <v>20</v>
      </c>
      <c r="F582" s="19">
        <v>80</v>
      </c>
      <c r="G582" s="19">
        <v>1</v>
      </c>
      <c r="H582" s="16">
        <v>4</v>
      </c>
    </row>
    <row r="583" spans="1:8" x14ac:dyDescent="0.15">
      <c r="A583" s="19">
        <v>225.01482999999999</v>
      </c>
      <c r="B583" s="19">
        <v>271.5</v>
      </c>
      <c r="C583" s="19">
        <v>0.55037999999999998</v>
      </c>
      <c r="D583" s="19">
        <v>98.295490000000001</v>
      </c>
      <c r="E583" s="19">
        <v>20</v>
      </c>
      <c r="F583" s="19">
        <v>80</v>
      </c>
      <c r="G583" s="19">
        <v>1</v>
      </c>
      <c r="H583" s="16">
        <v>4</v>
      </c>
    </row>
    <row r="584" spans="1:8" x14ac:dyDescent="0.15">
      <c r="A584" s="19">
        <v>225.01320000000001</v>
      </c>
      <c r="B584" s="19">
        <v>272</v>
      </c>
      <c r="C584" s="19">
        <v>0.54974999999999996</v>
      </c>
      <c r="D584" s="19">
        <v>98.29374</v>
      </c>
      <c r="E584" s="19">
        <v>20</v>
      </c>
      <c r="F584" s="19">
        <v>80</v>
      </c>
      <c r="G584" s="19">
        <v>1</v>
      </c>
      <c r="H584" s="16">
        <v>4</v>
      </c>
    </row>
    <row r="585" spans="1:8" x14ac:dyDescent="0.15">
      <c r="A585" s="19">
        <v>225.01456999999999</v>
      </c>
      <c r="B585" s="19">
        <v>272.5</v>
      </c>
      <c r="C585" s="19">
        <v>0.55064999999999997</v>
      </c>
      <c r="D585" s="19">
        <v>98.334000000000003</v>
      </c>
      <c r="E585" s="19">
        <v>20</v>
      </c>
      <c r="F585" s="19">
        <v>80</v>
      </c>
      <c r="G585" s="19">
        <v>1</v>
      </c>
      <c r="H585" s="16">
        <v>4</v>
      </c>
    </row>
    <row r="586" spans="1:8" x14ac:dyDescent="0.15">
      <c r="A586" s="19">
        <v>225.01333</v>
      </c>
      <c r="B586" s="19">
        <v>273</v>
      </c>
      <c r="C586" s="19">
        <v>0.54937000000000002</v>
      </c>
      <c r="D586" s="19">
        <v>98.312479999999994</v>
      </c>
      <c r="E586" s="19">
        <v>20</v>
      </c>
      <c r="F586" s="19">
        <v>80</v>
      </c>
      <c r="G586" s="19">
        <v>1</v>
      </c>
      <c r="H586" s="16">
        <v>4</v>
      </c>
    </row>
    <row r="587" spans="1:8" x14ac:dyDescent="0.15">
      <c r="A587" s="19">
        <v>225.00988000000001</v>
      </c>
      <c r="B587" s="19">
        <v>273.5</v>
      </c>
      <c r="C587" s="19">
        <v>0.55034000000000005</v>
      </c>
      <c r="D587" s="19">
        <v>98.215310000000002</v>
      </c>
      <c r="E587" s="19">
        <v>20</v>
      </c>
      <c r="F587" s="19">
        <v>80</v>
      </c>
      <c r="G587" s="19">
        <v>1</v>
      </c>
      <c r="H587" s="16">
        <v>4</v>
      </c>
    </row>
    <row r="588" spans="1:8" x14ac:dyDescent="0.15">
      <c r="A588" s="19">
        <v>225.01111</v>
      </c>
      <c r="B588" s="19">
        <v>274</v>
      </c>
      <c r="C588" s="19">
        <v>0.54879</v>
      </c>
      <c r="D588" s="19">
        <v>98.130859999999998</v>
      </c>
      <c r="E588" s="19">
        <v>20</v>
      </c>
      <c r="F588" s="19">
        <v>80</v>
      </c>
      <c r="G588" s="19">
        <v>1</v>
      </c>
      <c r="H588" s="16">
        <v>4</v>
      </c>
    </row>
    <row r="589" spans="1:8" x14ac:dyDescent="0.15">
      <c r="A589" s="19">
        <v>225.01365000000001</v>
      </c>
      <c r="B589" s="19">
        <v>274.5</v>
      </c>
      <c r="C589" s="19">
        <v>0.54944000000000004</v>
      </c>
      <c r="D589" s="19">
        <v>98.236050000000006</v>
      </c>
      <c r="E589" s="19">
        <v>20</v>
      </c>
      <c r="F589" s="19">
        <v>80</v>
      </c>
      <c r="G589" s="19">
        <v>1</v>
      </c>
      <c r="H589" s="16">
        <v>4</v>
      </c>
    </row>
    <row r="590" spans="1:8" x14ac:dyDescent="0.15">
      <c r="A590" s="19">
        <v>225.01267000000001</v>
      </c>
      <c r="B590" s="19">
        <v>275</v>
      </c>
      <c r="C590" s="19">
        <v>0.54810000000000003</v>
      </c>
      <c r="D590" s="19">
        <v>98.176950000000005</v>
      </c>
      <c r="E590" s="19">
        <v>20</v>
      </c>
      <c r="F590" s="19">
        <v>80</v>
      </c>
      <c r="G590" s="19">
        <v>1</v>
      </c>
      <c r="H590" s="16">
        <v>4</v>
      </c>
    </row>
    <row r="591" spans="1:8" x14ac:dyDescent="0.15">
      <c r="A591" s="19">
        <v>225.01481999999999</v>
      </c>
      <c r="B591" s="19">
        <v>275.5</v>
      </c>
      <c r="C591" s="19">
        <v>0.54986999999999997</v>
      </c>
      <c r="D591" s="19">
        <v>98.267870000000002</v>
      </c>
      <c r="E591" s="19">
        <v>20</v>
      </c>
      <c r="F591" s="19">
        <v>80</v>
      </c>
      <c r="G591" s="19">
        <v>1</v>
      </c>
      <c r="H591" s="16">
        <v>4</v>
      </c>
    </row>
    <row r="592" spans="1:8" x14ac:dyDescent="0.15">
      <c r="A592" s="19">
        <v>225.01921999999999</v>
      </c>
      <c r="B592" s="19">
        <v>276</v>
      </c>
      <c r="C592" s="19">
        <v>0.55025999999999997</v>
      </c>
      <c r="D592" s="19">
        <v>98.195999999999998</v>
      </c>
      <c r="E592" s="19">
        <v>20</v>
      </c>
      <c r="F592" s="19">
        <v>80</v>
      </c>
      <c r="G592" s="19">
        <v>1</v>
      </c>
      <c r="H592" s="16">
        <v>4</v>
      </c>
    </row>
    <row r="593" spans="1:8" x14ac:dyDescent="0.15">
      <c r="A593" s="19">
        <v>225.02279999999999</v>
      </c>
      <c r="B593" s="19">
        <v>276.5</v>
      </c>
      <c r="C593" s="19">
        <v>0.54905000000000004</v>
      </c>
      <c r="D593" s="19">
        <v>98.147069999999999</v>
      </c>
      <c r="E593" s="19">
        <v>20</v>
      </c>
      <c r="F593" s="19">
        <v>80</v>
      </c>
      <c r="G593" s="19">
        <v>1</v>
      </c>
      <c r="H593" s="16">
        <v>4</v>
      </c>
    </row>
    <row r="594" spans="1:8" x14ac:dyDescent="0.15">
      <c r="A594" s="19">
        <v>225.02153000000001</v>
      </c>
      <c r="B594" s="19">
        <v>277</v>
      </c>
      <c r="C594" s="19">
        <v>0.54912000000000005</v>
      </c>
      <c r="D594" s="19">
        <v>98.335480000000004</v>
      </c>
      <c r="E594" s="19">
        <v>20</v>
      </c>
      <c r="F594" s="19">
        <v>80</v>
      </c>
      <c r="G594" s="19">
        <v>1</v>
      </c>
      <c r="H594" s="16">
        <v>4</v>
      </c>
    </row>
    <row r="595" spans="1:8" x14ac:dyDescent="0.15">
      <c r="A595" s="19">
        <v>225.0239</v>
      </c>
      <c r="B595" s="19">
        <v>277.5</v>
      </c>
      <c r="C595" s="19">
        <v>0.54991000000000001</v>
      </c>
      <c r="D595" s="19">
        <v>98.190849999999998</v>
      </c>
      <c r="E595" s="19">
        <v>20</v>
      </c>
      <c r="F595" s="19">
        <v>80</v>
      </c>
      <c r="G595" s="19">
        <v>1</v>
      </c>
      <c r="H595" s="16">
        <v>4</v>
      </c>
    </row>
    <row r="596" spans="1:8" x14ac:dyDescent="0.15">
      <c r="A596" s="19">
        <v>225.02368999999999</v>
      </c>
      <c r="B596" s="19">
        <v>278</v>
      </c>
      <c r="C596" s="19">
        <v>0.54859999999999998</v>
      </c>
      <c r="D596" s="19">
        <v>98.200029999999998</v>
      </c>
      <c r="E596" s="19">
        <v>20</v>
      </c>
      <c r="F596" s="19">
        <v>80</v>
      </c>
      <c r="G596" s="19">
        <v>1</v>
      </c>
      <c r="H596" s="16">
        <v>4</v>
      </c>
    </row>
    <row r="597" spans="1:8" x14ac:dyDescent="0.15">
      <c r="A597" s="19">
        <v>225.01848000000001</v>
      </c>
      <c r="B597" s="19">
        <v>278.5</v>
      </c>
      <c r="C597" s="19">
        <v>0.54915999999999998</v>
      </c>
      <c r="D597" s="19">
        <v>98.248440000000002</v>
      </c>
      <c r="E597" s="19">
        <v>20</v>
      </c>
      <c r="F597" s="19">
        <v>80</v>
      </c>
      <c r="G597" s="19">
        <v>1</v>
      </c>
      <c r="H597" s="16">
        <v>4</v>
      </c>
    </row>
    <row r="598" spans="1:8" x14ac:dyDescent="0.15">
      <c r="A598" s="19">
        <v>225.01435000000001</v>
      </c>
      <c r="B598" s="19">
        <v>279</v>
      </c>
      <c r="C598" s="19">
        <v>0.54788999999999999</v>
      </c>
      <c r="D598" s="19">
        <v>98.312629999999999</v>
      </c>
      <c r="E598" s="19">
        <v>20</v>
      </c>
      <c r="F598" s="19">
        <v>80</v>
      </c>
      <c r="G598" s="19">
        <v>1</v>
      </c>
      <c r="H598" s="16">
        <v>4</v>
      </c>
    </row>
    <row r="599" spans="1:8" x14ac:dyDescent="0.15">
      <c r="A599" s="19">
        <v>225.01974000000001</v>
      </c>
      <c r="B599" s="19">
        <v>279.5</v>
      </c>
      <c r="C599" s="19">
        <v>0.55022000000000004</v>
      </c>
      <c r="D599" s="19">
        <v>98.233919999999998</v>
      </c>
      <c r="E599" s="19">
        <v>20</v>
      </c>
      <c r="F599" s="19">
        <v>80</v>
      </c>
      <c r="G599" s="19">
        <v>1</v>
      </c>
      <c r="H599" s="16">
        <v>4</v>
      </c>
    </row>
    <row r="600" spans="1:8" x14ac:dyDescent="0.15">
      <c r="A600" s="19">
        <v>225.02108999999999</v>
      </c>
      <c r="B600" s="19">
        <v>280</v>
      </c>
      <c r="C600" s="19">
        <v>0.54910999999999999</v>
      </c>
      <c r="D600" s="19">
        <v>98.093289999999996</v>
      </c>
      <c r="E600" s="19">
        <v>20</v>
      </c>
      <c r="F600" s="19">
        <v>80</v>
      </c>
      <c r="G600" s="19">
        <v>1</v>
      </c>
      <c r="H600" s="16">
        <v>4</v>
      </c>
    </row>
    <row r="601" spans="1:8" x14ac:dyDescent="0.15">
      <c r="A601" s="19">
        <v>225.01820000000001</v>
      </c>
      <c r="B601" s="19">
        <v>280.5</v>
      </c>
      <c r="C601" s="19">
        <v>0.54840999999999995</v>
      </c>
      <c r="D601" s="19">
        <v>98.208449999999999</v>
      </c>
      <c r="E601" s="19">
        <v>20</v>
      </c>
      <c r="F601" s="19">
        <v>80</v>
      </c>
      <c r="G601" s="19">
        <v>1</v>
      </c>
      <c r="H601" s="16">
        <v>4</v>
      </c>
    </row>
    <row r="602" spans="1:8" x14ac:dyDescent="0.15">
      <c r="A602" s="19">
        <v>225.0154</v>
      </c>
      <c r="B602" s="19">
        <v>281</v>
      </c>
      <c r="C602" s="19">
        <v>0.5454</v>
      </c>
      <c r="D602" s="19">
        <v>98.288780000000003</v>
      </c>
      <c r="E602" s="19">
        <v>20</v>
      </c>
      <c r="F602" s="19">
        <v>80</v>
      </c>
      <c r="G602" s="19">
        <v>1</v>
      </c>
      <c r="H602" s="16">
        <v>4</v>
      </c>
    </row>
    <row r="603" spans="1:8" x14ac:dyDescent="0.15">
      <c r="A603" s="19">
        <v>225.01275999999999</v>
      </c>
      <c r="B603" s="19">
        <v>281.5</v>
      </c>
      <c r="C603" s="19">
        <v>0.54559000000000002</v>
      </c>
      <c r="D603" s="19">
        <v>98.194550000000007</v>
      </c>
      <c r="E603" s="19">
        <v>20</v>
      </c>
      <c r="F603" s="19">
        <v>80</v>
      </c>
      <c r="G603" s="19">
        <v>1</v>
      </c>
      <c r="H603" s="16">
        <v>4</v>
      </c>
    </row>
    <row r="604" spans="1:8" x14ac:dyDescent="0.15">
      <c r="A604" s="19">
        <v>225.01017999999999</v>
      </c>
      <c r="B604" s="19">
        <v>282</v>
      </c>
      <c r="C604" s="19">
        <v>0.54869999999999997</v>
      </c>
      <c r="D604" s="19">
        <v>98.206850000000003</v>
      </c>
      <c r="E604" s="19">
        <v>20</v>
      </c>
      <c r="F604" s="19">
        <v>80</v>
      </c>
      <c r="G604" s="19">
        <v>1</v>
      </c>
      <c r="H604" s="16">
        <v>4</v>
      </c>
    </row>
    <row r="605" spans="1:8" x14ac:dyDescent="0.15">
      <c r="A605" s="19">
        <v>225.00695999999999</v>
      </c>
      <c r="B605" s="19">
        <v>282.5</v>
      </c>
      <c r="C605" s="19">
        <v>0.54634000000000005</v>
      </c>
      <c r="D605" s="19">
        <v>98.262190000000004</v>
      </c>
      <c r="E605" s="19">
        <v>20</v>
      </c>
      <c r="F605" s="19">
        <v>80</v>
      </c>
      <c r="G605" s="19">
        <v>1</v>
      </c>
      <c r="H605" s="16">
        <v>4</v>
      </c>
    </row>
    <row r="606" spans="1:8" x14ac:dyDescent="0.15">
      <c r="A606" s="19">
        <v>225.00998000000001</v>
      </c>
      <c r="B606" s="19">
        <v>283</v>
      </c>
      <c r="C606" s="19">
        <v>0.54849999999999999</v>
      </c>
      <c r="D606" s="19">
        <v>98.170540000000003</v>
      </c>
      <c r="E606" s="19">
        <v>20</v>
      </c>
      <c r="F606" s="19">
        <v>80</v>
      </c>
      <c r="G606" s="19">
        <v>1</v>
      </c>
      <c r="H606" s="16">
        <v>4</v>
      </c>
    </row>
    <row r="607" spans="1:8" x14ac:dyDescent="0.15">
      <c r="A607" s="19">
        <v>225.01169999999999</v>
      </c>
      <c r="B607" s="19">
        <v>283.5</v>
      </c>
      <c r="C607" s="19">
        <v>0.54796999999999996</v>
      </c>
      <c r="D607" s="19">
        <v>98.222499999999997</v>
      </c>
      <c r="E607" s="19">
        <v>20</v>
      </c>
      <c r="F607" s="19">
        <v>80</v>
      </c>
      <c r="G607" s="19">
        <v>1</v>
      </c>
      <c r="H607" s="16">
        <v>4</v>
      </c>
    </row>
    <row r="608" spans="1:8" x14ac:dyDescent="0.15">
      <c r="A608" s="19">
        <v>225.01647</v>
      </c>
      <c r="B608" s="19">
        <v>284</v>
      </c>
      <c r="C608" s="19">
        <v>0.54866999999999999</v>
      </c>
      <c r="D608" s="19">
        <v>98.113879999999995</v>
      </c>
      <c r="E608" s="19">
        <v>20</v>
      </c>
      <c r="F608" s="19">
        <v>80</v>
      </c>
      <c r="G608" s="19">
        <v>1</v>
      </c>
      <c r="H608" s="16">
        <v>4</v>
      </c>
    </row>
    <row r="609" spans="1:8" x14ac:dyDescent="0.15">
      <c r="A609" s="19">
        <v>225.01864</v>
      </c>
      <c r="B609" s="19">
        <v>284.5</v>
      </c>
      <c r="C609" s="19">
        <v>0.55062999999999995</v>
      </c>
      <c r="D609" s="19">
        <v>98.098399999999998</v>
      </c>
      <c r="E609" s="19">
        <v>20</v>
      </c>
      <c r="F609" s="19">
        <v>80</v>
      </c>
      <c r="G609" s="19">
        <v>1</v>
      </c>
      <c r="H609" s="16">
        <v>4</v>
      </c>
    </row>
    <row r="610" spans="1:8" x14ac:dyDescent="0.15">
      <c r="A610" s="19">
        <v>225.01186999999999</v>
      </c>
      <c r="B610" s="19">
        <v>285</v>
      </c>
      <c r="C610" s="19">
        <v>0.54862</v>
      </c>
      <c r="D610" s="19">
        <v>98.252549999999999</v>
      </c>
      <c r="E610" s="19">
        <v>20</v>
      </c>
      <c r="F610" s="19">
        <v>80</v>
      </c>
      <c r="G610" s="19">
        <v>1</v>
      </c>
      <c r="H610" s="16">
        <v>4</v>
      </c>
    </row>
    <row r="611" spans="1:8" x14ac:dyDescent="0.15">
      <c r="A611" s="19">
        <v>225.01229000000001</v>
      </c>
      <c r="B611" s="19">
        <v>285.5</v>
      </c>
      <c r="C611" s="19">
        <v>0.54801999999999995</v>
      </c>
      <c r="D611" s="19">
        <v>98.160489999999996</v>
      </c>
      <c r="E611" s="19">
        <v>20</v>
      </c>
      <c r="F611" s="19">
        <v>80</v>
      </c>
      <c r="G611" s="19">
        <v>1</v>
      </c>
      <c r="H611" s="16">
        <v>4</v>
      </c>
    </row>
    <row r="612" spans="1:8" x14ac:dyDescent="0.15">
      <c r="A612" s="19">
        <v>225.01372000000001</v>
      </c>
      <c r="B612" s="19">
        <v>286</v>
      </c>
      <c r="C612" s="19">
        <v>0.54688999999999999</v>
      </c>
      <c r="D612" s="19">
        <v>98.124189999999999</v>
      </c>
      <c r="E612" s="19">
        <v>20</v>
      </c>
      <c r="F612" s="19">
        <v>80</v>
      </c>
      <c r="G612" s="19">
        <v>1</v>
      </c>
      <c r="H612" s="16">
        <v>4</v>
      </c>
    </row>
    <row r="613" spans="1:8" x14ac:dyDescent="0.15">
      <c r="A613" s="19">
        <v>225.01231999999999</v>
      </c>
      <c r="B613" s="19">
        <v>286.5</v>
      </c>
      <c r="C613" s="19">
        <v>0.54710000000000003</v>
      </c>
      <c r="D613" s="19">
        <v>98.170299999999997</v>
      </c>
      <c r="E613" s="19">
        <v>20</v>
      </c>
      <c r="F613" s="19">
        <v>80</v>
      </c>
      <c r="G613" s="19">
        <v>1</v>
      </c>
      <c r="H613" s="16">
        <v>4</v>
      </c>
    </row>
    <row r="614" spans="1:8" x14ac:dyDescent="0.15">
      <c r="A614" s="19">
        <v>225.01221000000001</v>
      </c>
      <c r="B614" s="19">
        <v>287</v>
      </c>
      <c r="C614" s="19">
        <v>0.54901</v>
      </c>
      <c r="D614" s="19">
        <v>98.032650000000004</v>
      </c>
      <c r="E614" s="19">
        <v>20</v>
      </c>
      <c r="F614" s="19">
        <v>80</v>
      </c>
      <c r="G614" s="19">
        <v>1</v>
      </c>
      <c r="H614" s="16">
        <v>4</v>
      </c>
    </row>
    <row r="615" spans="1:8" x14ac:dyDescent="0.15">
      <c r="A615" s="19">
        <v>225.01585</v>
      </c>
      <c r="B615" s="19">
        <v>287.5</v>
      </c>
      <c r="C615" s="19">
        <v>0.54942000000000002</v>
      </c>
      <c r="D615" s="19">
        <v>98.102119999999999</v>
      </c>
      <c r="E615" s="19">
        <v>20</v>
      </c>
      <c r="F615" s="19">
        <v>80</v>
      </c>
      <c r="G615" s="19">
        <v>1</v>
      </c>
      <c r="H615" s="16">
        <v>4</v>
      </c>
    </row>
    <row r="616" spans="1:8" x14ac:dyDescent="0.15">
      <c r="A616" s="19">
        <v>225.01755</v>
      </c>
      <c r="B616" s="19">
        <v>288</v>
      </c>
      <c r="C616" s="19">
        <v>0.54932000000000003</v>
      </c>
      <c r="D616" s="19">
        <v>98.223429999999993</v>
      </c>
      <c r="E616" s="19">
        <v>20</v>
      </c>
      <c r="F616" s="19">
        <v>80</v>
      </c>
      <c r="G616" s="19">
        <v>1</v>
      </c>
      <c r="H616" s="16">
        <v>4</v>
      </c>
    </row>
    <row r="617" spans="1:8" x14ac:dyDescent="0.15">
      <c r="A617" s="19">
        <v>225.01929000000001</v>
      </c>
      <c r="B617" s="19">
        <v>288.5</v>
      </c>
      <c r="C617" s="19">
        <v>0.54720000000000002</v>
      </c>
      <c r="D617" s="19">
        <v>98.046469999999999</v>
      </c>
      <c r="E617" s="19">
        <v>20</v>
      </c>
      <c r="F617" s="19">
        <v>80</v>
      </c>
      <c r="G617" s="19">
        <v>1</v>
      </c>
      <c r="H617" s="16">
        <v>4</v>
      </c>
    </row>
    <row r="618" spans="1:8" x14ac:dyDescent="0.15">
      <c r="A618" s="19">
        <v>225.01682</v>
      </c>
      <c r="B618" s="19">
        <v>289</v>
      </c>
      <c r="C618" s="19">
        <v>0.54766000000000004</v>
      </c>
      <c r="D618" s="19">
        <v>98.117609999999999</v>
      </c>
      <c r="E618" s="19">
        <v>20</v>
      </c>
      <c r="F618" s="19">
        <v>80</v>
      </c>
      <c r="G618" s="19">
        <v>1</v>
      </c>
      <c r="H618" s="16">
        <v>4</v>
      </c>
    </row>
    <row r="619" spans="1:8" x14ac:dyDescent="0.15">
      <c r="A619" s="19">
        <v>225.01371</v>
      </c>
      <c r="B619" s="19">
        <v>289.5</v>
      </c>
      <c r="C619" s="19">
        <v>0.54712000000000005</v>
      </c>
      <c r="D619" s="19">
        <v>98.225610000000003</v>
      </c>
      <c r="E619" s="19">
        <v>20</v>
      </c>
      <c r="F619" s="19">
        <v>80</v>
      </c>
      <c r="G619" s="19">
        <v>1</v>
      </c>
      <c r="H619" s="16">
        <v>4</v>
      </c>
    </row>
    <row r="620" spans="1:8" x14ac:dyDescent="0.15">
      <c r="A620" s="19">
        <v>225.01519999999999</v>
      </c>
      <c r="B620" s="19">
        <v>290</v>
      </c>
      <c r="C620" s="19">
        <v>0.54886000000000001</v>
      </c>
      <c r="D620" s="19">
        <v>98.149630000000002</v>
      </c>
      <c r="E620" s="19">
        <v>20</v>
      </c>
      <c r="F620" s="19">
        <v>80</v>
      </c>
      <c r="G620" s="19">
        <v>1</v>
      </c>
      <c r="H620" s="16">
        <v>4</v>
      </c>
    </row>
    <row r="621" spans="1:8" x14ac:dyDescent="0.15">
      <c r="A621" s="19">
        <v>225.01657</v>
      </c>
      <c r="B621" s="19">
        <v>290.5</v>
      </c>
      <c r="C621" s="19">
        <v>0.54764999999999997</v>
      </c>
      <c r="D621" s="19">
        <v>98.07226</v>
      </c>
      <c r="E621" s="19">
        <v>20</v>
      </c>
      <c r="F621" s="19">
        <v>80</v>
      </c>
      <c r="G621" s="19">
        <v>1</v>
      </c>
      <c r="H621" s="16">
        <v>4</v>
      </c>
    </row>
    <row r="622" spans="1:8" x14ac:dyDescent="0.15">
      <c r="A622" s="19">
        <v>225.01465999999999</v>
      </c>
      <c r="B622" s="19">
        <v>291</v>
      </c>
      <c r="C622" s="19">
        <v>0.54796</v>
      </c>
      <c r="D622" s="19">
        <v>98.287890000000004</v>
      </c>
      <c r="E622" s="19">
        <v>20</v>
      </c>
      <c r="F622" s="19">
        <v>80</v>
      </c>
      <c r="G622" s="19">
        <v>1</v>
      </c>
      <c r="H622" s="16">
        <v>4</v>
      </c>
    </row>
    <row r="623" spans="1:8" x14ac:dyDescent="0.15">
      <c r="A623" s="19">
        <v>225.01712000000001</v>
      </c>
      <c r="B623" s="19">
        <v>291.5</v>
      </c>
      <c r="C623" s="19">
        <v>0.54808999999999997</v>
      </c>
      <c r="D623" s="19">
        <v>98.176190000000005</v>
      </c>
      <c r="E623" s="19">
        <v>20</v>
      </c>
      <c r="F623" s="19">
        <v>80</v>
      </c>
      <c r="G623" s="19">
        <v>1</v>
      </c>
      <c r="H623" s="16">
        <v>4</v>
      </c>
    </row>
    <row r="624" spans="1:8" x14ac:dyDescent="0.15">
      <c r="A624" s="19">
        <v>225.01893000000001</v>
      </c>
      <c r="B624" s="19">
        <v>292</v>
      </c>
      <c r="C624" s="19">
        <v>0.54615999999999998</v>
      </c>
      <c r="D624" s="19">
        <v>98.221149999999994</v>
      </c>
      <c r="E624" s="19">
        <v>20</v>
      </c>
      <c r="F624" s="19">
        <v>80</v>
      </c>
      <c r="G624" s="19">
        <v>1</v>
      </c>
      <c r="H624" s="16">
        <v>4</v>
      </c>
    </row>
    <row r="625" spans="1:10" x14ac:dyDescent="0.15">
      <c r="A625" s="19">
        <v>225.01669999999999</v>
      </c>
      <c r="B625" s="19">
        <v>292.5</v>
      </c>
      <c r="C625" s="19">
        <v>0.54798000000000002</v>
      </c>
      <c r="D625" s="19">
        <v>98.195449999999994</v>
      </c>
      <c r="E625" s="19">
        <v>20</v>
      </c>
      <c r="F625" s="19">
        <v>80</v>
      </c>
      <c r="G625" s="19">
        <v>1</v>
      </c>
      <c r="H625" s="16">
        <v>4</v>
      </c>
    </row>
    <row r="626" spans="1:10" x14ac:dyDescent="0.15">
      <c r="A626" s="19">
        <v>225.01779999999999</v>
      </c>
      <c r="B626" s="19">
        <v>293</v>
      </c>
      <c r="C626" s="19">
        <v>0.54793999999999998</v>
      </c>
      <c r="D626" s="19">
        <v>98.124639999999999</v>
      </c>
      <c r="E626" s="19">
        <v>20</v>
      </c>
      <c r="F626" s="19">
        <v>80</v>
      </c>
      <c r="G626" s="19">
        <v>1</v>
      </c>
      <c r="H626" s="16">
        <v>4</v>
      </c>
    </row>
    <row r="627" spans="1:10" x14ac:dyDescent="0.15">
      <c r="A627" s="19">
        <v>225.01813000000001</v>
      </c>
      <c r="B627" s="19">
        <v>293.5</v>
      </c>
      <c r="C627" s="19">
        <v>0.54818</v>
      </c>
      <c r="D627" s="19">
        <v>98.127589999999998</v>
      </c>
      <c r="E627" s="19">
        <v>20</v>
      </c>
      <c r="F627" s="19">
        <v>80</v>
      </c>
      <c r="G627" s="19">
        <v>1</v>
      </c>
      <c r="H627" s="16">
        <v>4</v>
      </c>
    </row>
    <row r="628" spans="1:10" x14ac:dyDescent="0.15">
      <c r="A628" s="19">
        <v>225.01777999999999</v>
      </c>
      <c r="B628" s="19">
        <v>294</v>
      </c>
      <c r="C628" s="19">
        <v>0.54722999999999999</v>
      </c>
      <c r="D628" s="19">
        <v>98.114379999999997</v>
      </c>
      <c r="E628" s="19">
        <v>20</v>
      </c>
      <c r="F628" s="19">
        <v>80</v>
      </c>
      <c r="G628" s="19">
        <v>1</v>
      </c>
      <c r="H628" s="16">
        <v>4</v>
      </c>
    </row>
    <row r="629" spans="1:10" x14ac:dyDescent="0.15">
      <c r="A629" s="19">
        <v>225.01877999999999</v>
      </c>
      <c r="B629" s="19">
        <v>294.5</v>
      </c>
      <c r="C629" s="19">
        <v>0.54771999999999998</v>
      </c>
      <c r="D629" s="19">
        <v>98.068709999999996</v>
      </c>
      <c r="E629" s="19">
        <v>20</v>
      </c>
      <c r="F629" s="19">
        <v>80</v>
      </c>
      <c r="G629" s="19">
        <v>1</v>
      </c>
      <c r="H629" s="16">
        <v>4</v>
      </c>
    </row>
    <row r="630" spans="1:10" x14ac:dyDescent="0.15">
      <c r="A630" s="19">
        <v>225.01824999999999</v>
      </c>
      <c r="B630" s="19">
        <v>295</v>
      </c>
      <c r="C630" s="19">
        <v>0.54620999999999997</v>
      </c>
      <c r="D630" s="19">
        <v>98.044129999999996</v>
      </c>
      <c r="E630" s="19">
        <v>20</v>
      </c>
      <c r="F630" s="19">
        <v>80</v>
      </c>
      <c r="G630" s="19">
        <v>1</v>
      </c>
      <c r="H630" s="16">
        <v>4</v>
      </c>
      <c r="J630" s="15">
        <f>295+30</f>
        <v>325</v>
      </c>
    </row>
  </sheetData>
  <pageMargins left="0.7" right="0.7" top="0.75" bottom="0.75" header="0.3" footer="0.3"/>
  <pageSetup paperSize="9" orientation="portrait" horizontalDpi="0" verticalDpi="0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285B5-9DDC-5240-8D99-FD3C045447B3}">
  <dimension ref="A1:F1411"/>
  <sheetViews>
    <sheetView topLeftCell="A171" zoomScale="88" zoomScaleNormal="91" workbookViewId="0">
      <selection activeCell="C212" sqref="C212:C1411"/>
    </sheetView>
  </sheetViews>
  <sheetFormatPr baseColWidth="10" defaultColWidth="12" defaultRowHeight="13" x14ac:dyDescent="0.15"/>
  <cols>
    <col min="1" max="1" width="35" customWidth="1"/>
    <col min="2" max="2" width="30" customWidth="1"/>
  </cols>
  <sheetData>
    <row r="1" spans="1:2" x14ac:dyDescent="0.15">
      <c r="A1" t="s">
        <v>0</v>
      </c>
      <c r="B1" t="s">
        <v>71</v>
      </c>
    </row>
    <row r="2" spans="1:2" x14ac:dyDescent="0.15">
      <c r="A2" t="s">
        <v>2</v>
      </c>
      <c r="B2" t="s">
        <v>88</v>
      </c>
    </row>
    <row r="3" spans="1:2" x14ac:dyDescent="0.15">
      <c r="A3" t="s">
        <v>4</v>
      </c>
      <c r="B3" t="s">
        <v>5</v>
      </c>
    </row>
    <row r="4" spans="1:2" x14ac:dyDescent="0.15">
      <c r="A4" t="s">
        <v>6</v>
      </c>
      <c r="B4" t="s">
        <v>7</v>
      </c>
    </row>
    <row r="5" spans="1:2" x14ac:dyDescent="0.15">
      <c r="A5" t="s">
        <v>8</v>
      </c>
      <c r="B5" t="s">
        <v>89</v>
      </c>
    </row>
    <row r="6" spans="1:2" x14ac:dyDescent="0.15">
      <c r="A6" t="s">
        <v>10</v>
      </c>
      <c r="B6" t="s">
        <v>74</v>
      </c>
    </row>
    <row r="7" spans="1:2" x14ac:dyDescent="0.15">
      <c r="A7" t="s">
        <v>12</v>
      </c>
      <c r="B7" t="s">
        <v>75</v>
      </c>
    </row>
    <row r="8" spans="1:2" x14ac:dyDescent="0.15">
      <c r="A8" t="s">
        <v>14</v>
      </c>
      <c r="B8" s="1">
        <v>113397</v>
      </c>
    </row>
    <row r="9" spans="1:2" x14ac:dyDescent="0.15">
      <c r="A9" t="s">
        <v>15</v>
      </c>
      <c r="B9" t="s">
        <v>90</v>
      </c>
    </row>
    <row r="10" spans="1:2" x14ac:dyDescent="0.15">
      <c r="A10" t="s">
        <v>17</v>
      </c>
      <c r="B10" t="s">
        <v>91</v>
      </c>
    </row>
    <row r="11" spans="1:2" x14ac:dyDescent="0.15">
      <c r="A11" t="s">
        <v>19</v>
      </c>
      <c r="B11" t="s">
        <v>20</v>
      </c>
    </row>
    <row r="12" spans="1:2" x14ac:dyDescent="0.15">
      <c r="A12" t="s">
        <v>23</v>
      </c>
      <c r="B12" s="1">
        <v>53</v>
      </c>
    </row>
    <row r="13" spans="1:2" x14ac:dyDescent="0.15">
      <c r="A13" t="s">
        <v>25</v>
      </c>
      <c r="B13" t="s">
        <v>34</v>
      </c>
    </row>
    <row r="14" spans="1:2" x14ac:dyDescent="0.15">
      <c r="A14" t="s">
        <v>27</v>
      </c>
      <c r="B14" t="s">
        <v>92</v>
      </c>
    </row>
    <row r="15" spans="1:2" x14ac:dyDescent="0.15">
      <c r="A15" t="s">
        <v>29</v>
      </c>
      <c r="B15" t="s">
        <v>89</v>
      </c>
    </row>
    <row r="16" spans="1:2" x14ac:dyDescent="0.15">
      <c r="A16" t="s">
        <v>30</v>
      </c>
      <c r="B16" s="7">
        <v>5.2152000000000003</v>
      </c>
    </row>
    <row r="17" spans="1:6" x14ac:dyDescent="0.15">
      <c r="A17" t="s">
        <v>31</v>
      </c>
      <c r="B17" t="s">
        <v>93</v>
      </c>
    </row>
    <row r="18" spans="1:6" x14ac:dyDescent="0.15">
      <c r="A18" t="s">
        <v>36</v>
      </c>
      <c r="B18" t="s">
        <v>37</v>
      </c>
    </row>
    <row r="19" spans="1:6" x14ac:dyDescent="0.15">
      <c r="A19" t="s">
        <v>38</v>
      </c>
      <c r="B19" s="7">
        <v>146.74430000000001</v>
      </c>
    </row>
    <row r="20" spans="1:6" x14ac:dyDescent="0.15">
      <c r="A20" t="s">
        <v>39</v>
      </c>
      <c r="B20" t="s">
        <v>28</v>
      </c>
    </row>
    <row r="21" spans="1:6" x14ac:dyDescent="0.15">
      <c r="A21" t="s">
        <v>80</v>
      </c>
      <c r="B21" s="1">
        <v>2000</v>
      </c>
    </row>
    <row r="22" spans="1:6" x14ac:dyDescent="0.15">
      <c r="A22" t="s">
        <v>49</v>
      </c>
      <c r="B22" s="1">
        <v>20</v>
      </c>
    </row>
    <row r="23" spans="1:6" x14ac:dyDescent="0.15">
      <c r="A23" t="s">
        <v>51</v>
      </c>
      <c r="B23" t="s">
        <v>94</v>
      </c>
    </row>
    <row r="24" spans="1:6" x14ac:dyDescent="0.15">
      <c r="A24" t="s">
        <v>53</v>
      </c>
      <c r="B24" t="s">
        <v>82</v>
      </c>
    </row>
    <row r="25" spans="1:6" x14ac:dyDescent="0.15">
      <c r="A25" t="s">
        <v>55</v>
      </c>
      <c r="B25" t="s">
        <v>95</v>
      </c>
    </row>
    <row r="26" spans="1:6" x14ac:dyDescent="0.15">
      <c r="A26" t="s">
        <v>57</v>
      </c>
      <c r="B26" t="s">
        <v>58</v>
      </c>
    </row>
    <row r="27" spans="1:6" x14ac:dyDescent="0.15">
      <c r="A27" t="s">
        <v>59</v>
      </c>
      <c r="B27" t="s">
        <v>96</v>
      </c>
    </row>
    <row r="28" spans="1:6" x14ac:dyDescent="0.15">
      <c r="A28" t="s">
        <v>61</v>
      </c>
      <c r="B28" t="s">
        <v>97</v>
      </c>
      <c r="F28" s="8" t="s">
        <v>102</v>
      </c>
    </row>
    <row r="29" spans="1:6" x14ac:dyDescent="0.15">
      <c r="A29" t="s">
        <v>86</v>
      </c>
      <c r="B29" t="s">
        <v>98</v>
      </c>
      <c r="F29" s="8" t="s">
        <v>100</v>
      </c>
    </row>
    <row r="30" spans="1:6" x14ac:dyDescent="0.15">
      <c r="F30">
        <f>C219*(1-0.3488)</f>
        <v>61.907324336000002</v>
      </c>
    </row>
    <row r="31" spans="1:6" x14ac:dyDescent="0.15">
      <c r="A31" t="s">
        <v>63</v>
      </c>
      <c r="B31" t="s">
        <v>64</v>
      </c>
      <c r="C31" t="s">
        <v>66</v>
      </c>
      <c r="D31" t="s">
        <v>70</v>
      </c>
      <c r="E31" s="8" t="s">
        <v>99</v>
      </c>
    </row>
    <row r="32" spans="1:6" x14ac:dyDescent="0.15">
      <c r="A32" s="4">
        <v>50.058999999999997</v>
      </c>
      <c r="B32" s="4">
        <v>0.5</v>
      </c>
      <c r="C32" s="4">
        <v>100.00959</v>
      </c>
      <c r="D32" s="1">
        <v>1</v>
      </c>
    </row>
    <row r="33" spans="1:4" x14ac:dyDescent="0.15">
      <c r="A33" s="4">
        <v>61.003</v>
      </c>
      <c r="B33" s="4">
        <v>1</v>
      </c>
      <c r="C33" s="4">
        <v>99.911799999999999</v>
      </c>
      <c r="D33" s="1">
        <v>1</v>
      </c>
    </row>
    <row r="34" spans="1:4" x14ac:dyDescent="0.15">
      <c r="A34" s="4">
        <v>76.842089999999999</v>
      </c>
      <c r="B34" s="4">
        <v>1.5</v>
      </c>
      <c r="C34" s="4">
        <v>99.752619999999993</v>
      </c>
      <c r="D34" s="1">
        <v>2</v>
      </c>
    </row>
    <row r="35" spans="1:4" x14ac:dyDescent="0.15">
      <c r="A35" s="4">
        <v>92.215519999999998</v>
      </c>
      <c r="B35" s="4">
        <v>2</v>
      </c>
      <c r="C35" s="4">
        <v>99.445149999999998</v>
      </c>
      <c r="D35" s="1">
        <v>2</v>
      </c>
    </row>
    <row r="36" spans="1:4" x14ac:dyDescent="0.15">
      <c r="A36" s="4">
        <v>101.23123</v>
      </c>
      <c r="B36" s="4">
        <v>2.5</v>
      </c>
      <c r="C36" s="4">
        <v>99.192359999999994</v>
      </c>
      <c r="D36" s="1">
        <v>2</v>
      </c>
    </row>
    <row r="37" spans="1:4" x14ac:dyDescent="0.15">
      <c r="A37" s="4">
        <v>106.1969</v>
      </c>
      <c r="B37" s="4">
        <v>3</v>
      </c>
      <c r="C37" s="4">
        <v>98.971959999999996</v>
      </c>
      <c r="D37" s="1">
        <v>2</v>
      </c>
    </row>
    <row r="38" spans="1:4" x14ac:dyDescent="0.15">
      <c r="A38" s="4">
        <v>108.5945</v>
      </c>
      <c r="B38" s="4">
        <v>3.5</v>
      </c>
      <c r="C38" s="4">
        <v>98.834050000000005</v>
      </c>
      <c r="D38" s="1">
        <v>2</v>
      </c>
    </row>
    <row r="39" spans="1:4" x14ac:dyDescent="0.15">
      <c r="A39" s="4">
        <v>109.40442</v>
      </c>
      <c r="B39" s="4">
        <v>4</v>
      </c>
      <c r="C39" s="4">
        <v>98.743970000000004</v>
      </c>
      <c r="D39" s="1">
        <v>2</v>
      </c>
    </row>
    <row r="40" spans="1:4" x14ac:dyDescent="0.15">
      <c r="A40" s="4">
        <v>109.29124</v>
      </c>
      <c r="B40" s="4">
        <v>4.5</v>
      </c>
      <c r="C40" s="4">
        <v>98.649889999999999</v>
      </c>
      <c r="D40" s="1">
        <v>2</v>
      </c>
    </row>
    <row r="41" spans="1:4" x14ac:dyDescent="0.15">
      <c r="A41" s="4">
        <v>108.69576000000001</v>
      </c>
      <c r="B41" s="4">
        <v>5</v>
      </c>
      <c r="C41" s="4">
        <v>98.596379999999996</v>
      </c>
      <c r="D41" s="1">
        <v>2</v>
      </c>
    </row>
    <row r="42" spans="1:4" x14ac:dyDescent="0.15">
      <c r="A42" s="4">
        <v>107.91858999999999</v>
      </c>
      <c r="B42" s="4">
        <v>5.5</v>
      </c>
      <c r="C42" s="4">
        <v>98.550299999999993</v>
      </c>
      <c r="D42" s="1">
        <v>2</v>
      </c>
    </row>
    <row r="43" spans="1:4" x14ac:dyDescent="0.15">
      <c r="A43" s="4">
        <v>107.11363</v>
      </c>
      <c r="B43" s="4">
        <v>6</v>
      </c>
      <c r="C43" s="4">
        <v>98.519620000000003</v>
      </c>
      <c r="D43" s="1">
        <v>2</v>
      </c>
    </row>
    <row r="44" spans="1:4" x14ac:dyDescent="0.15">
      <c r="A44" s="4">
        <v>106.38679</v>
      </c>
      <c r="B44" s="4">
        <v>6.5</v>
      </c>
      <c r="C44" s="4">
        <v>98.488950000000003</v>
      </c>
      <c r="D44" s="1">
        <v>2</v>
      </c>
    </row>
    <row r="45" spans="1:4" x14ac:dyDescent="0.15">
      <c r="A45" s="4">
        <v>105.77892</v>
      </c>
      <c r="B45" s="4">
        <v>7</v>
      </c>
      <c r="C45" s="4">
        <v>98.473590000000002</v>
      </c>
      <c r="D45" s="1">
        <v>2</v>
      </c>
    </row>
    <row r="46" spans="1:4" x14ac:dyDescent="0.15">
      <c r="A46" s="4">
        <v>105.29522</v>
      </c>
      <c r="B46" s="4">
        <v>7.5</v>
      </c>
      <c r="C46" s="4">
        <v>98.427549999999997</v>
      </c>
      <c r="D46" s="1">
        <v>2</v>
      </c>
    </row>
    <row r="47" spans="1:4" x14ac:dyDescent="0.15">
      <c r="A47" s="4">
        <v>104.93738</v>
      </c>
      <c r="B47" s="4">
        <v>8</v>
      </c>
      <c r="C47" s="4">
        <v>98.399050000000003</v>
      </c>
      <c r="D47" s="1">
        <v>2</v>
      </c>
    </row>
    <row r="48" spans="1:4" x14ac:dyDescent="0.15">
      <c r="A48" s="4">
        <v>104.68351</v>
      </c>
      <c r="B48" s="4">
        <v>8.5</v>
      </c>
      <c r="C48" s="4">
        <v>98.366150000000005</v>
      </c>
      <c r="D48" s="1">
        <v>2</v>
      </c>
    </row>
    <row r="49" spans="1:4" x14ac:dyDescent="0.15">
      <c r="A49" s="4">
        <v>104.51663000000001</v>
      </c>
      <c r="B49" s="4">
        <v>9</v>
      </c>
      <c r="C49" s="4">
        <v>98.323999999999998</v>
      </c>
      <c r="D49" s="1">
        <v>2</v>
      </c>
    </row>
    <row r="50" spans="1:4" x14ac:dyDescent="0.15">
      <c r="A50" s="4">
        <v>104.43077</v>
      </c>
      <c r="B50" s="4">
        <v>9.5</v>
      </c>
      <c r="C50" s="4">
        <v>98.302959999999999</v>
      </c>
      <c r="D50" s="1">
        <v>2</v>
      </c>
    </row>
    <row r="51" spans="1:4" x14ac:dyDescent="0.15">
      <c r="A51" s="4">
        <v>104.39082999999999</v>
      </c>
      <c r="B51" s="4">
        <v>10</v>
      </c>
      <c r="C51" s="4">
        <v>98.289469999999994</v>
      </c>
      <c r="D51" s="1">
        <v>2</v>
      </c>
    </row>
    <row r="52" spans="1:4" x14ac:dyDescent="0.15">
      <c r="A52" s="4">
        <v>104.37988</v>
      </c>
      <c r="B52" s="4">
        <v>10.5</v>
      </c>
      <c r="C52" s="4">
        <v>98.255189999999999</v>
      </c>
      <c r="D52" s="1">
        <v>2</v>
      </c>
    </row>
    <row r="53" spans="1:4" x14ac:dyDescent="0.15">
      <c r="A53" s="4">
        <v>104.40185</v>
      </c>
      <c r="B53" s="4">
        <v>11</v>
      </c>
      <c r="C53" s="4">
        <v>98.235780000000005</v>
      </c>
      <c r="D53" s="1">
        <v>2</v>
      </c>
    </row>
    <row r="54" spans="1:4" x14ac:dyDescent="0.15">
      <c r="A54" s="4">
        <v>104.4289</v>
      </c>
      <c r="B54" s="4">
        <v>11.5</v>
      </c>
      <c r="C54" s="4">
        <v>98.233980000000003</v>
      </c>
      <c r="D54" s="1">
        <v>2</v>
      </c>
    </row>
    <row r="55" spans="1:4" x14ac:dyDescent="0.15">
      <c r="A55" s="4">
        <v>104.47391</v>
      </c>
      <c r="B55" s="4">
        <v>12</v>
      </c>
      <c r="C55" s="4">
        <v>98.212900000000005</v>
      </c>
      <c r="D55" s="1">
        <v>2</v>
      </c>
    </row>
    <row r="56" spans="1:4" x14ac:dyDescent="0.15">
      <c r="A56" s="4">
        <v>104.51788999999999</v>
      </c>
      <c r="B56" s="4">
        <v>12.5</v>
      </c>
      <c r="C56" s="4">
        <v>98.191789999999997</v>
      </c>
      <c r="D56" s="1">
        <v>2</v>
      </c>
    </row>
    <row r="57" spans="1:4" x14ac:dyDescent="0.15">
      <c r="A57" s="4">
        <v>104.56495</v>
      </c>
      <c r="B57" s="4">
        <v>13</v>
      </c>
      <c r="C57" s="4">
        <v>98.170730000000006</v>
      </c>
      <c r="D57" s="1">
        <v>2</v>
      </c>
    </row>
    <row r="58" spans="1:4" x14ac:dyDescent="0.15">
      <c r="A58" s="4">
        <v>104.59984</v>
      </c>
      <c r="B58" s="4">
        <v>13.5</v>
      </c>
      <c r="C58" s="4">
        <v>98.149659999999997</v>
      </c>
      <c r="D58" s="1">
        <v>2</v>
      </c>
    </row>
    <row r="59" spans="1:4" x14ac:dyDescent="0.15">
      <c r="A59" s="4">
        <v>104.63889</v>
      </c>
      <c r="B59" s="4">
        <v>14</v>
      </c>
      <c r="C59" s="4">
        <v>98.136279999999999</v>
      </c>
      <c r="D59" s="1">
        <v>2</v>
      </c>
    </row>
    <row r="60" spans="1:4" x14ac:dyDescent="0.15">
      <c r="A60" s="4">
        <v>104.67589</v>
      </c>
      <c r="B60" s="4">
        <v>14.5</v>
      </c>
      <c r="C60" s="4">
        <v>98.1173</v>
      </c>
      <c r="D60" s="1">
        <v>2</v>
      </c>
    </row>
    <row r="61" spans="1:4" x14ac:dyDescent="0.15">
      <c r="A61" s="4">
        <v>104.70586</v>
      </c>
      <c r="B61" s="4">
        <v>15</v>
      </c>
      <c r="C61" s="4">
        <v>98.113050000000001</v>
      </c>
      <c r="D61" s="1">
        <v>2</v>
      </c>
    </row>
    <row r="62" spans="1:4" x14ac:dyDescent="0.15">
      <c r="A62" s="4">
        <v>104.7269</v>
      </c>
      <c r="B62" s="4">
        <v>15.5</v>
      </c>
      <c r="C62" s="4">
        <v>98.093879999999999</v>
      </c>
      <c r="D62" s="1">
        <v>2</v>
      </c>
    </row>
    <row r="63" spans="1:4" x14ac:dyDescent="0.15">
      <c r="A63" s="4">
        <v>104.75185</v>
      </c>
      <c r="B63" s="4">
        <v>16</v>
      </c>
      <c r="C63" s="4">
        <v>98.074799999999996</v>
      </c>
      <c r="D63" s="1">
        <v>2</v>
      </c>
    </row>
    <row r="64" spans="1:4" x14ac:dyDescent="0.15">
      <c r="A64" s="4">
        <v>104.77679999999999</v>
      </c>
      <c r="B64" s="4">
        <v>16.5</v>
      </c>
      <c r="C64" s="4">
        <v>98.072900000000004</v>
      </c>
      <c r="D64" s="1">
        <v>2</v>
      </c>
    </row>
    <row r="65" spans="1:4" x14ac:dyDescent="0.15">
      <c r="A65" s="4">
        <v>104.79783</v>
      </c>
      <c r="B65" s="4">
        <v>17</v>
      </c>
      <c r="C65" s="4">
        <v>98.034469999999999</v>
      </c>
      <c r="D65" s="1">
        <v>2</v>
      </c>
    </row>
    <row r="66" spans="1:4" x14ac:dyDescent="0.15">
      <c r="A66" s="4">
        <v>104.82088</v>
      </c>
      <c r="B66" s="4">
        <v>17.5</v>
      </c>
      <c r="C66" s="4">
        <v>98.013480000000001</v>
      </c>
      <c r="D66" s="1">
        <v>2</v>
      </c>
    </row>
    <row r="67" spans="1:4" x14ac:dyDescent="0.15">
      <c r="A67" s="4">
        <v>104.83287</v>
      </c>
      <c r="B67" s="4">
        <v>18</v>
      </c>
      <c r="C67" s="4">
        <v>98.009829999999994</v>
      </c>
      <c r="D67" s="1">
        <v>2</v>
      </c>
    </row>
    <row r="68" spans="1:4" x14ac:dyDescent="0.15">
      <c r="A68" s="4">
        <v>104.84491</v>
      </c>
      <c r="B68" s="4">
        <v>18.5</v>
      </c>
      <c r="C68" s="4">
        <v>97.961600000000004</v>
      </c>
      <c r="D68" s="1">
        <v>2</v>
      </c>
    </row>
    <row r="69" spans="1:4" x14ac:dyDescent="0.15">
      <c r="A69" s="4">
        <v>104.85684000000001</v>
      </c>
      <c r="B69" s="4">
        <v>19</v>
      </c>
      <c r="C69" s="4">
        <v>97.955849999999998</v>
      </c>
      <c r="D69" s="1">
        <v>2</v>
      </c>
    </row>
    <row r="70" spans="1:4" x14ac:dyDescent="0.15">
      <c r="A70" s="4">
        <v>104.85983</v>
      </c>
      <c r="B70" s="4">
        <v>19.5</v>
      </c>
      <c r="C70" s="4">
        <v>97.927310000000006</v>
      </c>
      <c r="D70" s="1">
        <v>2</v>
      </c>
    </row>
    <row r="71" spans="1:4" x14ac:dyDescent="0.15">
      <c r="A71" s="4">
        <v>104.87485</v>
      </c>
      <c r="B71" s="4">
        <v>20</v>
      </c>
      <c r="C71" s="4">
        <v>97.927130000000005</v>
      </c>
      <c r="D71" s="1">
        <v>2</v>
      </c>
    </row>
    <row r="72" spans="1:4" x14ac:dyDescent="0.15">
      <c r="A72" s="4">
        <v>104.88781</v>
      </c>
      <c r="B72" s="4">
        <v>20.5</v>
      </c>
      <c r="C72" s="4">
        <v>97.902240000000006</v>
      </c>
      <c r="D72" s="1">
        <v>2</v>
      </c>
    </row>
    <row r="73" spans="1:4" x14ac:dyDescent="0.15">
      <c r="A73" s="4">
        <v>104.89483</v>
      </c>
      <c r="B73" s="4">
        <v>21</v>
      </c>
      <c r="C73" s="4">
        <v>97.910139999999998</v>
      </c>
      <c r="D73" s="1">
        <v>2</v>
      </c>
    </row>
    <row r="74" spans="1:4" x14ac:dyDescent="0.15">
      <c r="A74" s="4">
        <v>104.89883</v>
      </c>
      <c r="B74" s="4">
        <v>21.5</v>
      </c>
      <c r="C74" s="4">
        <v>97.879260000000002</v>
      </c>
      <c r="D74" s="1">
        <v>2</v>
      </c>
    </row>
    <row r="75" spans="1:4" x14ac:dyDescent="0.15">
      <c r="A75" s="4">
        <v>104.90482</v>
      </c>
      <c r="B75" s="4">
        <v>22</v>
      </c>
      <c r="C75" s="4">
        <v>97.861959999999996</v>
      </c>
      <c r="D75" s="1">
        <v>2</v>
      </c>
    </row>
    <row r="76" spans="1:4" x14ac:dyDescent="0.15">
      <c r="A76" s="4">
        <v>104.91276999999999</v>
      </c>
      <c r="B76" s="4">
        <v>22.5</v>
      </c>
      <c r="C76" s="4">
        <v>97.858239999999995</v>
      </c>
      <c r="D76" s="1">
        <v>2</v>
      </c>
    </row>
    <row r="77" spans="1:4" x14ac:dyDescent="0.15">
      <c r="A77" s="4">
        <v>104.91880999999999</v>
      </c>
      <c r="B77" s="4">
        <v>23</v>
      </c>
      <c r="C77" s="4">
        <v>97.863969999999995</v>
      </c>
      <c r="D77" s="1">
        <v>2</v>
      </c>
    </row>
    <row r="78" spans="1:4" x14ac:dyDescent="0.15">
      <c r="A78" s="4">
        <v>104.92385</v>
      </c>
      <c r="B78" s="4">
        <v>23.5</v>
      </c>
      <c r="C78" s="4">
        <v>97.852509999999995</v>
      </c>
      <c r="D78" s="1">
        <v>2</v>
      </c>
    </row>
    <row r="79" spans="1:4" x14ac:dyDescent="0.15">
      <c r="A79" s="4">
        <v>104.93487</v>
      </c>
      <c r="B79" s="4">
        <v>24</v>
      </c>
      <c r="C79" s="4">
        <v>97.825530000000001</v>
      </c>
      <c r="D79" s="1">
        <v>2</v>
      </c>
    </row>
    <row r="80" spans="1:4" x14ac:dyDescent="0.15">
      <c r="A80" s="4">
        <v>104.94286</v>
      </c>
      <c r="B80" s="4">
        <v>24.5</v>
      </c>
      <c r="C80" s="4">
        <v>97.814149999999998</v>
      </c>
      <c r="D80" s="1">
        <v>2</v>
      </c>
    </row>
    <row r="81" spans="1:4" x14ac:dyDescent="0.15">
      <c r="A81" s="4">
        <v>104.94184</v>
      </c>
      <c r="B81" s="4">
        <v>25</v>
      </c>
      <c r="C81" s="4">
        <v>97.812029999999993</v>
      </c>
      <c r="D81" s="1">
        <v>2</v>
      </c>
    </row>
    <row r="82" spans="1:4" x14ac:dyDescent="0.15">
      <c r="A82" s="4">
        <v>104.94580999999999</v>
      </c>
      <c r="B82" s="4">
        <v>25.5</v>
      </c>
      <c r="C82" s="4">
        <v>97.812089999999998</v>
      </c>
      <c r="D82" s="1">
        <v>2</v>
      </c>
    </row>
    <row r="83" spans="1:4" x14ac:dyDescent="0.15">
      <c r="A83" s="4">
        <v>104.95784999999999</v>
      </c>
      <c r="B83" s="4">
        <v>26</v>
      </c>
      <c r="C83" s="4">
        <v>97.802660000000003</v>
      </c>
      <c r="D83" s="1">
        <v>2</v>
      </c>
    </row>
    <row r="84" spans="1:4" x14ac:dyDescent="0.15">
      <c r="A84" s="4">
        <v>104.9629</v>
      </c>
      <c r="B84" s="4">
        <v>26.5</v>
      </c>
      <c r="C84" s="4">
        <v>97.802459999999996</v>
      </c>
      <c r="D84" s="1">
        <v>2</v>
      </c>
    </row>
    <row r="85" spans="1:4" x14ac:dyDescent="0.15">
      <c r="A85" s="4">
        <v>104.9679</v>
      </c>
      <c r="B85" s="4">
        <v>27</v>
      </c>
      <c r="C85" s="4">
        <v>97.794970000000006</v>
      </c>
      <c r="D85" s="1">
        <v>2</v>
      </c>
    </row>
    <row r="86" spans="1:4" x14ac:dyDescent="0.15">
      <c r="A86" s="4">
        <v>104.9678</v>
      </c>
      <c r="B86" s="4">
        <v>27.5</v>
      </c>
      <c r="C86" s="4">
        <v>97.760429999999999</v>
      </c>
      <c r="D86" s="1">
        <v>2</v>
      </c>
    </row>
    <row r="87" spans="1:4" x14ac:dyDescent="0.15">
      <c r="A87" s="4">
        <v>104.97187</v>
      </c>
      <c r="B87" s="4">
        <v>28</v>
      </c>
      <c r="C87" s="4">
        <v>97.731449999999995</v>
      </c>
      <c r="D87" s="1">
        <v>2</v>
      </c>
    </row>
    <row r="88" spans="1:4" x14ac:dyDescent="0.15">
      <c r="A88" s="4">
        <v>104.96281999999999</v>
      </c>
      <c r="B88" s="4">
        <v>28.5</v>
      </c>
      <c r="C88" s="4">
        <v>97.714309999999998</v>
      </c>
      <c r="D88" s="1">
        <v>2</v>
      </c>
    </row>
    <row r="89" spans="1:4" x14ac:dyDescent="0.15">
      <c r="A89" s="4">
        <v>104.97087999999999</v>
      </c>
      <c r="B89" s="4">
        <v>29</v>
      </c>
      <c r="C89" s="4">
        <v>97.699039999999997</v>
      </c>
      <c r="D89" s="1">
        <v>2</v>
      </c>
    </row>
    <row r="90" spans="1:4" x14ac:dyDescent="0.15">
      <c r="A90" s="4">
        <v>104.96778</v>
      </c>
      <c r="B90" s="4">
        <v>29.5</v>
      </c>
      <c r="C90" s="4">
        <v>97.691299999999998</v>
      </c>
      <c r="D90" s="1">
        <v>2</v>
      </c>
    </row>
    <row r="91" spans="1:4" x14ac:dyDescent="0.15">
      <c r="A91" s="4">
        <v>104.96575</v>
      </c>
      <c r="B91" s="4">
        <v>30</v>
      </c>
      <c r="C91" s="4">
        <v>97.670289999999994</v>
      </c>
      <c r="D91" s="1">
        <v>2</v>
      </c>
    </row>
    <row r="92" spans="1:4" x14ac:dyDescent="0.15">
      <c r="A92" s="4">
        <v>104.96983</v>
      </c>
      <c r="B92" s="4">
        <v>30.5</v>
      </c>
      <c r="C92" s="4">
        <v>97.668350000000004</v>
      </c>
      <c r="D92" s="1">
        <v>2</v>
      </c>
    </row>
    <row r="93" spans="1:4" x14ac:dyDescent="0.15">
      <c r="A93" s="4">
        <v>104.97389</v>
      </c>
      <c r="B93" s="4">
        <v>31</v>
      </c>
      <c r="C93" s="4">
        <v>97.662549999999996</v>
      </c>
      <c r="D93" s="1">
        <v>2</v>
      </c>
    </row>
    <row r="94" spans="1:4" x14ac:dyDescent="0.15">
      <c r="A94" s="4">
        <v>104.97269</v>
      </c>
      <c r="B94" s="4">
        <v>31.5</v>
      </c>
      <c r="C94" s="4">
        <v>97.648359999999997</v>
      </c>
      <c r="D94" s="1">
        <v>3</v>
      </c>
    </row>
    <row r="95" spans="1:4" x14ac:dyDescent="0.15">
      <c r="A95" s="4">
        <v>105.72911000000001</v>
      </c>
      <c r="B95" s="4">
        <v>32</v>
      </c>
      <c r="C95" s="4">
        <v>97.639709999999994</v>
      </c>
      <c r="D95" s="1">
        <v>3</v>
      </c>
    </row>
    <row r="96" spans="1:4" x14ac:dyDescent="0.15">
      <c r="A96" s="4">
        <v>107.29559999999999</v>
      </c>
      <c r="B96" s="4">
        <v>32.5</v>
      </c>
      <c r="C96" s="4">
        <v>97.624309999999994</v>
      </c>
      <c r="D96" s="1">
        <v>3</v>
      </c>
    </row>
    <row r="97" spans="1:4" x14ac:dyDescent="0.15">
      <c r="A97" s="4">
        <v>109.38621999999999</v>
      </c>
      <c r="B97" s="4">
        <v>33</v>
      </c>
      <c r="C97" s="4">
        <v>97.612849999999995</v>
      </c>
      <c r="D97" s="1">
        <v>3</v>
      </c>
    </row>
    <row r="98" spans="1:4" x14ac:dyDescent="0.15">
      <c r="A98" s="4">
        <v>111.82731</v>
      </c>
      <c r="B98" s="4">
        <v>33.5</v>
      </c>
      <c r="C98" s="4">
        <v>97.58202</v>
      </c>
      <c r="D98" s="1">
        <v>3</v>
      </c>
    </row>
    <row r="99" spans="1:4" x14ac:dyDescent="0.15">
      <c r="A99" s="4">
        <v>114.47219</v>
      </c>
      <c r="B99" s="4">
        <v>34</v>
      </c>
      <c r="C99" s="4">
        <v>97.585830000000001</v>
      </c>
      <c r="D99" s="1">
        <v>3</v>
      </c>
    </row>
    <row r="100" spans="1:4" x14ac:dyDescent="0.15">
      <c r="A100" s="4">
        <v>117.22238</v>
      </c>
      <c r="B100" s="4">
        <v>34.5</v>
      </c>
      <c r="C100" s="4">
        <v>97.553460000000001</v>
      </c>
      <c r="D100" s="1">
        <v>3</v>
      </c>
    </row>
    <row r="101" spans="1:4" x14ac:dyDescent="0.15">
      <c r="A101" s="4">
        <v>119.99168</v>
      </c>
      <c r="B101" s="4">
        <v>35</v>
      </c>
      <c r="C101" s="4">
        <v>97.541880000000006</v>
      </c>
      <c r="D101" s="1">
        <v>3</v>
      </c>
    </row>
    <row r="102" spans="1:4" x14ac:dyDescent="0.15">
      <c r="A102" s="4">
        <v>122.73368000000001</v>
      </c>
      <c r="B102" s="4">
        <v>35.5</v>
      </c>
      <c r="C102" s="4">
        <v>97.513019999999997</v>
      </c>
      <c r="D102" s="1">
        <v>3</v>
      </c>
    </row>
    <row r="103" spans="1:4" x14ac:dyDescent="0.15">
      <c r="A103" s="4">
        <v>125.44934000000001</v>
      </c>
      <c r="B103" s="4">
        <v>36</v>
      </c>
      <c r="C103" s="4">
        <v>97.467160000000007</v>
      </c>
      <c r="D103" s="1">
        <v>3</v>
      </c>
    </row>
    <row r="104" spans="1:4" x14ac:dyDescent="0.15">
      <c r="A104" s="4">
        <v>128.15612999999999</v>
      </c>
      <c r="B104" s="4">
        <v>36.5</v>
      </c>
      <c r="C104" s="4">
        <v>97.467150000000004</v>
      </c>
      <c r="D104" s="1">
        <v>3</v>
      </c>
    </row>
    <row r="105" spans="1:4" x14ac:dyDescent="0.15">
      <c r="A105" s="4">
        <v>130.8288</v>
      </c>
      <c r="B105" s="4">
        <v>37</v>
      </c>
      <c r="C105" s="4">
        <v>97.447710000000001</v>
      </c>
      <c r="D105" s="1">
        <v>3</v>
      </c>
    </row>
    <row r="106" spans="1:4" x14ac:dyDescent="0.15">
      <c r="A106" s="4">
        <v>133.45477</v>
      </c>
      <c r="B106" s="4">
        <v>37.5</v>
      </c>
      <c r="C106" s="4">
        <v>97.411420000000007</v>
      </c>
      <c r="D106" s="1">
        <v>3</v>
      </c>
    </row>
    <row r="107" spans="1:4" x14ac:dyDescent="0.15">
      <c r="A107" s="4">
        <v>136.02744000000001</v>
      </c>
      <c r="B107" s="4">
        <v>38</v>
      </c>
      <c r="C107" s="4">
        <v>97.39385</v>
      </c>
      <c r="D107" s="1">
        <v>3</v>
      </c>
    </row>
    <row r="108" spans="1:4" x14ac:dyDescent="0.15">
      <c r="A108" s="4">
        <v>138.60924</v>
      </c>
      <c r="B108" s="4">
        <v>38.5</v>
      </c>
      <c r="C108" s="4">
        <v>97.351950000000002</v>
      </c>
      <c r="D108" s="1">
        <v>3</v>
      </c>
    </row>
    <row r="109" spans="1:4" x14ac:dyDescent="0.15">
      <c r="A109" s="4">
        <v>141.18407999999999</v>
      </c>
      <c r="B109" s="4">
        <v>39</v>
      </c>
      <c r="C109" s="4">
        <v>97.327060000000003</v>
      </c>
      <c r="D109" s="1">
        <v>3</v>
      </c>
    </row>
    <row r="110" spans="1:4" x14ac:dyDescent="0.15">
      <c r="A110" s="4">
        <v>143.70769000000001</v>
      </c>
      <c r="B110" s="4">
        <v>39.5</v>
      </c>
      <c r="C110" s="4">
        <v>97.303669999999997</v>
      </c>
      <c r="D110" s="1">
        <v>3</v>
      </c>
    </row>
    <row r="111" spans="1:4" x14ac:dyDescent="0.15">
      <c r="A111" s="4">
        <v>146.23885000000001</v>
      </c>
      <c r="B111" s="4">
        <v>40</v>
      </c>
      <c r="C111" s="4">
        <v>97.259829999999994</v>
      </c>
      <c r="D111" s="1">
        <v>3</v>
      </c>
    </row>
    <row r="112" spans="1:4" x14ac:dyDescent="0.15">
      <c r="A112" s="4">
        <v>148.79103000000001</v>
      </c>
      <c r="B112" s="4">
        <v>40.5</v>
      </c>
      <c r="C112" s="4">
        <v>97.229339999999993</v>
      </c>
      <c r="D112" s="1">
        <v>3</v>
      </c>
    </row>
    <row r="113" spans="1:4" x14ac:dyDescent="0.15">
      <c r="A113" s="4">
        <v>151.31269</v>
      </c>
      <c r="B113" s="4">
        <v>41</v>
      </c>
      <c r="C113" s="4">
        <v>97.204350000000005</v>
      </c>
      <c r="D113" s="1">
        <v>3</v>
      </c>
    </row>
    <row r="114" spans="1:4" x14ac:dyDescent="0.15">
      <c r="A114" s="4">
        <v>153.82973999999999</v>
      </c>
      <c r="B114" s="4">
        <v>41.5</v>
      </c>
      <c r="C114" s="4">
        <v>97.163830000000004</v>
      </c>
      <c r="D114" s="1">
        <v>3</v>
      </c>
    </row>
    <row r="115" spans="1:4" x14ac:dyDescent="0.15">
      <c r="A115" s="4">
        <v>156.37944999999999</v>
      </c>
      <c r="B115" s="4">
        <v>42</v>
      </c>
      <c r="C115" s="4">
        <v>97.123679999999993</v>
      </c>
      <c r="D115" s="1">
        <v>3</v>
      </c>
    </row>
    <row r="116" spans="1:4" x14ac:dyDescent="0.15">
      <c r="A116" s="4">
        <v>158.88289</v>
      </c>
      <c r="B116" s="4">
        <v>42.5</v>
      </c>
      <c r="C116" s="4">
        <v>97.077590000000001</v>
      </c>
      <c r="D116" s="1">
        <v>3</v>
      </c>
    </row>
    <row r="117" spans="1:4" x14ac:dyDescent="0.15">
      <c r="A117" s="4">
        <v>161.40195</v>
      </c>
      <c r="B117" s="4">
        <v>43</v>
      </c>
      <c r="C117" s="4">
        <v>97.035520000000005</v>
      </c>
      <c r="D117" s="1">
        <v>3</v>
      </c>
    </row>
    <row r="118" spans="1:4" x14ac:dyDescent="0.15">
      <c r="A118" s="4">
        <v>163.92552000000001</v>
      </c>
      <c r="B118" s="4">
        <v>43.5</v>
      </c>
      <c r="C118" s="4">
        <v>96.999039999999994</v>
      </c>
      <c r="D118" s="1">
        <v>3</v>
      </c>
    </row>
    <row r="119" spans="1:4" x14ac:dyDescent="0.15">
      <c r="A119" s="4">
        <v>166.43020000000001</v>
      </c>
      <c r="B119" s="4">
        <v>44</v>
      </c>
      <c r="C119" s="4">
        <v>96.960530000000006</v>
      </c>
      <c r="D119" s="1">
        <v>3</v>
      </c>
    </row>
    <row r="120" spans="1:4" x14ac:dyDescent="0.15">
      <c r="A120" s="4">
        <v>168.95438999999999</v>
      </c>
      <c r="B120" s="4">
        <v>44.5</v>
      </c>
      <c r="C120" s="4">
        <v>96.934139999999999</v>
      </c>
      <c r="D120" s="1">
        <v>3</v>
      </c>
    </row>
    <row r="121" spans="1:4" x14ac:dyDescent="0.15">
      <c r="A121" s="4">
        <v>171.45429999999999</v>
      </c>
      <c r="B121" s="4">
        <v>45</v>
      </c>
      <c r="C121" s="4">
        <v>96.901300000000006</v>
      </c>
      <c r="D121" s="1">
        <v>3</v>
      </c>
    </row>
    <row r="122" spans="1:4" x14ac:dyDescent="0.15">
      <c r="A122" s="4">
        <v>173.96221</v>
      </c>
      <c r="B122" s="4">
        <v>45.5</v>
      </c>
      <c r="C122" s="4">
        <v>96.855230000000006</v>
      </c>
      <c r="D122" s="1">
        <v>3</v>
      </c>
    </row>
    <row r="123" spans="1:4" x14ac:dyDescent="0.15">
      <c r="A123" s="4">
        <v>176.4632</v>
      </c>
      <c r="B123" s="4">
        <v>46</v>
      </c>
      <c r="C123" s="4">
        <v>96.817009999999996</v>
      </c>
      <c r="D123" s="1">
        <v>3</v>
      </c>
    </row>
    <row r="124" spans="1:4" x14ac:dyDescent="0.15">
      <c r="A124" s="4">
        <v>178.97116</v>
      </c>
      <c r="B124" s="4">
        <v>46.5</v>
      </c>
      <c r="C124" s="4">
        <v>96.780450000000002</v>
      </c>
      <c r="D124" s="1">
        <v>3</v>
      </c>
    </row>
    <row r="125" spans="1:4" x14ac:dyDescent="0.15">
      <c r="A125" s="4">
        <v>181.47602000000001</v>
      </c>
      <c r="B125" s="4">
        <v>47</v>
      </c>
      <c r="C125" s="4">
        <v>96.755629999999996</v>
      </c>
      <c r="D125" s="1">
        <v>3</v>
      </c>
    </row>
    <row r="126" spans="1:4" x14ac:dyDescent="0.15">
      <c r="A126" s="4">
        <v>183.97326000000001</v>
      </c>
      <c r="B126" s="4">
        <v>47.5</v>
      </c>
      <c r="C126" s="4">
        <v>96.692719999999994</v>
      </c>
      <c r="D126" s="1">
        <v>3</v>
      </c>
    </row>
    <row r="127" spans="1:4" x14ac:dyDescent="0.15">
      <c r="A127" s="4">
        <v>186.47676999999999</v>
      </c>
      <c r="B127" s="4">
        <v>48</v>
      </c>
      <c r="C127" s="4">
        <v>96.659570000000002</v>
      </c>
      <c r="D127" s="1">
        <v>3</v>
      </c>
    </row>
    <row r="128" spans="1:4" x14ac:dyDescent="0.15">
      <c r="A128" s="4">
        <v>188.97693000000001</v>
      </c>
      <c r="B128" s="4">
        <v>48.5</v>
      </c>
      <c r="C128" s="4">
        <v>96.596199999999996</v>
      </c>
      <c r="D128" s="1">
        <v>3</v>
      </c>
    </row>
    <row r="129" spans="1:4" x14ac:dyDescent="0.15">
      <c r="A129" s="4">
        <v>191.47549000000001</v>
      </c>
      <c r="B129" s="4">
        <v>49</v>
      </c>
      <c r="C129" s="4">
        <v>96.589250000000007</v>
      </c>
      <c r="D129" s="1">
        <v>3</v>
      </c>
    </row>
    <row r="130" spans="1:4" x14ac:dyDescent="0.15">
      <c r="A130" s="4">
        <v>193.97664</v>
      </c>
      <c r="B130" s="4">
        <v>49.5</v>
      </c>
      <c r="C130" s="4">
        <v>96.53922</v>
      </c>
      <c r="D130" s="1">
        <v>3</v>
      </c>
    </row>
    <row r="131" spans="1:4" x14ac:dyDescent="0.15">
      <c r="A131" s="4">
        <v>196.48740000000001</v>
      </c>
      <c r="B131" s="4">
        <v>50</v>
      </c>
      <c r="C131" s="4">
        <v>96.498360000000005</v>
      </c>
      <c r="D131" s="1">
        <v>3</v>
      </c>
    </row>
    <row r="132" spans="1:4" x14ac:dyDescent="0.15">
      <c r="A132" s="4">
        <v>198.99184</v>
      </c>
      <c r="B132" s="4">
        <v>50.5</v>
      </c>
      <c r="C132" s="4">
        <v>96.46002</v>
      </c>
      <c r="D132" s="1">
        <v>3</v>
      </c>
    </row>
    <row r="133" spans="1:4" x14ac:dyDescent="0.15">
      <c r="A133" s="4">
        <v>201.49064999999999</v>
      </c>
      <c r="B133" s="4">
        <v>51</v>
      </c>
      <c r="C133" s="4">
        <v>96.425539999999998</v>
      </c>
      <c r="D133" s="1">
        <v>3</v>
      </c>
    </row>
    <row r="134" spans="1:4" x14ac:dyDescent="0.15">
      <c r="A134" s="4">
        <v>203.99299999999999</v>
      </c>
      <c r="B134" s="4">
        <v>51.5</v>
      </c>
      <c r="C134" s="4">
        <v>96.381739999999994</v>
      </c>
      <c r="D134" s="1">
        <v>3</v>
      </c>
    </row>
    <row r="135" spans="1:4" x14ac:dyDescent="0.15">
      <c r="A135" s="4">
        <v>206.4932</v>
      </c>
      <c r="B135" s="4">
        <v>52</v>
      </c>
      <c r="C135" s="4">
        <v>96.341719999999995</v>
      </c>
      <c r="D135" s="1">
        <v>3</v>
      </c>
    </row>
    <row r="136" spans="1:4" x14ac:dyDescent="0.15">
      <c r="A136" s="4">
        <v>208.99109000000001</v>
      </c>
      <c r="B136" s="4">
        <v>52.5</v>
      </c>
      <c r="C136" s="4">
        <v>96.297229999999999</v>
      </c>
      <c r="D136" s="1">
        <v>3</v>
      </c>
    </row>
    <row r="137" spans="1:4" x14ac:dyDescent="0.15">
      <c r="A137" s="4">
        <v>211.48213000000001</v>
      </c>
      <c r="B137" s="4">
        <v>53</v>
      </c>
      <c r="C137" s="4">
        <v>96.27413</v>
      </c>
      <c r="D137" s="1">
        <v>3</v>
      </c>
    </row>
    <row r="138" spans="1:4" x14ac:dyDescent="0.15">
      <c r="A138" s="4">
        <v>213.98736</v>
      </c>
      <c r="B138" s="4">
        <v>53.5</v>
      </c>
      <c r="C138" s="4">
        <v>96.22654</v>
      </c>
      <c r="D138" s="1">
        <v>3</v>
      </c>
    </row>
    <row r="139" spans="1:4" x14ac:dyDescent="0.15">
      <c r="A139" s="4">
        <v>216.49122</v>
      </c>
      <c r="B139" s="4">
        <v>54</v>
      </c>
      <c r="C139" s="4">
        <v>96.170829999999995</v>
      </c>
      <c r="D139" s="1">
        <v>3</v>
      </c>
    </row>
    <row r="140" spans="1:4" x14ac:dyDescent="0.15">
      <c r="A140" s="4">
        <v>218.99312</v>
      </c>
      <c r="B140" s="4">
        <v>54.5</v>
      </c>
      <c r="C140" s="4">
        <v>96.126369999999994</v>
      </c>
      <c r="D140" s="1">
        <v>3</v>
      </c>
    </row>
    <row r="141" spans="1:4" x14ac:dyDescent="0.15">
      <c r="A141" s="4">
        <v>221.49809999999999</v>
      </c>
      <c r="B141" s="4">
        <v>55</v>
      </c>
      <c r="C141" s="4">
        <v>96.090199999999996</v>
      </c>
      <c r="D141" s="1">
        <v>3</v>
      </c>
    </row>
    <row r="142" spans="1:4" x14ac:dyDescent="0.15">
      <c r="A142" s="4">
        <v>224.00014999999999</v>
      </c>
      <c r="B142" s="4">
        <v>55.5</v>
      </c>
      <c r="C142" s="4">
        <v>96.059579999999997</v>
      </c>
      <c r="D142" s="1">
        <v>3</v>
      </c>
    </row>
    <row r="143" spans="1:4" x14ac:dyDescent="0.15">
      <c r="A143" s="4">
        <v>226.50030000000001</v>
      </c>
      <c r="B143" s="4">
        <v>56</v>
      </c>
      <c r="C143" s="4">
        <v>96.009510000000006</v>
      </c>
      <c r="D143" s="1">
        <v>3</v>
      </c>
    </row>
    <row r="144" spans="1:4" x14ac:dyDescent="0.15">
      <c r="A144" s="4">
        <v>229.00400999999999</v>
      </c>
      <c r="B144" s="4">
        <v>56.5</v>
      </c>
      <c r="C144" s="4">
        <v>95.975089999999994</v>
      </c>
      <c r="D144" s="1">
        <v>3</v>
      </c>
    </row>
    <row r="145" spans="1:4" x14ac:dyDescent="0.15">
      <c r="A145" s="4">
        <v>231.50746000000001</v>
      </c>
      <c r="B145" s="4">
        <v>57</v>
      </c>
      <c r="C145" s="4">
        <v>95.917630000000003</v>
      </c>
      <c r="D145" s="1">
        <v>3</v>
      </c>
    </row>
    <row r="146" spans="1:4" x14ac:dyDescent="0.15">
      <c r="A146" s="4">
        <v>234.01558</v>
      </c>
      <c r="B146" s="4">
        <v>57.5</v>
      </c>
      <c r="C146" s="4">
        <v>95.877319999999997</v>
      </c>
      <c r="D146" s="1">
        <v>3</v>
      </c>
    </row>
    <row r="147" spans="1:4" x14ac:dyDescent="0.15">
      <c r="A147" s="4">
        <v>236.524</v>
      </c>
      <c r="B147" s="4">
        <v>58</v>
      </c>
      <c r="C147" s="4">
        <v>95.853870000000001</v>
      </c>
      <c r="D147" s="1">
        <v>3</v>
      </c>
    </row>
    <row r="148" spans="1:4" x14ac:dyDescent="0.15">
      <c r="A148" s="4">
        <v>239.02714</v>
      </c>
      <c r="B148" s="4">
        <v>58.5</v>
      </c>
      <c r="C148" s="4">
        <v>95.810140000000004</v>
      </c>
      <c r="D148" s="1">
        <v>3</v>
      </c>
    </row>
    <row r="149" spans="1:4" x14ac:dyDescent="0.15">
      <c r="A149" s="4">
        <v>241.53109000000001</v>
      </c>
      <c r="B149" s="4">
        <v>59</v>
      </c>
      <c r="C149" s="4">
        <v>95.768240000000006</v>
      </c>
      <c r="D149" s="1">
        <v>3</v>
      </c>
    </row>
    <row r="150" spans="1:4" x14ac:dyDescent="0.15">
      <c r="A150" s="4">
        <v>244.03325000000001</v>
      </c>
      <c r="B150" s="4">
        <v>59.5</v>
      </c>
      <c r="C150" s="4">
        <v>95.735330000000005</v>
      </c>
      <c r="D150" s="1">
        <v>3</v>
      </c>
    </row>
    <row r="151" spans="1:4" x14ac:dyDescent="0.15">
      <c r="A151" s="4">
        <v>246.53627</v>
      </c>
      <c r="B151" s="4">
        <v>60</v>
      </c>
      <c r="C151" s="4">
        <v>95.677909999999997</v>
      </c>
      <c r="D151" s="1">
        <v>3</v>
      </c>
    </row>
    <row r="152" spans="1:4" x14ac:dyDescent="0.15">
      <c r="A152" s="4">
        <v>249.03832</v>
      </c>
      <c r="B152" s="4">
        <v>60.5</v>
      </c>
      <c r="C152" s="4">
        <v>95.653080000000003</v>
      </c>
      <c r="D152" s="1">
        <v>4</v>
      </c>
    </row>
    <row r="153" spans="1:4" x14ac:dyDescent="0.15">
      <c r="A153" s="4">
        <v>250.80771999999999</v>
      </c>
      <c r="B153" s="4">
        <v>61</v>
      </c>
      <c r="C153" s="4">
        <v>95.618399999999994</v>
      </c>
      <c r="D153" s="1">
        <v>4</v>
      </c>
    </row>
    <row r="154" spans="1:4" x14ac:dyDescent="0.15">
      <c r="A154" s="4">
        <v>251.37333000000001</v>
      </c>
      <c r="B154" s="4">
        <v>61.5</v>
      </c>
      <c r="C154" s="4">
        <v>95.568579999999997</v>
      </c>
      <c r="D154" s="1">
        <v>4</v>
      </c>
    </row>
    <row r="155" spans="1:4" x14ac:dyDescent="0.15">
      <c r="A155" s="4">
        <v>251.36276000000001</v>
      </c>
      <c r="B155" s="4">
        <v>62</v>
      </c>
      <c r="C155" s="4">
        <v>95.534300000000002</v>
      </c>
      <c r="D155" s="1">
        <v>4</v>
      </c>
    </row>
    <row r="156" spans="1:4" x14ac:dyDescent="0.15">
      <c r="A156" s="4">
        <v>251.13553999999999</v>
      </c>
      <c r="B156" s="4">
        <v>62.5</v>
      </c>
      <c r="C156" s="4">
        <v>95.515029999999996</v>
      </c>
      <c r="D156" s="1">
        <v>4</v>
      </c>
    </row>
    <row r="157" spans="1:4" x14ac:dyDescent="0.15">
      <c r="A157" s="4">
        <v>250.84952999999999</v>
      </c>
      <c r="B157" s="4">
        <v>63</v>
      </c>
      <c r="C157" s="4">
        <v>95.488309999999998</v>
      </c>
      <c r="D157" s="1">
        <v>4</v>
      </c>
    </row>
    <row r="158" spans="1:4" x14ac:dyDescent="0.15">
      <c r="A158" s="4">
        <v>250.57759999999999</v>
      </c>
      <c r="B158" s="4">
        <v>63.5</v>
      </c>
      <c r="C158" s="4">
        <v>95.451779999999999</v>
      </c>
      <c r="D158" s="1">
        <v>4</v>
      </c>
    </row>
    <row r="159" spans="1:4" x14ac:dyDescent="0.15">
      <c r="A159" s="4">
        <v>250.35463999999999</v>
      </c>
      <c r="B159" s="4">
        <v>64</v>
      </c>
      <c r="C159" s="4">
        <v>95.434489999999997</v>
      </c>
      <c r="D159" s="1">
        <v>4</v>
      </c>
    </row>
    <row r="160" spans="1:4" x14ac:dyDescent="0.15">
      <c r="A160" s="4">
        <v>250.17876000000001</v>
      </c>
      <c r="B160" s="4">
        <v>64.5</v>
      </c>
      <c r="C160" s="4">
        <v>95.403899999999993</v>
      </c>
      <c r="D160" s="1">
        <v>4</v>
      </c>
    </row>
    <row r="161" spans="1:4" x14ac:dyDescent="0.15">
      <c r="A161" s="4">
        <v>250.05483000000001</v>
      </c>
      <c r="B161" s="4">
        <v>65</v>
      </c>
      <c r="C161" s="4">
        <v>95.380690000000001</v>
      </c>
      <c r="D161" s="1">
        <v>4</v>
      </c>
    </row>
    <row r="162" spans="1:4" x14ac:dyDescent="0.15">
      <c r="A162" s="4">
        <v>249.9699</v>
      </c>
      <c r="B162" s="4">
        <v>65.5</v>
      </c>
      <c r="C162" s="4">
        <v>95.374979999999994</v>
      </c>
      <c r="D162" s="1">
        <v>4</v>
      </c>
    </row>
    <row r="163" spans="1:4" x14ac:dyDescent="0.15">
      <c r="A163" s="4">
        <v>249.92894999999999</v>
      </c>
      <c r="B163" s="4">
        <v>66</v>
      </c>
      <c r="C163" s="4">
        <v>95.350129999999993</v>
      </c>
      <c r="D163" s="1">
        <v>4</v>
      </c>
    </row>
    <row r="164" spans="1:4" x14ac:dyDescent="0.15">
      <c r="A164" s="4">
        <v>249.89394999999999</v>
      </c>
      <c r="B164" s="4">
        <v>66.5</v>
      </c>
      <c r="C164" s="4">
        <v>95.338319999999996</v>
      </c>
      <c r="D164" s="1">
        <v>4</v>
      </c>
    </row>
    <row r="165" spans="1:4" x14ac:dyDescent="0.15">
      <c r="A165" s="4">
        <v>249.87899999999999</v>
      </c>
      <c r="B165" s="4">
        <v>67</v>
      </c>
      <c r="C165" s="4">
        <v>95.317660000000004</v>
      </c>
      <c r="D165" s="1">
        <v>4</v>
      </c>
    </row>
    <row r="166" spans="1:4" x14ac:dyDescent="0.15">
      <c r="A166" s="4">
        <v>249.86698000000001</v>
      </c>
      <c r="B166" s="4">
        <v>67.5</v>
      </c>
      <c r="C166" s="4">
        <v>95.279089999999997</v>
      </c>
      <c r="D166" s="1">
        <v>4</v>
      </c>
    </row>
    <row r="167" spans="1:4" x14ac:dyDescent="0.15">
      <c r="A167" s="4">
        <v>249.86801</v>
      </c>
      <c r="B167" s="4">
        <v>68</v>
      </c>
      <c r="C167" s="4">
        <v>95.269360000000006</v>
      </c>
      <c r="D167" s="1">
        <v>4</v>
      </c>
    </row>
    <row r="168" spans="1:4" x14ac:dyDescent="0.15">
      <c r="A168" s="4">
        <v>249.87503000000001</v>
      </c>
      <c r="B168" s="4">
        <v>68.5</v>
      </c>
      <c r="C168" s="4">
        <v>95.240849999999995</v>
      </c>
      <c r="D168" s="1">
        <v>4</v>
      </c>
    </row>
    <row r="169" spans="1:4" x14ac:dyDescent="0.15">
      <c r="A169" s="4">
        <v>249.88094000000001</v>
      </c>
      <c r="B169" s="4">
        <v>69</v>
      </c>
      <c r="C169" s="4">
        <v>95.200620000000001</v>
      </c>
      <c r="D169" s="1">
        <v>4</v>
      </c>
    </row>
    <row r="170" spans="1:4" x14ac:dyDescent="0.15">
      <c r="A170" s="4">
        <v>249.89897999999999</v>
      </c>
      <c r="B170" s="4">
        <v>69.5</v>
      </c>
      <c r="C170" s="4">
        <v>95.187010000000001</v>
      </c>
      <c r="D170" s="1">
        <v>4</v>
      </c>
    </row>
    <row r="171" spans="1:4" x14ac:dyDescent="0.15">
      <c r="A171" s="4">
        <v>249.90705</v>
      </c>
      <c r="B171" s="4">
        <v>70</v>
      </c>
      <c r="C171" s="4">
        <v>95.16413</v>
      </c>
      <c r="D171" s="1">
        <v>4</v>
      </c>
    </row>
    <row r="172" spans="1:4" x14ac:dyDescent="0.15">
      <c r="A172" s="4">
        <v>249.91702000000001</v>
      </c>
      <c r="B172" s="4">
        <v>70.5</v>
      </c>
      <c r="C172" s="4">
        <v>95.154470000000003</v>
      </c>
      <c r="D172" s="1">
        <v>4</v>
      </c>
    </row>
    <row r="173" spans="1:4" x14ac:dyDescent="0.15">
      <c r="A173" s="4">
        <v>249.91603000000001</v>
      </c>
      <c r="B173" s="4">
        <v>71</v>
      </c>
      <c r="C173" s="4">
        <v>95.133359999999996</v>
      </c>
      <c r="D173" s="1">
        <v>4</v>
      </c>
    </row>
    <row r="174" spans="1:4" x14ac:dyDescent="0.15">
      <c r="A174" s="4">
        <v>249.92301</v>
      </c>
      <c r="B174" s="4">
        <v>71.5</v>
      </c>
      <c r="C174" s="4">
        <v>95.115930000000006</v>
      </c>
      <c r="D174" s="1">
        <v>4</v>
      </c>
    </row>
    <row r="175" spans="1:4" x14ac:dyDescent="0.15">
      <c r="A175" s="4">
        <v>249.93299999999999</v>
      </c>
      <c r="B175" s="4">
        <v>72</v>
      </c>
      <c r="C175" s="4">
        <v>95.095100000000002</v>
      </c>
      <c r="D175" s="1">
        <v>4</v>
      </c>
    </row>
    <row r="176" spans="1:4" x14ac:dyDescent="0.15">
      <c r="A176" s="4">
        <v>249.94300000000001</v>
      </c>
      <c r="B176" s="4">
        <v>72.5</v>
      </c>
      <c r="C176" s="4">
        <v>95.079679999999996</v>
      </c>
      <c r="D176" s="1">
        <v>4</v>
      </c>
    </row>
    <row r="177" spans="1:4" x14ac:dyDescent="0.15">
      <c r="A177" s="4">
        <v>249.94705999999999</v>
      </c>
      <c r="B177" s="4">
        <v>73</v>
      </c>
      <c r="C177" s="4">
        <v>95.062659999999994</v>
      </c>
      <c r="D177" s="1">
        <v>4</v>
      </c>
    </row>
    <row r="178" spans="1:4" x14ac:dyDescent="0.15">
      <c r="A178" s="4">
        <v>249.95101</v>
      </c>
      <c r="B178" s="4">
        <v>73.5</v>
      </c>
      <c r="C178" s="4">
        <v>95.056719999999999</v>
      </c>
      <c r="D178" s="1">
        <v>4</v>
      </c>
    </row>
    <row r="179" spans="1:4" x14ac:dyDescent="0.15">
      <c r="A179" s="4">
        <v>249.95793</v>
      </c>
      <c r="B179" s="4">
        <v>74</v>
      </c>
      <c r="C179" s="4">
        <v>95.031769999999995</v>
      </c>
      <c r="D179" s="1">
        <v>4</v>
      </c>
    </row>
    <row r="180" spans="1:4" x14ac:dyDescent="0.15">
      <c r="A180" s="4">
        <v>249.96600000000001</v>
      </c>
      <c r="B180" s="4">
        <v>74.5</v>
      </c>
      <c r="C180" s="4">
        <v>95.029920000000004</v>
      </c>
      <c r="D180" s="1">
        <v>4</v>
      </c>
    </row>
    <row r="181" spans="1:4" x14ac:dyDescent="0.15">
      <c r="A181" s="4">
        <v>249.96999</v>
      </c>
      <c r="B181" s="4">
        <v>75</v>
      </c>
      <c r="C181" s="4">
        <v>95.014300000000006</v>
      </c>
      <c r="D181" s="1">
        <v>4</v>
      </c>
    </row>
    <row r="182" spans="1:4" x14ac:dyDescent="0.15">
      <c r="A182" s="4">
        <v>249.97300999999999</v>
      </c>
      <c r="B182" s="4">
        <v>75.5</v>
      </c>
      <c r="C182" s="4">
        <v>95.001080000000002</v>
      </c>
      <c r="D182" s="1">
        <v>4</v>
      </c>
    </row>
    <row r="183" spans="1:4" x14ac:dyDescent="0.15">
      <c r="A183" s="4">
        <v>249.97998999999999</v>
      </c>
      <c r="B183" s="4">
        <v>76</v>
      </c>
      <c r="C183" s="4">
        <v>94.995320000000007</v>
      </c>
      <c r="D183" s="1">
        <v>4</v>
      </c>
    </row>
    <row r="184" spans="1:4" x14ac:dyDescent="0.15">
      <c r="A184" s="4">
        <v>249.96997999999999</v>
      </c>
      <c r="B184" s="4">
        <v>76.5</v>
      </c>
      <c r="C184" s="4">
        <v>94.943569999999994</v>
      </c>
      <c r="D184" s="1">
        <v>4</v>
      </c>
    </row>
    <row r="185" spans="1:4" x14ac:dyDescent="0.15">
      <c r="A185" s="4">
        <v>249.97399999999999</v>
      </c>
      <c r="B185" s="4">
        <v>77</v>
      </c>
      <c r="C185" s="4">
        <v>94.947620000000001</v>
      </c>
      <c r="D185" s="1">
        <v>4</v>
      </c>
    </row>
    <row r="186" spans="1:4" x14ac:dyDescent="0.15">
      <c r="A186" s="4">
        <v>249.97300000000001</v>
      </c>
      <c r="B186" s="4">
        <v>77.5</v>
      </c>
      <c r="C186" s="4">
        <v>94.924499999999995</v>
      </c>
      <c r="D186" s="1">
        <v>4</v>
      </c>
    </row>
    <row r="187" spans="1:4" x14ac:dyDescent="0.15">
      <c r="A187" s="4">
        <v>249.97902999999999</v>
      </c>
      <c r="B187" s="4">
        <v>78</v>
      </c>
      <c r="C187" s="4">
        <v>94.909109999999998</v>
      </c>
      <c r="D187" s="1">
        <v>4</v>
      </c>
    </row>
    <row r="188" spans="1:4" x14ac:dyDescent="0.15">
      <c r="A188" s="4">
        <v>249.98303000000001</v>
      </c>
      <c r="B188" s="4">
        <v>78.5</v>
      </c>
      <c r="C188" s="4">
        <v>94.887969999999996</v>
      </c>
      <c r="D188" s="1">
        <v>4</v>
      </c>
    </row>
    <row r="189" spans="1:4" x14ac:dyDescent="0.15">
      <c r="A189" s="4">
        <v>249.98201</v>
      </c>
      <c r="B189" s="4">
        <v>79</v>
      </c>
      <c r="C189" s="4">
        <v>94.868769999999998</v>
      </c>
      <c r="D189" s="1">
        <v>4</v>
      </c>
    </row>
    <row r="190" spans="1:4" x14ac:dyDescent="0.15">
      <c r="A190" s="4">
        <v>249.98602</v>
      </c>
      <c r="B190" s="4">
        <v>79.5</v>
      </c>
      <c r="C190" s="4">
        <v>94.851569999999995</v>
      </c>
      <c r="D190" s="1">
        <v>4</v>
      </c>
    </row>
    <row r="191" spans="1:4" x14ac:dyDescent="0.15">
      <c r="A191" s="4">
        <v>249.98899</v>
      </c>
      <c r="B191" s="4">
        <v>80</v>
      </c>
      <c r="C191" s="4">
        <v>94.853539999999995</v>
      </c>
      <c r="D191" s="1">
        <v>4</v>
      </c>
    </row>
    <row r="192" spans="1:4" x14ac:dyDescent="0.15">
      <c r="A192" s="4">
        <v>249.98801</v>
      </c>
      <c r="B192" s="4">
        <v>80.5</v>
      </c>
      <c r="C192" s="4">
        <v>94.830629999999999</v>
      </c>
      <c r="D192" s="1">
        <v>4</v>
      </c>
    </row>
    <row r="193" spans="1:4" x14ac:dyDescent="0.15">
      <c r="A193" s="4">
        <v>249.989</v>
      </c>
      <c r="B193" s="4">
        <v>81</v>
      </c>
      <c r="C193" s="4">
        <v>94.820740000000001</v>
      </c>
      <c r="D193" s="1">
        <v>4</v>
      </c>
    </row>
    <row r="194" spans="1:4" x14ac:dyDescent="0.15">
      <c r="A194" s="4">
        <v>249.98898</v>
      </c>
      <c r="B194" s="4">
        <v>81.5</v>
      </c>
      <c r="C194" s="4">
        <v>94.816869999999994</v>
      </c>
      <c r="D194" s="1">
        <v>4</v>
      </c>
    </row>
    <row r="195" spans="1:4" x14ac:dyDescent="0.15">
      <c r="A195" s="4">
        <v>249.98199</v>
      </c>
      <c r="B195" s="4">
        <v>82</v>
      </c>
      <c r="C195" s="4">
        <v>94.790319999999994</v>
      </c>
      <c r="D195" s="1">
        <v>4</v>
      </c>
    </row>
    <row r="196" spans="1:4" x14ac:dyDescent="0.15">
      <c r="A196" s="4">
        <v>249.99002999999999</v>
      </c>
      <c r="B196" s="4">
        <v>82.5</v>
      </c>
      <c r="C196" s="4">
        <v>94.772890000000004</v>
      </c>
      <c r="D196" s="1">
        <v>4</v>
      </c>
    </row>
    <row r="197" spans="1:4" x14ac:dyDescent="0.15">
      <c r="A197" s="4">
        <v>249.98999000000001</v>
      </c>
      <c r="B197" s="4">
        <v>83</v>
      </c>
      <c r="C197" s="4">
        <v>94.763369999999995</v>
      </c>
      <c r="D197" s="1">
        <v>4</v>
      </c>
    </row>
    <row r="198" spans="1:4" x14ac:dyDescent="0.15">
      <c r="A198" s="4">
        <v>249.99304000000001</v>
      </c>
      <c r="B198" s="4">
        <v>83.5</v>
      </c>
      <c r="C198" s="4">
        <v>94.74624</v>
      </c>
      <c r="D198" s="1">
        <v>4</v>
      </c>
    </row>
    <row r="199" spans="1:4" x14ac:dyDescent="0.15">
      <c r="A199" s="4">
        <v>249.995</v>
      </c>
      <c r="B199" s="4">
        <v>84</v>
      </c>
      <c r="C199" s="4">
        <v>94.744280000000003</v>
      </c>
      <c r="D199" s="1">
        <v>4</v>
      </c>
    </row>
    <row r="200" spans="1:4" x14ac:dyDescent="0.15">
      <c r="A200" s="4">
        <v>249.99995999999999</v>
      </c>
      <c r="B200" s="4">
        <v>84.5</v>
      </c>
      <c r="C200" s="4">
        <v>94.709940000000003</v>
      </c>
      <c r="D200" s="1">
        <v>4</v>
      </c>
    </row>
    <row r="201" spans="1:4" x14ac:dyDescent="0.15">
      <c r="A201" s="4">
        <v>249.99700999999999</v>
      </c>
      <c r="B201" s="4">
        <v>85</v>
      </c>
      <c r="C201" s="4">
        <v>94.707750000000004</v>
      </c>
      <c r="D201" s="1">
        <v>4</v>
      </c>
    </row>
    <row r="202" spans="1:4" x14ac:dyDescent="0.15">
      <c r="A202" s="4">
        <v>250.00004999999999</v>
      </c>
      <c r="B202" s="4">
        <v>85.5</v>
      </c>
      <c r="C202" s="4">
        <v>94.690460000000002</v>
      </c>
      <c r="D202" s="1">
        <v>4</v>
      </c>
    </row>
    <row r="203" spans="1:4" x14ac:dyDescent="0.15">
      <c r="A203" s="4">
        <v>250.00299999999999</v>
      </c>
      <c r="B203" s="4">
        <v>86</v>
      </c>
      <c r="C203" s="4">
        <v>94.677300000000002</v>
      </c>
      <c r="D203" s="1">
        <v>4</v>
      </c>
    </row>
    <row r="204" spans="1:4" x14ac:dyDescent="0.15">
      <c r="A204" s="4">
        <v>250.00001</v>
      </c>
      <c r="B204" s="4">
        <v>86.5</v>
      </c>
      <c r="C204" s="4">
        <v>94.680850000000007</v>
      </c>
      <c r="D204" s="1">
        <v>4</v>
      </c>
    </row>
    <row r="205" spans="1:4" x14ac:dyDescent="0.15">
      <c r="A205" s="4">
        <v>249.99902</v>
      </c>
      <c r="B205" s="4">
        <v>87</v>
      </c>
      <c r="C205" s="4">
        <v>94.679109999999994</v>
      </c>
      <c r="D205" s="1">
        <v>4</v>
      </c>
    </row>
    <row r="206" spans="1:4" x14ac:dyDescent="0.15">
      <c r="A206" s="4">
        <v>249.99901</v>
      </c>
      <c r="B206" s="4">
        <v>87.5</v>
      </c>
      <c r="C206" s="4">
        <v>94.661689999999993</v>
      </c>
      <c r="D206" s="1">
        <v>4</v>
      </c>
    </row>
    <row r="207" spans="1:4" x14ac:dyDescent="0.15">
      <c r="A207" s="4">
        <v>250.00301999999999</v>
      </c>
      <c r="B207" s="4">
        <v>88</v>
      </c>
      <c r="C207" s="4">
        <v>94.638829999999999</v>
      </c>
      <c r="D207" s="1">
        <v>4</v>
      </c>
    </row>
    <row r="208" spans="1:4" x14ac:dyDescent="0.15">
      <c r="A208" s="4">
        <v>250.00595000000001</v>
      </c>
      <c r="B208" s="4">
        <v>88.5</v>
      </c>
      <c r="C208" s="4">
        <v>94.625429999999994</v>
      </c>
      <c r="D208" s="1">
        <v>4</v>
      </c>
    </row>
    <row r="209" spans="1:6" x14ac:dyDescent="0.15">
      <c r="A209" s="4">
        <v>250.00102999999999</v>
      </c>
      <c r="B209" s="4">
        <v>89</v>
      </c>
      <c r="C209" s="4">
        <v>94.611729999999994</v>
      </c>
      <c r="D209" s="1">
        <v>4</v>
      </c>
    </row>
    <row r="210" spans="1:6" x14ac:dyDescent="0.15">
      <c r="A210" s="4">
        <v>250.00198</v>
      </c>
      <c r="B210" s="4">
        <v>89.5</v>
      </c>
      <c r="C210" s="4">
        <v>94.596500000000006</v>
      </c>
      <c r="D210" s="1">
        <v>4</v>
      </c>
    </row>
    <row r="211" spans="1:6" x14ac:dyDescent="0.15">
      <c r="A211" s="4">
        <v>250.00201000000001</v>
      </c>
      <c r="B211" s="4">
        <v>90</v>
      </c>
      <c r="C211" s="4">
        <v>94.584860000000006</v>
      </c>
      <c r="D211" s="1">
        <v>4</v>
      </c>
    </row>
    <row r="212" spans="1:6" x14ac:dyDescent="0.15">
      <c r="A212" s="4">
        <v>250.00303</v>
      </c>
      <c r="B212" s="4">
        <v>90.5</v>
      </c>
      <c r="C212" s="4">
        <v>94.559169999999995</v>
      </c>
      <c r="D212" s="1">
        <v>5</v>
      </c>
    </row>
    <row r="213" spans="1:6" x14ac:dyDescent="0.15">
      <c r="A213" s="4">
        <v>250.27969999999999</v>
      </c>
      <c r="B213" s="4">
        <v>91</v>
      </c>
      <c r="C213" s="4">
        <v>94.692850000000007</v>
      </c>
      <c r="D213" s="1">
        <v>5</v>
      </c>
    </row>
    <row r="214" spans="1:6" x14ac:dyDescent="0.15">
      <c r="A214" s="4">
        <v>250.52506</v>
      </c>
      <c r="B214" s="4">
        <v>91.5</v>
      </c>
      <c r="C214" s="4">
        <v>94.857519999999994</v>
      </c>
      <c r="D214" s="1">
        <v>5</v>
      </c>
    </row>
    <row r="215" spans="1:6" x14ac:dyDescent="0.15">
      <c r="A215" s="4">
        <v>250.48582999999999</v>
      </c>
      <c r="B215" s="4">
        <v>92</v>
      </c>
      <c r="C215" s="4">
        <v>94.961079999999995</v>
      </c>
      <c r="D215" s="1">
        <v>5</v>
      </c>
    </row>
    <row r="216" spans="1:6" x14ac:dyDescent="0.15">
      <c r="A216" s="4">
        <v>250.35082</v>
      </c>
      <c r="B216" s="4">
        <v>92.5</v>
      </c>
      <c r="C216" s="4">
        <v>95.031899999999993</v>
      </c>
      <c r="D216" s="1">
        <v>5</v>
      </c>
    </row>
    <row r="217" spans="1:6" x14ac:dyDescent="0.15">
      <c r="A217" s="4">
        <v>250.21381</v>
      </c>
      <c r="B217" s="4">
        <v>93</v>
      </c>
      <c r="C217" s="4">
        <v>95.045370000000005</v>
      </c>
      <c r="D217" s="1">
        <v>5</v>
      </c>
    </row>
    <row r="218" spans="1:6" x14ac:dyDescent="0.15">
      <c r="A218" s="4">
        <v>250.10078999999999</v>
      </c>
      <c r="B218" s="4">
        <v>93.5</v>
      </c>
      <c r="C218" s="4">
        <v>95.060559999999995</v>
      </c>
      <c r="D218" s="1">
        <v>5</v>
      </c>
    </row>
    <row r="219" spans="1:6" x14ac:dyDescent="0.15">
      <c r="A219" s="9">
        <v>250.01891000000001</v>
      </c>
      <c r="B219" s="9">
        <v>94</v>
      </c>
      <c r="C219" s="9">
        <v>95.06653</v>
      </c>
      <c r="D219" s="10">
        <v>5</v>
      </c>
      <c r="E219" s="11">
        <f>(Table27[[#This Row],[Mass/%]]-Table27[[#This Row],[Mass/%]])/$F$30</f>
        <v>0</v>
      </c>
      <c r="F219" s="8" t="s">
        <v>101</v>
      </c>
    </row>
    <row r="220" spans="1:6" x14ac:dyDescent="0.15">
      <c r="A220" s="4">
        <v>249.96587</v>
      </c>
      <c r="B220" s="4">
        <v>94.5</v>
      </c>
      <c r="C220" s="4">
        <v>95.064329999999998</v>
      </c>
      <c r="D220" s="1">
        <v>5</v>
      </c>
      <c r="E220" s="11">
        <f>($C$219-Table27[[#This Row],[Mass/%]])/$F$30</f>
        <v>3.5536990551579149E-5</v>
      </c>
    </row>
    <row r="221" spans="1:6" x14ac:dyDescent="0.15">
      <c r="A221" s="4">
        <v>249.94198</v>
      </c>
      <c r="B221" s="4">
        <v>95</v>
      </c>
      <c r="C221" s="4">
        <v>95.052710000000005</v>
      </c>
      <c r="D221" s="1">
        <v>5</v>
      </c>
      <c r="E221" s="11">
        <f>($C$219-Table27[[#This Row],[Mass/%]])/$F$30</f>
        <v>2.2323691337373749E-4</v>
      </c>
    </row>
    <row r="222" spans="1:6" x14ac:dyDescent="0.15">
      <c r="A222" s="4">
        <v>249.93098000000001</v>
      </c>
      <c r="B222" s="4">
        <v>95.5</v>
      </c>
      <c r="C222" s="4">
        <v>95.031620000000004</v>
      </c>
      <c r="D222" s="1">
        <v>5</v>
      </c>
      <c r="E222" s="11">
        <f>($C$219-Table27[[#This Row],[Mass/%]])/$F$30</f>
        <v>5.6390742734290292E-4</v>
      </c>
    </row>
    <row r="223" spans="1:6" x14ac:dyDescent="0.15">
      <c r="A223" s="4">
        <v>249.92099999999999</v>
      </c>
      <c r="B223" s="4">
        <v>96</v>
      </c>
      <c r="C223" s="4">
        <v>95.012730000000005</v>
      </c>
      <c r="D223" s="1">
        <v>5</v>
      </c>
      <c r="E223" s="11">
        <f>($C$219-Table27[[#This Row],[Mass/%]])/$F$30</f>
        <v>8.6904095076048907E-4</v>
      </c>
    </row>
    <row r="224" spans="1:6" x14ac:dyDescent="0.15">
      <c r="A224" s="4">
        <v>249.92001999999999</v>
      </c>
      <c r="B224" s="4">
        <v>96.5</v>
      </c>
      <c r="C224" s="4">
        <v>94.991669999999999</v>
      </c>
      <c r="D224" s="1">
        <v>5</v>
      </c>
      <c r="E224" s="11">
        <f>($C$219-Table27[[#This Row],[Mass/%]])/$F$30</f>
        <v>1.2092268694040274E-3</v>
      </c>
    </row>
    <row r="225" spans="1:5" x14ac:dyDescent="0.15">
      <c r="A225" s="4">
        <v>249.93305000000001</v>
      </c>
      <c r="B225" s="4">
        <v>97</v>
      </c>
      <c r="C225" s="4">
        <v>94.961010000000002</v>
      </c>
      <c r="D225" s="1">
        <v>5</v>
      </c>
      <c r="E225" s="11">
        <f>($C$219-Table27[[#This Row],[Mass/%]])/$F$30</f>
        <v>1.7044832922723668E-3</v>
      </c>
    </row>
    <row r="226" spans="1:5" x14ac:dyDescent="0.15">
      <c r="A226" s="4">
        <v>249.93805</v>
      </c>
      <c r="B226" s="4">
        <v>97.5</v>
      </c>
      <c r="C226" s="4">
        <v>94.955100000000002</v>
      </c>
      <c r="D226" s="1">
        <v>5</v>
      </c>
      <c r="E226" s="11">
        <f>($C$219-Table27[[#This Row],[Mass/%]])/$F$30</f>
        <v>1.7999485714358427E-3</v>
      </c>
    </row>
    <row r="227" spans="1:5" x14ac:dyDescent="0.15">
      <c r="A227" s="4">
        <v>249.94702000000001</v>
      </c>
      <c r="B227" s="4">
        <v>98</v>
      </c>
      <c r="C227" s="4">
        <v>94.935929999999999</v>
      </c>
      <c r="D227" s="1">
        <v>5</v>
      </c>
      <c r="E227" s="11">
        <f>($C$219-Table27[[#This Row],[Mass/%]])/$F$30</f>
        <v>2.1096049845600478E-3</v>
      </c>
    </row>
    <row r="228" spans="1:5" x14ac:dyDescent="0.15">
      <c r="A228" s="4">
        <v>249.95301000000001</v>
      </c>
      <c r="B228" s="4">
        <v>98.5</v>
      </c>
      <c r="C228" s="4">
        <v>94.90531</v>
      </c>
      <c r="D228" s="1">
        <v>5</v>
      </c>
      <c r="E228" s="11">
        <f>($C$219-Table27[[#This Row],[Mass/%]])/$F$30</f>
        <v>2.6042152803274748E-3</v>
      </c>
    </row>
    <row r="229" spans="1:5" x14ac:dyDescent="0.15">
      <c r="A229" s="4">
        <v>249.95797999999999</v>
      </c>
      <c r="B229" s="4">
        <v>99</v>
      </c>
      <c r="C229" s="4">
        <v>94.886099999999999</v>
      </c>
      <c r="D229" s="1">
        <v>5</v>
      </c>
      <c r="E229" s="11">
        <f>($C$219-Table27[[#This Row],[Mass/%]])/$F$30</f>
        <v>2.9145178205525926E-3</v>
      </c>
    </row>
    <row r="230" spans="1:5" x14ac:dyDescent="0.15">
      <c r="A230" s="4">
        <v>249.964</v>
      </c>
      <c r="B230" s="4">
        <v>99.5</v>
      </c>
      <c r="C230" s="4">
        <v>94.841999999999999</v>
      </c>
      <c r="D230" s="1">
        <v>5</v>
      </c>
      <c r="E230" s="11">
        <f>($C$219-Table27[[#This Row],[Mass/%]])/$F$30</f>
        <v>3.6268729493358835E-3</v>
      </c>
    </row>
    <row r="231" spans="1:5" x14ac:dyDescent="0.15">
      <c r="A231" s="4">
        <v>249.96902</v>
      </c>
      <c r="B231" s="4">
        <v>100</v>
      </c>
      <c r="C231" s="4">
        <v>94.830520000000007</v>
      </c>
      <c r="D231" s="1">
        <v>5</v>
      </c>
      <c r="E231" s="11">
        <f>($C$219-Table27[[#This Row],[Mass/%]])/$F$30</f>
        <v>3.8123114273047325E-3</v>
      </c>
    </row>
    <row r="232" spans="1:5" x14ac:dyDescent="0.15">
      <c r="A232" s="4">
        <v>249.97202999999999</v>
      </c>
      <c r="B232" s="4">
        <v>100.5</v>
      </c>
      <c r="C232" s="4">
        <v>94.788309999999996</v>
      </c>
      <c r="D232" s="1">
        <v>5</v>
      </c>
      <c r="E232" s="11">
        <f>($C$219-Table27[[#This Row],[Mass/%]])/$F$30</f>
        <v>4.4941370505689202E-3</v>
      </c>
    </row>
    <row r="233" spans="1:5" x14ac:dyDescent="0.15">
      <c r="A233" s="4">
        <v>249.97400999999999</v>
      </c>
      <c r="B233" s="4">
        <v>101</v>
      </c>
      <c r="C233" s="4">
        <v>94.770960000000002</v>
      </c>
      <c r="D233" s="1">
        <v>5</v>
      </c>
      <c r="E233" s="11">
        <f>($C$219-Table27[[#This Row],[Mass/%]])/$F$30</f>
        <v>4.7743946806003317E-3</v>
      </c>
    </row>
    <row r="234" spans="1:5" x14ac:dyDescent="0.15">
      <c r="A234" s="4">
        <v>249.98004</v>
      </c>
      <c r="B234" s="4">
        <v>101.5</v>
      </c>
      <c r="C234" s="4">
        <v>94.74427</v>
      </c>
      <c r="D234" s="1">
        <v>5</v>
      </c>
      <c r="E234" s="11">
        <f>($C$219-Table27[[#This Row],[Mass/%]])/$F$30</f>
        <v>5.2055229887007269E-3</v>
      </c>
    </row>
    <row r="235" spans="1:5" x14ac:dyDescent="0.15">
      <c r="A235" s="4">
        <v>249.98193000000001</v>
      </c>
      <c r="B235" s="4">
        <v>102</v>
      </c>
      <c r="C235" s="4">
        <v>94.705439999999996</v>
      </c>
      <c r="D235" s="1">
        <v>5</v>
      </c>
      <c r="E235" s="11">
        <f>($C$219-Table27[[#This Row],[Mass/%]])/$F$30</f>
        <v>5.8327508719356056E-3</v>
      </c>
    </row>
    <row r="236" spans="1:5" x14ac:dyDescent="0.15">
      <c r="A236" s="4">
        <v>249.98602</v>
      </c>
      <c r="B236" s="4">
        <v>102.5</v>
      </c>
      <c r="C236" s="4">
        <v>94.694280000000006</v>
      </c>
      <c r="D236" s="1">
        <v>5</v>
      </c>
      <c r="E236" s="11">
        <f>($C$219-Table27[[#This Row],[Mass/%]])/$F$30</f>
        <v>6.0130203330969233E-3</v>
      </c>
    </row>
    <row r="237" spans="1:5" x14ac:dyDescent="0.15">
      <c r="A237" s="4">
        <v>249.98502999999999</v>
      </c>
      <c r="B237" s="4">
        <v>103</v>
      </c>
      <c r="C237" s="4">
        <v>94.669460000000001</v>
      </c>
      <c r="D237" s="1">
        <v>5</v>
      </c>
      <c r="E237" s="11">
        <f>($C$219-Table27[[#This Row],[Mass/%]])/$F$30</f>
        <v>6.4139421992285561E-3</v>
      </c>
    </row>
    <row r="238" spans="1:5" x14ac:dyDescent="0.15">
      <c r="A238" s="4">
        <v>249.98804000000001</v>
      </c>
      <c r="B238" s="4">
        <v>103.5</v>
      </c>
      <c r="C238" s="4">
        <v>94.632930000000002</v>
      </c>
      <c r="D238" s="1">
        <v>5</v>
      </c>
      <c r="E238" s="11">
        <f>($C$219-Table27[[#This Row],[Mass/%]])/$F$30</f>
        <v>7.0040177741594592E-3</v>
      </c>
    </row>
    <row r="239" spans="1:5" x14ac:dyDescent="0.15">
      <c r="A239" s="4">
        <v>249.98795999999999</v>
      </c>
      <c r="B239" s="4">
        <v>104</v>
      </c>
      <c r="C239" s="4">
        <v>94.611739999999998</v>
      </c>
      <c r="D239" s="1">
        <v>5</v>
      </c>
      <c r="E239" s="11">
        <f>($C$219-Table27[[#This Row],[Mass/%]])/$F$30</f>
        <v>7.3463036058810209E-3</v>
      </c>
    </row>
    <row r="240" spans="1:5" x14ac:dyDescent="0.15">
      <c r="A240" s="4">
        <v>249.99301</v>
      </c>
      <c r="B240" s="4">
        <v>104.5</v>
      </c>
      <c r="C240" s="4">
        <v>94.575699999999998</v>
      </c>
      <c r="D240" s="1">
        <v>5</v>
      </c>
      <c r="E240" s="11">
        <f>($C$219-Table27[[#This Row],[Mass/%]])/$F$30</f>
        <v>7.9284641238254547E-3</v>
      </c>
    </row>
    <row r="241" spans="1:6" x14ac:dyDescent="0.15">
      <c r="A241" s="4">
        <v>249.98902000000001</v>
      </c>
      <c r="B241" s="4">
        <v>105</v>
      </c>
      <c r="C241" s="4">
        <v>94.552629999999994</v>
      </c>
      <c r="D241" s="1">
        <v>5</v>
      </c>
      <c r="E241" s="11">
        <f>($C$219-Table27[[#This Row],[Mass/%]])/$F$30</f>
        <v>8.3011179292910645E-3</v>
      </c>
    </row>
    <row r="242" spans="1:6" x14ac:dyDescent="0.15">
      <c r="A242" s="4">
        <v>249.99498</v>
      </c>
      <c r="B242" s="4">
        <v>105.5</v>
      </c>
      <c r="C242" s="4">
        <v>94.525509999999997</v>
      </c>
      <c r="D242" s="1">
        <v>5</v>
      </c>
      <c r="E242" s="11">
        <f>($C$219-Table27[[#This Row],[Mass/%]])/$F$30</f>
        <v>8.7391921037264439E-3</v>
      </c>
    </row>
    <row r="243" spans="1:6" x14ac:dyDescent="0.15">
      <c r="A243" s="4">
        <v>249.99297999999999</v>
      </c>
      <c r="B243" s="4">
        <v>106</v>
      </c>
      <c r="C243" s="4">
        <v>94.500510000000006</v>
      </c>
      <c r="D243" s="1">
        <v>5</v>
      </c>
      <c r="E243" s="11">
        <f>($C$219-Table27[[#This Row],[Mass/%]])/$F$30</f>
        <v>9.1430215418120703E-3</v>
      </c>
    </row>
    <row r="244" spans="1:6" x14ac:dyDescent="0.15">
      <c r="A244" s="4">
        <v>249.99799999999999</v>
      </c>
      <c r="B244" s="4">
        <v>106.5</v>
      </c>
      <c r="C244" s="4">
        <v>94.454539999999994</v>
      </c>
      <c r="D244" s="1">
        <v>5</v>
      </c>
      <c r="E244" s="11">
        <f>($C$219-Table27[[#This Row],[Mass/%]])/$F$30</f>
        <v>9.8855831125643535E-3</v>
      </c>
    </row>
    <row r="245" spans="1:6" x14ac:dyDescent="0.15">
      <c r="A245" s="4">
        <v>249.99699000000001</v>
      </c>
      <c r="B245" s="4">
        <v>107</v>
      </c>
      <c r="C245" s="4">
        <v>94.427769999999995</v>
      </c>
      <c r="D245" s="1">
        <v>5</v>
      </c>
      <c r="E245" s="11">
        <f>($C$219-Table27[[#This Row],[Mass/%]])/$F$30</f>
        <v>1.0318003674866573E-2</v>
      </c>
      <c r="F245" s="8" t="s">
        <v>104</v>
      </c>
    </row>
    <row r="246" spans="1:6" x14ac:dyDescent="0.15">
      <c r="A246" s="4">
        <v>249.99401</v>
      </c>
      <c r="B246" s="4">
        <v>107.5</v>
      </c>
      <c r="C246" s="4">
        <v>94.406570000000002</v>
      </c>
      <c r="D246" s="1">
        <v>5</v>
      </c>
      <c r="E246" s="11">
        <f>($C$219-Table27[[#This Row],[Mass/%]])/$F$30</f>
        <v>1.0660451038363192E-2</v>
      </c>
    </row>
    <row r="247" spans="1:6" x14ac:dyDescent="0.15">
      <c r="A247" s="4">
        <v>249.98895999999999</v>
      </c>
      <c r="B247" s="4">
        <v>108</v>
      </c>
      <c r="C247" s="4">
        <v>94.381870000000006</v>
      </c>
      <c r="D247" s="1">
        <v>5</v>
      </c>
      <c r="E247" s="11">
        <f>($C$219-Table27[[#This Row],[Mass/%]])/$F$30</f>
        <v>1.1059434523191858E-2</v>
      </c>
    </row>
    <row r="248" spans="1:6" x14ac:dyDescent="0.15">
      <c r="A248" s="4">
        <v>249.99100999999999</v>
      </c>
      <c r="B248" s="4">
        <v>108.5</v>
      </c>
      <c r="C248" s="4">
        <v>94.343389999999999</v>
      </c>
      <c r="D248" s="1">
        <v>5</v>
      </c>
      <c r="E248" s="11">
        <f>($C$219-Table27[[#This Row],[Mass/%]])/$F$30</f>
        <v>1.1681008794293577E-2</v>
      </c>
    </row>
    <row r="249" spans="1:6" x14ac:dyDescent="0.15">
      <c r="A249" s="4">
        <v>249.99200999999999</v>
      </c>
      <c r="B249" s="4">
        <v>109</v>
      </c>
      <c r="C249" s="4">
        <v>94.316559999999996</v>
      </c>
      <c r="D249" s="1">
        <v>5</v>
      </c>
      <c r="E249" s="11">
        <f>($C$219-Table27[[#This Row],[Mass/%]])/$F$30</f>
        <v>1.2114398547247281E-2</v>
      </c>
    </row>
    <row r="250" spans="1:6" x14ac:dyDescent="0.15">
      <c r="A250" s="4">
        <v>249.99799999999999</v>
      </c>
      <c r="B250" s="4">
        <v>109.5</v>
      </c>
      <c r="C250" s="4">
        <v>94.285899999999998</v>
      </c>
      <c r="D250" s="1">
        <v>5</v>
      </c>
      <c r="E250" s="11">
        <f>($C$219-Table27[[#This Row],[Mass/%]])/$F$30</f>
        <v>1.2609654970115621E-2</v>
      </c>
    </row>
    <row r="251" spans="1:6" x14ac:dyDescent="0.15">
      <c r="A251" s="4">
        <v>249.99804</v>
      </c>
      <c r="B251" s="4">
        <v>110</v>
      </c>
      <c r="C251" s="4">
        <v>94.251350000000002</v>
      </c>
      <c r="D251" s="1">
        <v>5</v>
      </c>
      <c r="E251" s="11">
        <f>($C$219-Table27[[#This Row],[Mass/%]])/$F$30</f>
        <v>1.3167747253550079E-2</v>
      </c>
    </row>
    <row r="252" spans="1:6" x14ac:dyDescent="0.15">
      <c r="A252" s="4">
        <v>249.99399</v>
      </c>
      <c r="B252" s="4">
        <v>110.5</v>
      </c>
      <c r="C252" s="4">
        <v>94.214969999999994</v>
      </c>
      <c r="D252" s="1">
        <v>5</v>
      </c>
      <c r="E252" s="11">
        <f>($C$219-Table27[[#This Row],[Mass/%]])/$F$30</f>
        <v>1.3755399851852616E-2</v>
      </c>
    </row>
    <row r="253" spans="1:6" x14ac:dyDescent="0.15">
      <c r="A253" s="4">
        <v>249.99203</v>
      </c>
      <c r="B253" s="4">
        <v>111</v>
      </c>
      <c r="C253" s="4">
        <v>94.188029999999998</v>
      </c>
      <c r="D253" s="1">
        <v>5</v>
      </c>
      <c r="E253" s="11">
        <f>($C$219-Table27[[#This Row],[Mass/%]])/$F$30</f>
        <v>1.4190566454333774E-2</v>
      </c>
    </row>
    <row r="254" spans="1:6" x14ac:dyDescent="0.15">
      <c r="A254" s="4">
        <v>249.99703</v>
      </c>
      <c r="B254" s="4">
        <v>111.5</v>
      </c>
      <c r="C254" s="4">
        <v>94.166989999999998</v>
      </c>
      <c r="D254" s="1">
        <v>5</v>
      </c>
      <c r="E254" s="11">
        <f>($C$219-Table27[[#This Row],[Mass/%]])/$F$30</f>
        <v>1.453042930942674E-2</v>
      </c>
    </row>
    <row r="255" spans="1:6" x14ac:dyDescent="0.15">
      <c r="A255" s="4">
        <v>249.99508</v>
      </c>
      <c r="B255" s="4">
        <v>112</v>
      </c>
      <c r="C255" s="4">
        <v>94.138409999999993</v>
      </c>
      <c r="D255" s="1">
        <v>5</v>
      </c>
      <c r="E255" s="11">
        <f>($C$219-Table27[[#This Row],[Mass/%]])/$F$30</f>
        <v>1.499208712304647E-2</v>
      </c>
    </row>
    <row r="256" spans="1:6" x14ac:dyDescent="0.15">
      <c r="A256" s="4">
        <v>249.99898999999999</v>
      </c>
      <c r="B256" s="4">
        <v>112.5</v>
      </c>
      <c r="C256" s="4">
        <v>94.107680000000002</v>
      </c>
      <c r="D256" s="1">
        <v>5</v>
      </c>
      <c r="E256" s="11">
        <f>($C$219-Table27[[#This Row],[Mass/%]])/$F$30</f>
        <v>1.5488474268341349E-2</v>
      </c>
    </row>
    <row r="257" spans="1:6" x14ac:dyDescent="0.15">
      <c r="A257" s="4">
        <v>249.994</v>
      </c>
      <c r="B257" s="4">
        <v>113</v>
      </c>
      <c r="C257" s="4">
        <v>94.078800000000001</v>
      </c>
      <c r="D257" s="1">
        <v>5</v>
      </c>
      <c r="E257" s="11">
        <f>($C$219-Table27[[#This Row],[Mass/%]])/$F$30</f>
        <v>1.5954978035218038E-2</v>
      </c>
    </row>
    <row r="258" spans="1:6" x14ac:dyDescent="0.15">
      <c r="A258" s="4">
        <v>249.99701999999999</v>
      </c>
      <c r="B258" s="4">
        <v>113.5</v>
      </c>
      <c r="C258" s="4">
        <v>94.044439999999994</v>
      </c>
      <c r="D258" s="1">
        <v>5</v>
      </c>
      <c r="E258" s="11">
        <f>($C$219-Table27[[#This Row],[Mass/%]])/$F$30</f>
        <v>1.6510001214923218E-2</v>
      </c>
      <c r="F258" s="8" t="s">
        <v>103</v>
      </c>
    </row>
    <row r="259" spans="1:6" x14ac:dyDescent="0.15">
      <c r="A259" s="4">
        <v>249.99599000000001</v>
      </c>
      <c r="B259" s="4">
        <v>114</v>
      </c>
      <c r="C259" s="4">
        <v>94.025040000000004</v>
      </c>
      <c r="D259" s="1">
        <v>5</v>
      </c>
      <c r="E259" s="11">
        <f>($C$219-Table27[[#This Row],[Mass/%]])/$F$30</f>
        <v>1.6823372858877614E-2</v>
      </c>
    </row>
    <row r="260" spans="1:6" x14ac:dyDescent="0.15">
      <c r="A260" s="4">
        <v>249.99601999999999</v>
      </c>
      <c r="B260" s="4">
        <v>114.5</v>
      </c>
      <c r="C260" s="4">
        <v>93.990520000000004</v>
      </c>
      <c r="D260" s="1">
        <v>5</v>
      </c>
      <c r="E260" s="11">
        <f>($C$219-Table27[[#This Row],[Mass/%]])/$F$30</f>
        <v>1.7380980546986446E-2</v>
      </c>
    </row>
    <row r="261" spans="1:6" x14ac:dyDescent="0.15">
      <c r="A261" s="4">
        <v>249.994</v>
      </c>
      <c r="B261" s="4">
        <v>115</v>
      </c>
      <c r="C261" s="4">
        <v>93.957819999999998</v>
      </c>
      <c r="D261" s="1">
        <v>5</v>
      </c>
      <c r="E261" s="11">
        <f>($C$219-Table27[[#This Row],[Mass/%]])/$F$30</f>
        <v>1.7909189452002712E-2</v>
      </c>
    </row>
    <row r="262" spans="1:6" x14ac:dyDescent="0.15">
      <c r="A262" s="4">
        <v>249.99600000000001</v>
      </c>
      <c r="B262" s="4">
        <v>115.5</v>
      </c>
      <c r="C262" s="4">
        <v>93.930909999999997</v>
      </c>
      <c r="D262" s="1">
        <v>5</v>
      </c>
      <c r="E262" s="11">
        <f>($C$219-Table27[[#This Row],[Mass/%]])/$F$30</f>
        <v>1.8343871459158244E-2</v>
      </c>
    </row>
    <row r="263" spans="1:6" x14ac:dyDescent="0.15">
      <c r="A263" s="4">
        <v>249.99700000000001</v>
      </c>
      <c r="B263" s="4">
        <v>116</v>
      </c>
      <c r="C263" s="4">
        <v>93.900509999999997</v>
      </c>
      <c r="D263" s="1">
        <v>5</v>
      </c>
      <c r="E263" s="11">
        <f>($C$219-Table27[[#This Row],[Mass/%]])/$F$30</f>
        <v>1.8834928055870535E-2</v>
      </c>
    </row>
    <row r="264" spans="1:6" x14ac:dyDescent="0.15">
      <c r="A264" s="4">
        <v>249.999</v>
      </c>
      <c r="B264" s="4">
        <v>116.5</v>
      </c>
      <c r="C264" s="4">
        <v>93.873689999999996</v>
      </c>
      <c r="D264" s="1">
        <v>5</v>
      </c>
      <c r="E264" s="11">
        <f>($C$219-Table27[[#This Row],[Mass/%]])/$F$30</f>
        <v>1.9268156277048955E-2</v>
      </c>
    </row>
    <row r="265" spans="1:6" x14ac:dyDescent="0.15">
      <c r="A265" s="4">
        <v>250.005</v>
      </c>
      <c r="B265" s="4">
        <v>117</v>
      </c>
      <c r="C265" s="4">
        <v>93.841130000000007</v>
      </c>
      <c r="D265" s="1">
        <v>5</v>
      </c>
      <c r="E265" s="11">
        <f>($C$219-Table27[[#This Row],[Mass/%]])/$F$30</f>
        <v>1.9794103737211681E-2</v>
      </c>
    </row>
    <row r="266" spans="1:6" x14ac:dyDescent="0.15">
      <c r="A266" s="4">
        <v>250.00399999999999</v>
      </c>
      <c r="B266" s="4">
        <v>117.5</v>
      </c>
      <c r="C266" s="4">
        <v>93.819890000000001</v>
      </c>
      <c r="D266" s="1">
        <v>5</v>
      </c>
      <c r="E266" s="11">
        <f>($C$219-Table27[[#This Row],[Mass/%]])/$F$30</f>
        <v>2.0137197227809444E-2</v>
      </c>
    </row>
    <row r="267" spans="1:6" x14ac:dyDescent="0.15">
      <c r="A267" s="4">
        <v>249.99999</v>
      </c>
      <c r="B267" s="4">
        <v>118</v>
      </c>
      <c r="C267" s="4">
        <v>93.773949999999999</v>
      </c>
      <c r="D267" s="1">
        <v>5</v>
      </c>
      <c r="E267" s="11">
        <f>($C$219-Table27[[#This Row],[Mass/%]])/$F$30</f>
        <v>2.0879274203235869E-2</v>
      </c>
    </row>
    <row r="268" spans="1:6" x14ac:dyDescent="0.15">
      <c r="A268" s="4">
        <v>250.00303</v>
      </c>
      <c r="B268" s="4">
        <v>118.5</v>
      </c>
      <c r="C268" s="4">
        <v>93.754750000000001</v>
      </c>
      <c r="D268" s="1">
        <v>5</v>
      </c>
      <c r="E268" s="11">
        <f>($C$219-Table27[[#This Row],[Mass/%]])/$F$30</f>
        <v>2.11894152116857E-2</v>
      </c>
    </row>
    <row r="269" spans="1:6" x14ac:dyDescent="0.15">
      <c r="A269" s="4">
        <v>250.00393</v>
      </c>
      <c r="B269" s="4">
        <v>119</v>
      </c>
      <c r="C269" s="4">
        <v>93.704840000000004</v>
      </c>
      <c r="D269" s="1">
        <v>5</v>
      </c>
      <c r="E269" s="11">
        <f>($C$219-Table27[[#This Row],[Mass/%]])/$F$30</f>
        <v>2.199562030188007E-2</v>
      </c>
    </row>
    <row r="270" spans="1:6" x14ac:dyDescent="0.15">
      <c r="A270" s="4">
        <v>250.00397000000001</v>
      </c>
      <c r="B270" s="4">
        <v>119.5</v>
      </c>
      <c r="C270" s="4">
        <v>93.69153</v>
      </c>
      <c r="D270" s="1">
        <v>5</v>
      </c>
      <c r="E270" s="11">
        <f>($C$219-Table27[[#This Row],[Mass/%]])/$F$30</f>
        <v>2.2210619094716999E-2</v>
      </c>
    </row>
    <row r="271" spans="1:6" x14ac:dyDescent="0.15">
      <c r="A271" s="4">
        <v>249.99795</v>
      </c>
      <c r="B271" s="4">
        <v>120</v>
      </c>
      <c r="C271" s="4">
        <v>93.668459999999996</v>
      </c>
      <c r="D271" s="1">
        <v>5</v>
      </c>
      <c r="E271" s="11">
        <f>($C$219-Table27[[#This Row],[Mass/%]])/$F$30</f>
        <v>2.2583272900182607E-2</v>
      </c>
    </row>
    <row r="272" spans="1:6" x14ac:dyDescent="0.15">
      <c r="A272" s="4">
        <v>250.00299999999999</v>
      </c>
      <c r="B272" s="4">
        <v>120.5</v>
      </c>
      <c r="C272" s="4">
        <v>93.647490000000005</v>
      </c>
      <c r="D272" s="1">
        <v>5</v>
      </c>
      <c r="E272" s="11">
        <f>($C$219-Table27[[#This Row],[Mass/%]])/$F$30</f>
        <v>2.2922005032848806E-2</v>
      </c>
    </row>
    <row r="273" spans="1:5" x14ac:dyDescent="0.15">
      <c r="A273" s="4">
        <v>250.00202999999999</v>
      </c>
      <c r="B273" s="4">
        <v>121</v>
      </c>
      <c r="C273" s="4">
        <v>93.626220000000004</v>
      </c>
      <c r="D273" s="1">
        <v>5</v>
      </c>
      <c r="E273" s="11">
        <f>($C$219-Table27[[#This Row],[Mass/%]])/$F$30</f>
        <v>2.3265583118772193E-2</v>
      </c>
    </row>
    <row r="274" spans="1:5" x14ac:dyDescent="0.15">
      <c r="A274" s="4">
        <v>249.99999</v>
      </c>
      <c r="B274" s="4">
        <v>121.5</v>
      </c>
      <c r="C274" s="4">
        <v>93.589759999999998</v>
      </c>
      <c r="D274" s="1">
        <v>5</v>
      </c>
      <c r="E274" s="11">
        <f>($C$219-Table27[[#This Row],[Mass/%]])/$F$30</f>
        <v>2.3854527971276556E-2</v>
      </c>
    </row>
    <row r="275" spans="1:5" x14ac:dyDescent="0.15">
      <c r="A275" s="4">
        <v>250.00003000000001</v>
      </c>
      <c r="B275" s="4">
        <v>122</v>
      </c>
      <c r="C275" s="4">
        <v>93.559079999999994</v>
      </c>
      <c r="D275" s="1">
        <v>5</v>
      </c>
      <c r="E275" s="11">
        <f>($C$219-Table27[[#This Row],[Mass/%]])/$F$30</f>
        <v>2.4350107457695468E-2</v>
      </c>
    </row>
    <row r="276" spans="1:5" x14ac:dyDescent="0.15">
      <c r="A276" s="4">
        <v>250.00299000000001</v>
      </c>
      <c r="B276" s="4">
        <v>122.5</v>
      </c>
      <c r="C276" s="4">
        <v>93.536119999999997</v>
      </c>
      <c r="D276" s="1">
        <v>5</v>
      </c>
      <c r="E276" s="11">
        <f>($C$219-Table27[[#This Row],[Mass/%]])/$F$30</f>
        <v>2.4720984413633393E-2</v>
      </c>
    </row>
    <row r="277" spans="1:5" x14ac:dyDescent="0.15">
      <c r="A277" s="4">
        <v>250.00595000000001</v>
      </c>
      <c r="B277" s="4">
        <v>123</v>
      </c>
      <c r="C277" s="4">
        <v>93.497860000000003</v>
      </c>
      <c r="D277" s="1">
        <v>5</v>
      </c>
      <c r="E277" s="11">
        <f>($C$219-Table27[[#This Row],[Mass/%]])/$F$30</f>
        <v>2.5339004985679748E-2</v>
      </c>
    </row>
    <row r="278" spans="1:5" x14ac:dyDescent="0.15">
      <c r="A278" s="4">
        <v>250.005</v>
      </c>
      <c r="B278" s="4">
        <v>123.5</v>
      </c>
      <c r="C278" s="4">
        <v>93.468999999999994</v>
      </c>
      <c r="D278" s="1">
        <v>5</v>
      </c>
      <c r="E278" s="11">
        <f>($C$219-Table27[[#This Row],[Mass/%]])/$F$30</f>
        <v>2.5805185689006097E-2</v>
      </c>
    </row>
    <row r="279" spans="1:5" x14ac:dyDescent="0.15">
      <c r="A279" s="4">
        <v>250.00597999999999</v>
      </c>
      <c r="B279" s="4">
        <v>124</v>
      </c>
      <c r="C279" s="4">
        <v>93.430679999999995</v>
      </c>
      <c r="D279" s="1">
        <v>5</v>
      </c>
      <c r="E279" s="11">
        <f>($C$219-Table27[[#This Row],[Mass/%]])/$F$30</f>
        <v>2.6424175451703936E-2</v>
      </c>
    </row>
    <row r="280" spans="1:5" x14ac:dyDescent="0.15">
      <c r="A280" s="4">
        <v>250.00102000000001</v>
      </c>
      <c r="B280" s="4">
        <v>124.5</v>
      </c>
      <c r="C280" s="4">
        <v>93.407629999999997</v>
      </c>
      <c r="D280" s="1">
        <v>5</v>
      </c>
      <c r="E280" s="11">
        <f>($C$219-Table27[[#This Row],[Mass/%]])/$F$30</f>
        <v>2.6796506193618973E-2</v>
      </c>
    </row>
    <row r="281" spans="1:5" x14ac:dyDescent="0.15">
      <c r="A281" s="4">
        <v>249.99898999999999</v>
      </c>
      <c r="B281" s="4">
        <v>125</v>
      </c>
      <c r="C281" s="4">
        <v>93.382670000000005</v>
      </c>
      <c r="D281" s="1">
        <v>5</v>
      </c>
      <c r="E281" s="11">
        <f>($C$219-Table27[[#This Row],[Mass/%]])/$F$30</f>
        <v>2.7199689504603688E-2</v>
      </c>
    </row>
    <row r="282" spans="1:5" x14ac:dyDescent="0.15">
      <c r="A282" s="4">
        <v>250.00196</v>
      </c>
      <c r="B282" s="4">
        <v>125.5</v>
      </c>
      <c r="C282" s="4">
        <v>93.340519999999998</v>
      </c>
      <c r="D282" s="1">
        <v>5</v>
      </c>
      <c r="E282" s="11">
        <f>($C$219-Table27[[#This Row],[Mass/%]])/$F$30</f>
        <v>2.7880545937216391E-2</v>
      </c>
    </row>
    <row r="283" spans="1:5" x14ac:dyDescent="0.15">
      <c r="A283" s="4">
        <v>250.00199000000001</v>
      </c>
      <c r="B283" s="4">
        <v>126</v>
      </c>
      <c r="C283" s="4">
        <v>93.307820000000007</v>
      </c>
      <c r="D283" s="1">
        <v>5</v>
      </c>
      <c r="E283" s="11">
        <f>($C$219-Table27[[#This Row],[Mass/%]])/$F$30</f>
        <v>2.8408754842232428E-2</v>
      </c>
    </row>
    <row r="284" spans="1:5" x14ac:dyDescent="0.15">
      <c r="A284" s="4">
        <v>250.00596999999999</v>
      </c>
      <c r="B284" s="4">
        <v>126.5</v>
      </c>
      <c r="C284" s="4">
        <v>93.286699999999996</v>
      </c>
      <c r="D284" s="1">
        <v>5</v>
      </c>
      <c r="E284" s="11">
        <f>($C$219-Table27[[#This Row],[Mass/%]])/$F$30</f>
        <v>2.8749909951527451E-2</v>
      </c>
    </row>
    <row r="285" spans="1:5" x14ac:dyDescent="0.15">
      <c r="A285" s="4">
        <v>249.99901</v>
      </c>
      <c r="B285" s="4">
        <v>127</v>
      </c>
      <c r="C285" s="4">
        <v>93.256200000000007</v>
      </c>
      <c r="D285" s="1">
        <v>5</v>
      </c>
      <c r="E285" s="11">
        <f>($C$219-Table27[[#This Row],[Mass/%]])/$F$30</f>
        <v>2.924258186599191E-2</v>
      </c>
    </row>
    <row r="286" spans="1:5" x14ac:dyDescent="0.15">
      <c r="A286" s="4">
        <v>249.99798000000001</v>
      </c>
      <c r="B286" s="4">
        <v>127.5</v>
      </c>
      <c r="C286" s="4">
        <v>93.221720000000005</v>
      </c>
      <c r="D286" s="1">
        <v>5</v>
      </c>
      <c r="E286" s="11">
        <f>($C$219-Table27[[#This Row],[Mass/%]])/$F$30</f>
        <v>2.9799543426999829E-2</v>
      </c>
    </row>
    <row r="287" spans="1:5" x14ac:dyDescent="0.15">
      <c r="A287" s="4">
        <v>250.00299999999999</v>
      </c>
      <c r="B287" s="4">
        <v>128</v>
      </c>
      <c r="C287" s="4">
        <v>93.204470000000001</v>
      </c>
      <c r="D287" s="1">
        <v>5</v>
      </c>
      <c r="E287" s="11">
        <f>($C$219-Table27[[#This Row],[Mass/%]])/$F$30</f>
        <v>3.0078185739279072E-2</v>
      </c>
    </row>
    <row r="288" spans="1:5" x14ac:dyDescent="0.15">
      <c r="A288" s="4">
        <v>250.00301999999999</v>
      </c>
      <c r="B288" s="4">
        <v>128.5</v>
      </c>
      <c r="C288" s="4">
        <v>93.173869999999994</v>
      </c>
      <c r="D288" s="1">
        <v>5</v>
      </c>
      <c r="E288" s="11">
        <f>($C$219-Table27[[#This Row],[Mass/%]])/$F$30</f>
        <v>3.0572472971496158E-2</v>
      </c>
    </row>
    <row r="289" spans="1:5" x14ac:dyDescent="0.15">
      <c r="A289" s="4">
        <v>249.99800999999999</v>
      </c>
      <c r="B289" s="4">
        <v>129</v>
      </c>
      <c r="C289" s="4">
        <v>93.141270000000006</v>
      </c>
      <c r="D289" s="1">
        <v>5</v>
      </c>
      <c r="E289" s="11">
        <f>($C$219-Table27[[#This Row],[Mass/%]])/$F$30</f>
        <v>3.10990665587598E-2</v>
      </c>
    </row>
    <row r="290" spans="1:5" x14ac:dyDescent="0.15">
      <c r="A290" s="4">
        <v>249.99601000000001</v>
      </c>
      <c r="B290" s="4">
        <v>129.5</v>
      </c>
      <c r="C290" s="4">
        <v>93.102800000000002</v>
      </c>
      <c r="D290" s="1">
        <v>5</v>
      </c>
      <c r="E290" s="11">
        <f>($C$219-Table27[[#This Row],[Mass/%]])/$F$30</f>
        <v>3.1720479298086232E-2</v>
      </c>
    </row>
    <row r="291" spans="1:5" x14ac:dyDescent="0.15">
      <c r="A291" s="4">
        <v>249.99700999999999</v>
      </c>
      <c r="B291" s="4">
        <v>130</v>
      </c>
      <c r="C291" s="4">
        <v>93.072069999999997</v>
      </c>
      <c r="D291" s="1">
        <v>5</v>
      </c>
      <c r="E291" s="11">
        <f>($C$219-Table27[[#This Row],[Mass/%]])/$F$30</f>
        <v>3.2216866443381342E-2</v>
      </c>
    </row>
    <row r="292" spans="1:5" x14ac:dyDescent="0.15">
      <c r="A292" s="4">
        <v>249.99897999999999</v>
      </c>
      <c r="B292" s="4">
        <v>130.5</v>
      </c>
      <c r="C292" s="4">
        <v>93.029949999999999</v>
      </c>
      <c r="D292" s="1">
        <v>5</v>
      </c>
      <c r="E292" s="11">
        <f>($C$219-Table27[[#This Row],[Mass/%]])/$F$30</f>
        <v>3.2897238280668192E-2</v>
      </c>
    </row>
    <row r="293" spans="1:5" x14ac:dyDescent="0.15">
      <c r="A293" s="4">
        <v>250.00498999999999</v>
      </c>
      <c r="B293" s="4">
        <v>131</v>
      </c>
      <c r="C293" s="4">
        <v>93.012749999999997</v>
      </c>
      <c r="D293" s="1">
        <v>5</v>
      </c>
      <c r="E293" s="11">
        <f>($C$219-Table27[[#This Row],[Mass/%]])/$F$30</f>
        <v>3.3175072934071237E-2</v>
      </c>
    </row>
    <row r="294" spans="1:5" x14ac:dyDescent="0.15">
      <c r="A294" s="4">
        <v>250.00301999999999</v>
      </c>
      <c r="B294" s="4">
        <v>131.5</v>
      </c>
      <c r="C294" s="4">
        <v>92.981859999999998</v>
      </c>
      <c r="D294" s="1">
        <v>5</v>
      </c>
      <c r="E294" s="11">
        <f>($C$219-Table27[[#This Row],[Mass/%]])/$F$30</f>
        <v>3.367404458777E-2</v>
      </c>
    </row>
    <row r="295" spans="1:5" x14ac:dyDescent="0.15">
      <c r="A295" s="4">
        <v>249.99796000000001</v>
      </c>
      <c r="B295" s="4">
        <v>132</v>
      </c>
      <c r="C295" s="4">
        <v>92.97627</v>
      </c>
      <c r="D295" s="1">
        <v>5</v>
      </c>
      <c r="E295" s="11">
        <f>($C$219-Table27[[#This Row],[Mass/%]])/$F$30</f>
        <v>3.3764340850125939E-2</v>
      </c>
    </row>
    <row r="296" spans="1:5" x14ac:dyDescent="0.15">
      <c r="A296" s="4">
        <v>249.99600000000001</v>
      </c>
      <c r="B296" s="4">
        <v>132.5</v>
      </c>
      <c r="C296" s="4">
        <v>92.947519999999997</v>
      </c>
      <c r="D296" s="1">
        <v>5</v>
      </c>
      <c r="E296" s="11">
        <f>($C$219-Table27[[#This Row],[Mass/%]])/$F$30</f>
        <v>3.4228744703924605E-2</v>
      </c>
    </row>
    <row r="297" spans="1:5" x14ac:dyDescent="0.15">
      <c r="A297" s="4">
        <v>249.99794</v>
      </c>
      <c r="B297" s="4">
        <v>133</v>
      </c>
      <c r="C297" s="4">
        <v>92.90155</v>
      </c>
      <c r="D297" s="1">
        <v>5</v>
      </c>
      <c r="E297" s="11">
        <f>($C$219-Table27[[#This Row],[Mass/%]])/$F$30</f>
        <v>3.4971306274676657E-2</v>
      </c>
    </row>
    <row r="298" spans="1:5" x14ac:dyDescent="0.15">
      <c r="A298" s="4">
        <v>250.00507999999999</v>
      </c>
      <c r="B298" s="4">
        <v>133.5</v>
      </c>
      <c r="C298" s="4">
        <v>92.872749999999996</v>
      </c>
      <c r="D298" s="1">
        <v>5</v>
      </c>
      <c r="E298" s="11">
        <f>($C$219-Table27[[#This Row],[Mass/%]])/$F$30</f>
        <v>3.5436517787351525E-2</v>
      </c>
    </row>
    <row r="299" spans="1:5" x14ac:dyDescent="0.15">
      <c r="A299" s="4">
        <v>250.00199000000001</v>
      </c>
      <c r="B299" s="4">
        <v>134</v>
      </c>
      <c r="C299" s="4">
        <v>92.853489999999994</v>
      </c>
      <c r="D299" s="1">
        <v>5</v>
      </c>
      <c r="E299" s="11">
        <f>($C$219-Table27[[#This Row],[Mass/%]])/$F$30</f>
        <v>3.574762798645284E-2</v>
      </c>
    </row>
    <row r="300" spans="1:5" x14ac:dyDescent="0.15">
      <c r="A300" s="4">
        <v>250</v>
      </c>
      <c r="B300" s="4">
        <v>134.5</v>
      </c>
      <c r="C300" s="4">
        <v>92.834320000000005</v>
      </c>
      <c r="D300" s="1">
        <v>5</v>
      </c>
      <c r="E300" s="11">
        <f>($C$219-Table27[[#This Row],[Mass/%]])/$F$30</f>
        <v>3.6057284399576811E-2</v>
      </c>
    </row>
    <row r="301" spans="1:5" x14ac:dyDescent="0.15">
      <c r="A301" s="4">
        <v>249.99802</v>
      </c>
      <c r="B301" s="4">
        <v>135</v>
      </c>
      <c r="C301" s="4">
        <v>92.815179999999998</v>
      </c>
      <c r="D301" s="1">
        <v>5</v>
      </c>
      <c r="E301" s="11">
        <f>($C$219-Table27[[#This Row],[Mass/%]])/$F$30</f>
        <v>3.6366456217375394E-2</v>
      </c>
    </row>
    <row r="302" spans="1:5" x14ac:dyDescent="0.15">
      <c r="A302" s="4">
        <v>249.99597</v>
      </c>
      <c r="B302" s="4">
        <v>135.5</v>
      </c>
      <c r="C302" s="4">
        <v>92.788250000000005</v>
      </c>
      <c r="D302" s="1">
        <v>5</v>
      </c>
      <c r="E302" s="11">
        <f>($C$219-Table27[[#This Row],[Mass/%]])/$F$30</f>
        <v>3.6801461288081261E-2</v>
      </c>
    </row>
    <row r="303" spans="1:5" x14ac:dyDescent="0.15">
      <c r="A303" s="4">
        <v>249.99701999999999</v>
      </c>
      <c r="B303" s="4">
        <v>136</v>
      </c>
      <c r="C303" s="4">
        <v>92.759640000000005</v>
      </c>
      <c r="D303" s="1">
        <v>5</v>
      </c>
      <c r="E303" s="11">
        <f>($C$219-Table27[[#This Row],[Mass/%]])/$F$30</f>
        <v>3.7263603697026616E-2</v>
      </c>
    </row>
    <row r="304" spans="1:5" x14ac:dyDescent="0.15">
      <c r="A304" s="4">
        <v>250.00299000000001</v>
      </c>
      <c r="B304" s="4">
        <v>136.5</v>
      </c>
      <c r="C304" s="4">
        <v>92.728899999999996</v>
      </c>
      <c r="D304" s="1">
        <v>5</v>
      </c>
      <c r="E304" s="11">
        <f>($C$219-Table27[[#This Row],[Mass/%]])/$F$30</f>
        <v>3.7760152374097015E-2</v>
      </c>
    </row>
    <row r="305" spans="1:5" x14ac:dyDescent="0.15">
      <c r="A305" s="4">
        <v>250.00699</v>
      </c>
      <c r="B305" s="4">
        <v>137</v>
      </c>
      <c r="C305" s="4">
        <v>92.702079999999995</v>
      </c>
      <c r="D305" s="1">
        <v>5</v>
      </c>
      <c r="E305" s="11">
        <f>($C$219-Table27[[#This Row],[Mass/%]])/$F$30</f>
        <v>3.8193380595275432E-2</v>
      </c>
    </row>
    <row r="306" spans="1:5" x14ac:dyDescent="0.15">
      <c r="A306" s="4">
        <v>250.00099</v>
      </c>
      <c r="B306" s="4">
        <v>137.5</v>
      </c>
      <c r="C306" s="4">
        <v>92.656090000000006</v>
      </c>
      <c r="D306" s="1">
        <v>5</v>
      </c>
      <c r="E306" s="11">
        <f>($C$219-Table27[[#This Row],[Mass/%]])/$F$30</f>
        <v>3.8936265229577827E-2</v>
      </c>
    </row>
    <row r="307" spans="1:5" x14ac:dyDescent="0.15">
      <c r="A307" s="4">
        <v>250.00601</v>
      </c>
      <c r="B307" s="4">
        <v>138</v>
      </c>
      <c r="C307" s="4">
        <v>92.634870000000006</v>
      </c>
      <c r="D307" s="1">
        <v>5</v>
      </c>
      <c r="E307" s="11">
        <f>($C$219-Table27[[#This Row],[Mass/%]])/$F$30</f>
        <v>3.9279035656625015E-2</v>
      </c>
    </row>
    <row r="308" spans="1:5" x14ac:dyDescent="0.15">
      <c r="A308" s="4">
        <v>250.00102999999999</v>
      </c>
      <c r="B308" s="4">
        <v>138.5</v>
      </c>
      <c r="C308" s="4">
        <v>92.600440000000006</v>
      </c>
      <c r="D308" s="1">
        <v>5</v>
      </c>
      <c r="E308" s="11">
        <f>($C$219-Table27[[#This Row],[Mass/%]])/$F$30</f>
        <v>3.9835189558756735E-2</v>
      </c>
    </row>
    <row r="309" spans="1:5" x14ac:dyDescent="0.15">
      <c r="A309" s="4">
        <v>250.00299999999999</v>
      </c>
      <c r="B309" s="4">
        <v>139</v>
      </c>
      <c r="C309" s="4">
        <v>92.577439999999996</v>
      </c>
      <c r="D309" s="1">
        <v>5</v>
      </c>
      <c r="E309" s="11">
        <f>($C$219-Table27[[#This Row],[Mass/%]])/$F$30</f>
        <v>4.020671264179581E-2</v>
      </c>
    </row>
    <row r="310" spans="1:5" x14ac:dyDescent="0.15">
      <c r="A310" s="4">
        <v>250.00109</v>
      </c>
      <c r="B310" s="4">
        <v>139.5</v>
      </c>
      <c r="C310" s="4">
        <v>92.538910000000001</v>
      </c>
      <c r="D310" s="1">
        <v>5</v>
      </c>
      <c r="E310" s="11">
        <f>($C$219-Table27[[#This Row],[Mass/%]])/$F$30</f>
        <v>4.0829094571773493E-2</v>
      </c>
    </row>
    <row r="311" spans="1:5" x14ac:dyDescent="0.15">
      <c r="A311" s="4">
        <v>250.00296</v>
      </c>
      <c r="B311" s="4">
        <v>140</v>
      </c>
      <c r="C311" s="4">
        <v>92.533259999999999</v>
      </c>
      <c r="D311" s="1">
        <v>5</v>
      </c>
      <c r="E311" s="11">
        <f>($C$219-Table27[[#This Row],[Mass/%]])/$F$30</f>
        <v>4.0920360024780923E-2</v>
      </c>
    </row>
    <row r="312" spans="1:5" x14ac:dyDescent="0.15">
      <c r="A312" s="4">
        <v>249.99997999999999</v>
      </c>
      <c r="B312" s="4">
        <v>140.5</v>
      </c>
      <c r="C312" s="4">
        <v>92.500709999999998</v>
      </c>
      <c r="D312" s="1">
        <v>5</v>
      </c>
      <c r="E312" s="11">
        <f>($C$219-Table27[[#This Row],[Mass/%]])/$F$30</f>
        <v>4.1446145953168596E-2</v>
      </c>
    </row>
    <row r="313" spans="1:5" x14ac:dyDescent="0.15">
      <c r="A313" s="4">
        <v>250.00001</v>
      </c>
      <c r="B313" s="4">
        <v>141</v>
      </c>
      <c r="C313" s="4">
        <v>92.473910000000004</v>
      </c>
      <c r="D313" s="1">
        <v>5</v>
      </c>
      <c r="E313" s="11">
        <f>($C$219-Table27[[#This Row],[Mass/%]])/$F$30</f>
        <v>4.1879051110796442E-2</v>
      </c>
    </row>
    <row r="314" spans="1:5" x14ac:dyDescent="0.15">
      <c r="A314" s="4">
        <v>250.00201999999999</v>
      </c>
      <c r="B314" s="4">
        <v>141.5</v>
      </c>
      <c r="C314" s="4">
        <v>92.471869999999996</v>
      </c>
      <c r="D314" s="1">
        <v>5</v>
      </c>
      <c r="E314" s="11">
        <f>($C$219-Table27[[#This Row],[Mass/%]])/$F$30</f>
        <v>4.191200359294437E-2</v>
      </c>
    </row>
    <row r="315" spans="1:5" x14ac:dyDescent="0.15">
      <c r="A315" s="4">
        <v>250.00504000000001</v>
      </c>
      <c r="B315" s="4">
        <v>142</v>
      </c>
      <c r="C315" s="4">
        <v>92.422190000000001</v>
      </c>
      <c r="D315" s="1">
        <v>5</v>
      </c>
      <c r="E315" s="11">
        <f>($C$219-Table27[[#This Row],[Mass/%]])/$F$30</f>
        <v>4.2714493452308322E-2</v>
      </c>
    </row>
    <row r="316" spans="1:5" x14ac:dyDescent="0.15">
      <c r="A316" s="4">
        <v>250.00300999999999</v>
      </c>
      <c r="B316" s="4">
        <v>142.5</v>
      </c>
      <c r="C316" s="4">
        <v>92.404839999999993</v>
      </c>
      <c r="D316" s="1">
        <v>5</v>
      </c>
      <c r="E316" s="11">
        <f>($C$219-Table27[[#This Row],[Mass/%]])/$F$30</f>
        <v>4.2994751082339966E-2</v>
      </c>
    </row>
    <row r="317" spans="1:5" x14ac:dyDescent="0.15">
      <c r="A317" s="4">
        <v>250.00306</v>
      </c>
      <c r="B317" s="4">
        <v>143</v>
      </c>
      <c r="C317" s="4">
        <v>92.375969999999995</v>
      </c>
      <c r="D317" s="1">
        <v>5</v>
      </c>
      <c r="E317" s="11">
        <f>($C$219-Table27[[#This Row],[Mass/%]])/$F$30</f>
        <v>4.3461093317441364E-2</v>
      </c>
    </row>
    <row r="318" spans="1:5" x14ac:dyDescent="0.15">
      <c r="A318" s="4">
        <v>250.00702999999999</v>
      </c>
      <c r="B318" s="4">
        <v>143.5</v>
      </c>
      <c r="C318" s="4">
        <v>92.374319999999997</v>
      </c>
      <c r="D318" s="1">
        <v>5</v>
      </c>
      <c r="E318" s="11">
        <f>($C$219-Table27[[#This Row],[Mass/%]])/$F$30</f>
        <v>4.3487746060354993E-2</v>
      </c>
    </row>
    <row r="319" spans="1:5" x14ac:dyDescent="0.15">
      <c r="A319" s="4">
        <v>250.00403</v>
      </c>
      <c r="B319" s="4">
        <v>144</v>
      </c>
      <c r="C319" s="4">
        <v>92.318550000000002</v>
      </c>
      <c r="D319" s="1">
        <v>5</v>
      </c>
      <c r="E319" s="11">
        <f>($C$219-Table27[[#This Row],[Mass/%]])/$F$30</f>
        <v>4.4388608770836641E-2</v>
      </c>
    </row>
    <row r="320" spans="1:5" x14ac:dyDescent="0.15">
      <c r="A320" s="4">
        <v>249.99999</v>
      </c>
      <c r="B320" s="4">
        <v>144.5</v>
      </c>
      <c r="C320" s="4">
        <v>92.291719999999998</v>
      </c>
      <c r="D320" s="1">
        <v>5</v>
      </c>
      <c r="E320" s="11">
        <f>($C$219-Table27[[#This Row],[Mass/%]])/$F$30</f>
        <v>4.4821998523790346E-2</v>
      </c>
    </row>
    <row r="321" spans="1:5" x14ac:dyDescent="0.15">
      <c r="A321" s="4">
        <v>250.00502</v>
      </c>
      <c r="B321" s="4">
        <v>145</v>
      </c>
      <c r="C321" s="4">
        <v>92.289990000000003</v>
      </c>
      <c r="D321" s="1">
        <v>5</v>
      </c>
      <c r="E321" s="11">
        <f>($C$219-Table27[[#This Row],[Mass/%]])/$F$30</f>
        <v>4.4849943520905801E-2</v>
      </c>
    </row>
    <row r="322" spans="1:5" x14ac:dyDescent="0.15">
      <c r="A322" s="4">
        <v>249.99800999999999</v>
      </c>
      <c r="B322" s="4">
        <v>145.5</v>
      </c>
      <c r="C322" s="4">
        <v>92.251499999999993</v>
      </c>
      <c r="D322" s="1">
        <v>5</v>
      </c>
      <c r="E322" s="11">
        <f>($C$219-Table27[[#This Row],[Mass/%]])/$F$30</f>
        <v>4.54716793237828E-2</v>
      </c>
    </row>
    <row r="323" spans="1:5" x14ac:dyDescent="0.15">
      <c r="A323" s="4">
        <v>249.99901</v>
      </c>
      <c r="B323" s="4">
        <v>146</v>
      </c>
      <c r="C323" s="4">
        <v>92.211280000000002</v>
      </c>
      <c r="D323" s="1">
        <v>5</v>
      </c>
      <c r="E323" s="11">
        <f>($C$219-Table27[[#This Row],[Mass/%]])/$F$30</f>
        <v>4.6121360123775032E-2</v>
      </c>
    </row>
    <row r="324" spans="1:5" x14ac:dyDescent="0.15">
      <c r="A324" s="4">
        <v>249.99996999999999</v>
      </c>
      <c r="B324" s="4">
        <v>146.5</v>
      </c>
      <c r="C324" s="4">
        <v>92.195890000000006</v>
      </c>
      <c r="D324" s="1">
        <v>5</v>
      </c>
      <c r="E324" s="11">
        <f>($C$219-Table27[[#This Row],[Mass/%]])/$F$30</f>
        <v>4.6369957525860574E-2</v>
      </c>
    </row>
    <row r="325" spans="1:5" x14ac:dyDescent="0.15">
      <c r="A325" s="4">
        <v>249.99895000000001</v>
      </c>
      <c r="B325" s="4">
        <v>147</v>
      </c>
      <c r="C325" s="4">
        <v>92.144000000000005</v>
      </c>
      <c r="D325" s="1">
        <v>5</v>
      </c>
      <c r="E325" s="11">
        <f>($C$219-Table27[[#This Row],[Mass/%]])/$F$30</f>
        <v>4.7208145907551388E-2</v>
      </c>
    </row>
    <row r="326" spans="1:5" x14ac:dyDescent="0.15">
      <c r="A326" s="4">
        <v>250.00101000000001</v>
      </c>
      <c r="B326" s="4">
        <v>147.5</v>
      </c>
      <c r="C326" s="4">
        <v>92.121039999999994</v>
      </c>
      <c r="D326" s="1">
        <v>5</v>
      </c>
      <c r="E326" s="11">
        <f>($C$219-Table27[[#This Row],[Mass/%]])/$F$30</f>
        <v>4.7579022863489542E-2</v>
      </c>
    </row>
    <row r="327" spans="1:5" x14ac:dyDescent="0.15">
      <c r="A327" s="4">
        <v>250.00101000000001</v>
      </c>
      <c r="B327" s="4">
        <v>148</v>
      </c>
      <c r="C327" s="4">
        <v>92.092380000000006</v>
      </c>
      <c r="D327" s="1">
        <v>5</v>
      </c>
      <c r="E327" s="11">
        <f>($C$219-Table27[[#This Row],[Mass/%]])/$F$30</f>
        <v>4.8041972931310864E-2</v>
      </c>
    </row>
    <row r="328" spans="1:5" x14ac:dyDescent="0.15">
      <c r="A328" s="4">
        <v>249.999</v>
      </c>
      <c r="B328" s="4">
        <v>148.5</v>
      </c>
      <c r="C328" s="4">
        <v>92.06362</v>
      </c>
      <c r="D328" s="1">
        <v>5</v>
      </c>
      <c r="E328" s="11">
        <f>($C$219-Table27[[#This Row],[Mass/%]])/$F$30</f>
        <v>4.8506538316884819E-2</v>
      </c>
    </row>
    <row r="329" spans="1:5" x14ac:dyDescent="0.15">
      <c r="A329" s="4">
        <v>249.99798000000001</v>
      </c>
      <c r="B329" s="4">
        <v>149</v>
      </c>
      <c r="C329" s="4">
        <v>92.031149999999997</v>
      </c>
      <c r="D329" s="1">
        <v>5</v>
      </c>
      <c r="E329" s="11">
        <f>($C$219-Table27[[#This Row],[Mass/%]])/$F$30</f>
        <v>4.9031031991070666E-2</v>
      </c>
    </row>
    <row r="330" spans="1:5" x14ac:dyDescent="0.15">
      <c r="A330" s="4">
        <v>250.00498999999999</v>
      </c>
      <c r="B330" s="4">
        <v>149.5</v>
      </c>
      <c r="C330" s="4">
        <v>92.007829999999998</v>
      </c>
      <c r="D330" s="1">
        <v>5</v>
      </c>
      <c r="E330" s="11">
        <f>($C$219-Table27[[#This Row],[Mass/%]])/$F$30</f>
        <v>4.9407724090917038E-2</v>
      </c>
    </row>
    <row r="331" spans="1:5" x14ac:dyDescent="0.15">
      <c r="A331" s="4">
        <v>250.00200000000001</v>
      </c>
      <c r="B331" s="4">
        <v>150</v>
      </c>
      <c r="C331" s="4">
        <v>91.986750000000001</v>
      </c>
      <c r="D331" s="1">
        <v>5</v>
      </c>
      <c r="E331" s="11">
        <f>($C$219-Table27[[#This Row],[Mass/%]])/$F$30</f>
        <v>4.9748233073110916E-2</v>
      </c>
    </row>
    <row r="332" spans="1:5" x14ac:dyDescent="0.15">
      <c r="A332" s="4">
        <v>250.00402</v>
      </c>
      <c r="B332" s="4">
        <v>150.5</v>
      </c>
      <c r="C332" s="4">
        <v>91.935069999999996</v>
      </c>
      <c r="D332" s="1">
        <v>5</v>
      </c>
      <c r="E332" s="11">
        <f>($C$219-Table27[[#This Row],[Mass/%]])/$F$30</f>
        <v>5.0583029287521883E-2</v>
      </c>
    </row>
    <row r="333" spans="1:5" x14ac:dyDescent="0.15">
      <c r="A333" s="4">
        <v>250.00001</v>
      </c>
      <c r="B333" s="4">
        <v>151</v>
      </c>
      <c r="C333" s="4">
        <v>91.925529999999995</v>
      </c>
      <c r="D333" s="1">
        <v>5</v>
      </c>
      <c r="E333" s="11">
        <f>($C$219-Table27[[#This Row],[Mass/%]])/$F$30</f>
        <v>5.0737130601095429E-2</v>
      </c>
    </row>
    <row r="334" spans="1:5" x14ac:dyDescent="0.15">
      <c r="A334" s="4">
        <v>250.00502</v>
      </c>
      <c r="B334" s="4">
        <v>151.5</v>
      </c>
      <c r="C334" s="4">
        <v>91.902479999999997</v>
      </c>
      <c r="D334" s="1">
        <v>5</v>
      </c>
      <c r="E334" s="11">
        <f>($C$219-Table27[[#This Row],[Mass/%]])/$F$30</f>
        <v>5.1109461343010462E-2</v>
      </c>
    </row>
    <row r="335" spans="1:5" x14ac:dyDescent="0.15">
      <c r="A335" s="4">
        <v>250.00297</v>
      </c>
      <c r="B335" s="4">
        <v>152</v>
      </c>
      <c r="C335" s="4">
        <v>91.883279999999999</v>
      </c>
      <c r="D335" s="1">
        <v>5</v>
      </c>
      <c r="E335" s="11">
        <f>($C$219-Table27[[#This Row],[Mass/%]])/$F$30</f>
        <v>5.14196023514603E-2</v>
      </c>
    </row>
    <row r="336" spans="1:5" x14ac:dyDescent="0.15">
      <c r="A336" s="4">
        <v>250.00597999999999</v>
      </c>
      <c r="B336" s="4">
        <v>152.5</v>
      </c>
      <c r="C336" s="4">
        <v>91.854609999999994</v>
      </c>
      <c r="D336" s="1">
        <v>5</v>
      </c>
      <c r="E336" s="11">
        <f>($C$219-Table27[[#This Row],[Mass/%]])/$F$30</f>
        <v>5.188271395105714E-2</v>
      </c>
    </row>
    <row r="337" spans="1:5" x14ac:dyDescent="0.15">
      <c r="A337" s="4">
        <v>250.00799000000001</v>
      </c>
      <c r="B337" s="4">
        <v>153</v>
      </c>
      <c r="C337" s="4">
        <v>91.831460000000007</v>
      </c>
      <c r="D337" s="1">
        <v>5</v>
      </c>
      <c r="E337" s="11">
        <f>($C$219-Table27[[#This Row],[Mass/%]])/$F$30</f>
        <v>5.2256660010724341E-2</v>
      </c>
    </row>
    <row r="338" spans="1:5" x14ac:dyDescent="0.15">
      <c r="A338" s="4">
        <v>250.00998999999999</v>
      </c>
      <c r="B338" s="4">
        <v>153.5</v>
      </c>
      <c r="C338" s="4">
        <v>91.818129999999996</v>
      </c>
      <c r="D338" s="1">
        <v>5</v>
      </c>
      <c r="E338" s="11">
        <f>($C$219-Table27[[#This Row],[Mass/%]])/$F$30</f>
        <v>5.2471981867111842E-2</v>
      </c>
    </row>
    <row r="339" spans="1:5" x14ac:dyDescent="0.15">
      <c r="A339" s="4">
        <v>250.00307000000001</v>
      </c>
      <c r="B339" s="4">
        <v>154</v>
      </c>
      <c r="C339" s="4">
        <v>91.783699999999996</v>
      </c>
      <c r="D339" s="1">
        <v>5</v>
      </c>
      <c r="E339" s="11">
        <f>($C$219-Table27[[#This Row],[Mass/%]])/$F$30</f>
        <v>5.3028135769243562E-2</v>
      </c>
    </row>
    <row r="340" spans="1:5" x14ac:dyDescent="0.15">
      <c r="A340" s="4">
        <v>250.01000999999999</v>
      </c>
      <c r="B340" s="4">
        <v>154.5</v>
      </c>
      <c r="C340" s="4">
        <v>91.758709999999994</v>
      </c>
      <c r="D340" s="1">
        <v>5</v>
      </c>
      <c r="E340" s="11">
        <f>($C$219-Table27[[#This Row],[Mass/%]])/$F$30</f>
        <v>5.3431803675554133E-2</v>
      </c>
    </row>
    <row r="341" spans="1:5" x14ac:dyDescent="0.15">
      <c r="A341" s="4">
        <v>250.00703999999999</v>
      </c>
      <c r="B341" s="4">
        <v>155</v>
      </c>
      <c r="C341" s="4">
        <v>91.743409999999997</v>
      </c>
      <c r="D341" s="1">
        <v>5</v>
      </c>
      <c r="E341" s="11">
        <f>($C$219-Table27[[#This Row],[Mass/%]])/$F$30</f>
        <v>5.367894729166256E-2</v>
      </c>
    </row>
    <row r="342" spans="1:5" x14ac:dyDescent="0.15">
      <c r="A342" s="4">
        <v>250.00497999999999</v>
      </c>
      <c r="B342" s="4">
        <v>155.5</v>
      </c>
      <c r="C342" s="4">
        <v>91.700980000000001</v>
      </c>
      <c r="D342" s="1">
        <v>5</v>
      </c>
      <c r="E342" s="11">
        <f>($C$219-Table27[[#This Row],[Mass/%]])/$F$30</f>
        <v>5.4364326613981655E-2</v>
      </c>
    </row>
    <row r="343" spans="1:5" x14ac:dyDescent="0.15">
      <c r="A343" s="4">
        <v>250.00698</v>
      </c>
      <c r="B343" s="4">
        <v>156</v>
      </c>
      <c r="C343" s="4">
        <v>91.697289999999995</v>
      </c>
      <c r="D343" s="1">
        <v>5</v>
      </c>
      <c r="E343" s="11">
        <f>($C$219-Table27[[#This Row],[Mass/%]])/$F$30</f>
        <v>5.4423931839043205E-2</v>
      </c>
    </row>
    <row r="344" spans="1:5" x14ac:dyDescent="0.15">
      <c r="A344" s="4">
        <v>250.00503</v>
      </c>
      <c r="B344" s="4">
        <v>156.5</v>
      </c>
      <c r="C344" s="4">
        <v>91.653289999999998</v>
      </c>
      <c r="D344" s="1">
        <v>5</v>
      </c>
      <c r="E344" s="11">
        <f>($C$219-Table27[[#This Row],[Mass/%]])/$F$30</f>
        <v>5.5134671650074102E-2</v>
      </c>
    </row>
    <row r="345" spans="1:5" x14ac:dyDescent="0.15">
      <c r="A345" s="4">
        <v>250.00599</v>
      </c>
      <c r="B345" s="4">
        <v>157</v>
      </c>
      <c r="C345" s="4">
        <v>91.630120000000005</v>
      </c>
      <c r="D345" s="1">
        <v>5</v>
      </c>
      <c r="E345" s="11">
        <f>($C$219-Table27[[#This Row],[Mass/%]])/$F$30</f>
        <v>5.5508940773291882E-2</v>
      </c>
    </row>
    <row r="346" spans="1:5" x14ac:dyDescent="0.15">
      <c r="A346" s="4">
        <v>250.00300999999999</v>
      </c>
      <c r="B346" s="4">
        <v>157.5</v>
      </c>
      <c r="C346" s="4">
        <v>91.603309999999993</v>
      </c>
      <c r="D346" s="1">
        <v>5</v>
      </c>
      <c r="E346" s="11">
        <f>($C$219-Table27[[#This Row],[Mass/%]])/$F$30</f>
        <v>5.5942007462695238E-2</v>
      </c>
    </row>
    <row r="347" spans="1:5" x14ac:dyDescent="0.15">
      <c r="A347" s="4">
        <v>249.99996999999999</v>
      </c>
      <c r="B347" s="4">
        <v>158</v>
      </c>
      <c r="C347" s="4">
        <v>91.568700000000007</v>
      </c>
      <c r="D347" s="1">
        <v>5</v>
      </c>
      <c r="E347" s="11">
        <f>($C$219-Table27[[#This Row],[Mass/%]])/$F$30</f>
        <v>5.6501068936780953E-2</v>
      </c>
    </row>
    <row r="348" spans="1:5" x14ac:dyDescent="0.15">
      <c r="A348" s="4">
        <v>250.00299999999999</v>
      </c>
      <c r="B348" s="4">
        <v>158.5</v>
      </c>
      <c r="C348" s="4">
        <v>91.555490000000006</v>
      </c>
      <c r="D348" s="1">
        <v>5</v>
      </c>
      <c r="E348" s="11">
        <f>($C$219-Table27[[#This Row],[Mass/%]])/$F$30</f>
        <v>5.6714452411865485E-2</v>
      </c>
    </row>
    <row r="349" spans="1:5" x14ac:dyDescent="0.15">
      <c r="A349" s="4">
        <v>250.00200000000001</v>
      </c>
      <c r="B349" s="4">
        <v>159</v>
      </c>
      <c r="C349" s="4">
        <v>91.5304</v>
      </c>
      <c r="D349" s="1">
        <v>5</v>
      </c>
      <c r="E349" s="11">
        <f>($C$219-Table27[[#This Row],[Mass/%]])/$F$30</f>
        <v>5.7119735635928454E-2</v>
      </c>
    </row>
    <row r="350" spans="1:5" x14ac:dyDescent="0.15">
      <c r="A350" s="4">
        <v>250.00503</v>
      </c>
      <c r="B350" s="4">
        <v>159.5</v>
      </c>
      <c r="C350" s="4">
        <v>91.512900000000002</v>
      </c>
      <c r="D350" s="1">
        <v>5</v>
      </c>
      <c r="E350" s="11">
        <f>($C$219-Table27[[#This Row],[Mass/%]])/$F$30</f>
        <v>5.7402416242588461E-2</v>
      </c>
    </row>
    <row r="351" spans="1:5" x14ac:dyDescent="0.15">
      <c r="A351" s="4">
        <v>250.00802999999999</v>
      </c>
      <c r="B351" s="4">
        <v>160</v>
      </c>
      <c r="C351" s="4">
        <v>91.474879999999999</v>
      </c>
      <c r="D351" s="1">
        <v>5</v>
      </c>
      <c r="E351" s="11">
        <f>($C$219-Table27[[#This Row],[Mass/%]])/$F$30</f>
        <v>5.8016560052029334E-2</v>
      </c>
    </row>
    <row r="352" spans="1:5" x14ac:dyDescent="0.15">
      <c r="A352" s="4">
        <v>250.00299000000001</v>
      </c>
      <c r="B352" s="4">
        <v>160.5</v>
      </c>
      <c r="C352" s="4">
        <v>91.426919999999996</v>
      </c>
      <c r="D352" s="1">
        <v>5</v>
      </c>
      <c r="E352" s="11">
        <f>($C$219-Table27[[#This Row],[Mass/%]])/$F$30</f>
        <v>5.879126644605312E-2</v>
      </c>
    </row>
    <row r="353" spans="1:5" x14ac:dyDescent="0.15">
      <c r="A353" s="4">
        <v>250.00501</v>
      </c>
      <c r="B353" s="4">
        <v>161</v>
      </c>
      <c r="C353" s="4">
        <v>91.413669999999996</v>
      </c>
      <c r="D353" s="1">
        <v>5</v>
      </c>
      <c r="E353" s="11">
        <f>($C$219-Table27[[#This Row],[Mass/%]])/$F$30</f>
        <v>5.9005296048238565E-2</v>
      </c>
    </row>
    <row r="354" spans="1:5" x14ac:dyDescent="0.15">
      <c r="A354" s="4">
        <v>250.00506999999999</v>
      </c>
      <c r="B354" s="4">
        <v>161.5</v>
      </c>
      <c r="C354" s="4">
        <v>91.390420000000006</v>
      </c>
      <c r="D354" s="1">
        <v>5</v>
      </c>
      <c r="E354" s="11">
        <f>($C$219-Table27[[#This Row],[Mass/%]])/$F$30</f>
        <v>5.9380857425658164E-2</v>
      </c>
    </row>
    <row r="355" spans="1:5" x14ac:dyDescent="0.15">
      <c r="A355" s="4">
        <v>250.00301999999999</v>
      </c>
      <c r="B355" s="4">
        <v>162</v>
      </c>
      <c r="C355" s="4">
        <v>91.378900000000002</v>
      </c>
      <c r="D355" s="1">
        <v>5</v>
      </c>
      <c r="E355" s="11">
        <f>($C$219-Table27[[#This Row],[Mass/%]])/$F$30</f>
        <v>5.9566942030728154E-2</v>
      </c>
    </row>
    <row r="356" spans="1:5" x14ac:dyDescent="0.15">
      <c r="A356" s="4">
        <v>250.00200000000001</v>
      </c>
      <c r="B356" s="4">
        <v>162.5</v>
      </c>
      <c r="C356" s="4">
        <v>91.348389999999995</v>
      </c>
      <c r="D356" s="1">
        <v>5</v>
      </c>
      <c r="E356" s="11">
        <f>($C$219-Table27[[#This Row],[Mass/%]])/$F$30</f>
        <v>6.0059775476968134E-2</v>
      </c>
    </row>
    <row r="357" spans="1:5" x14ac:dyDescent="0.15">
      <c r="A357" s="4">
        <v>250.00307000000001</v>
      </c>
      <c r="B357" s="4">
        <v>163</v>
      </c>
      <c r="C357" s="4">
        <v>91.317689999999999</v>
      </c>
      <c r="D357" s="1">
        <v>5</v>
      </c>
      <c r="E357" s="11">
        <f>($C$219-Table27[[#This Row],[Mass/%]])/$F$30</f>
        <v>6.0555678026937385E-2</v>
      </c>
    </row>
    <row r="358" spans="1:5" x14ac:dyDescent="0.15">
      <c r="A358" s="4">
        <v>250.00201999999999</v>
      </c>
      <c r="B358" s="4">
        <v>163.5</v>
      </c>
      <c r="C358" s="4">
        <v>91.294520000000006</v>
      </c>
      <c r="D358" s="1">
        <v>5</v>
      </c>
      <c r="E358" s="11">
        <f>($C$219-Table27[[#This Row],[Mass/%]])/$F$30</f>
        <v>6.0929947150155157E-2</v>
      </c>
    </row>
    <row r="359" spans="1:5" x14ac:dyDescent="0.15">
      <c r="A359" s="4">
        <v>250.00497999999999</v>
      </c>
      <c r="B359" s="4">
        <v>164</v>
      </c>
      <c r="C359" s="4">
        <v>91.271969999999996</v>
      </c>
      <c r="D359" s="1">
        <v>5</v>
      </c>
      <c r="E359" s="11">
        <f>($C$219-Table27[[#This Row],[Mass/%]])/$F$30</f>
        <v>6.1294201303308676E-2</v>
      </c>
    </row>
    <row r="360" spans="1:5" x14ac:dyDescent="0.15">
      <c r="A360" s="4">
        <v>250.00299999999999</v>
      </c>
      <c r="B360" s="4">
        <v>164.5</v>
      </c>
      <c r="C360" s="4">
        <v>91.247010000000003</v>
      </c>
      <c r="D360" s="1">
        <v>5</v>
      </c>
      <c r="E360" s="11">
        <f>($C$219-Table27[[#This Row],[Mass/%]])/$F$30</f>
        <v>6.1697384614293388E-2</v>
      </c>
    </row>
    <row r="361" spans="1:5" x14ac:dyDescent="0.15">
      <c r="A361" s="4">
        <v>249.99497</v>
      </c>
      <c r="B361" s="4">
        <v>165</v>
      </c>
      <c r="C361" s="4">
        <v>91.216239999999999</v>
      </c>
      <c r="D361" s="1">
        <v>5</v>
      </c>
      <c r="E361" s="11">
        <f>($C$219-Table27[[#This Row],[Mass/%]])/$F$30</f>
        <v>6.2194417886689411E-2</v>
      </c>
    </row>
    <row r="362" spans="1:5" x14ac:dyDescent="0.15">
      <c r="A362" s="4">
        <v>249.99902</v>
      </c>
      <c r="B362" s="4">
        <v>165.5</v>
      </c>
      <c r="C362" s="4">
        <v>91.196759999999998</v>
      </c>
      <c r="D362" s="1">
        <v>5</v>
      </c>
      <c r="E362" s="11">
        <f>($C$219-Table27[[#This Row],[Mass/%]])/$F$30</f>
        <v>6.2509081784845863E-2</v>
      </c>
    </row>
    <row r="363" spans="1:5" x14ac:dyDescent="0.15">
      <c r="A363" s="4">
        <v>250.00304</v>
      </c>
      <c r="B363" s="4">
        <v>166</v>
      </c>
      <c r="C363" s="4">
        <v>91.148939999999996</v>
      </c>
      <c r="D363" s="1">
        <v>5</v>
      </c>
      <c r="E363" s="11">
        <f>($C$219-Table27[[#This Row],[Mass/%]])/$F$30</f>
        <v>6.3281526734016338E-2</v>
      </c>
    </row>
    <row r="364" spans="1:5" x14ac:dyDescent="0.15">
      <c r="A364" s="4">
        <v>250.00599</v>
      </c>
      <c r="B364" s="4">
        <v>166.5</v>
      </c>
      <c r="C364" s="4">
        <v>91.152820000000006</v>
      </c>
      <c r="D364" s="1">
        <v>5</v>
      </c>
      <c r="E364" s="11">
        <f>($C$219-Table27[[#This Row],[Mass/%]])/$F$30</f>
        <v>6.3218852405225276E-2</v>
      </c>
    </row>
    <row r="365" spans="1:5" x14ac:dyDescent="0.15">
      <c r="A365" s="4">
        <v>249.99903</v>
      </c>
      <c r="B365" s="4">
        <v>167</v>
      </c>
      <c r="C365" s="4">
        <v>91.110309999999998</v>
      </c>
      <c r="D365" s="1">
        <v>5</v>
      </c>
      <c r="E365" s="11">
        <f>($C$219-Table27[[#This Row],[Mass/%]])/$F$30</f>
        <v>6.3905523981746426E-2</v>
      </c>
    </row>
    <row r="366" spans="1:5" x14ac:dyDescent="0.15">
      <c r="A366" s="4">
        <v>250.00502</v>
      </c>
      <c r="B366" s="4">
        <v>167.5</v>
      </c>
      <c r="C366" s="4">
        <v>91.085480000000004</v>
      </c>
      <c r="D366" s="1">
        <v>5</v>
      </c>
      <c r="E366" s="11">
        <f>($C$219-Table27[[#This Row],[Mass/%]])/$F$30</f>
        <v>6.4306607379653102E-2</v>
      </c>
    </row>
    <row r="367" spans="1:5" x14ac:dyDescent="0.15">
      <c r="A367" s="4">
        <v>250.00298000000001</v>
      </c>
      <c r="B367" s="4">
        <v>168</v>
      </c>
      <c r="C367" s="4">
        <v>91.080010000000001</v>
      </c>
      <c r="D367" s="1">
        <v>5</v>
      </c>
      <c r="E367" s="11">
        <f>($C$219-Table27[[#This Row],[Mass/%]])/$F$30</f>
        <v>6.4394965260706316E-2</v>
      </c>
    </row>
    <row r="368" spans="1:5" x14ac:dyDescent="0.15">
      <c r="A368" s="4">
        <v>250.00398999999999</v>
      </c>
      <c r="B368" s="4">
        <v>168.5</v>
      </c>
      <c r="C368" s="4">
        <v>91.047259999999994</v>
      </c>
      <c r="D368" s="1">
        <v>5</v>
      </c>
      <c r="E368" s="11">
        <f>($C$219-Table27[[#This Row],[Mass/%]])/$F$30</f>
        <v>6.4923981824598784E-2</v>
      </c>
    </row>
    <row r="369" spans="1:5" x14ac:dyDescent="0.15">
      <c r="A369" s="4">
        <v>250.00700000000001</v>
      </c>
      <c r="B369" s="4">
        <v>169</v>
      </c>
      <c r="C369" s="4">
        <v>91.030209999999997</v>
      </c>
      <c r="D369" s="1">
        <v>5</v>
      </c>
      <c r="E369" s="11">
        <f>($C$219-Table27[[#This Row],[Mass/%]])/$F$30</f>
        <v>6.5199393501373229E-2</v>
      </c>
    </row>
    <row r="370" spans="1:5" x14ac:dyDescent="0.15">
      <c r="A370" s="4">
        <v>250.00202999999999</v>
      </c>
      <c r="B370" s="4">
        <v>169.5</v>
      </c>
      <c r="C370" s="4">
        <v>91.012730000000005</v>
      </c>
      <c r="D370" s="1">
        <v>5</v>
      </c>
      <c r="E370" s="11">
        <f>($C$219-Table27[[#This Row],[Mass/%]])/$F$30</f>
        <v>6.5481751044482672E-2</v>
      </c>
    </row>
    <row r="371" spans="1:5" x14ac:dyDescent="0.15">
      <c r="A371" s="4">
        <v>250.00398999999999</v>
      </c>
      <c r="B371" s="4">
        <v>170</v>
      </c>
      <c r="C371" s="4">
        <v>90.97063</v>
      </c>
      <c r="D371" s="1">
        <v>5</v>
      </c>
      <c r="E371" s="11">
        <f>($C$219-Table27[[#This Row],[Mass/%]])/$F$30</f>
        <v>6.6161799818219166E-2</v>
      </c>
    </row>
    <row r="372" spans="1:5" x14ac:dyDescent="0.15">
      <c r="A372" s="4">
        <v>249.99803</v>
      </c>
      <c r="B372" s="4">
        <v>170.5</v>
      </c>
      <c r="C372" s="4">
        <v>90.953609999999998</v>
      </c>
      <c r="D372" s="1">
        <v>5</v>
      </c>
      <c r="E372" s="11">
        <f>($C$219-Table27[[#This Row],[Mass/%]])/$F$30</f>
        <v>6.6436726899667994E-2</v>
      </c>
    </row>
    <row r="373" spans="1:5" x14ac:dyDescent="0.15">
      <c r="A373" s="4">
        <v>250.00602000000001</v>
      </c>
      <c r="B373" s="4">
        <v>171</v>
      </c>
      <c r="C373" s="4">
        <v>90.918809999999993</v>
      </c>
      <c r="D373" s="1">
        <v>5</v>
      </c>
      <c r="E373" s="11">
        <f>($C$219-Table27[[#This Row],[Mass/%]])/$F$30</f>
        <v>6.6998857477483451E-2</v>
      </c>
    </row>
    <row r="374" spans="1:5" x14ac:dyDescent="0.15">
      <c r="A374" s="4">
        <v>250.005</v>
      </c>
      <c r="B374" s="4">
        <v>171.5</v>
      </c>
      <c r="C374" s="4">
        <v>90.903279999999995</v>
      </c>
      <c r="D374" s="1">
        <v>5</v>
      </c>
      <c r="E374" s="11">
        <f>($C$219-Table27[[#This Row],[Mass/%]])/$F$30</f>
        <v>6.7249716324422296E-2</v>
      </c>
    </row>
    <row r="375" spans="1:5" x14ac:dyDescent="0.15">
      <c r="A375" s="4">
        <v>250.00404</v>
      </c>
      <c r="B375" s="4">
        <v>172</v>
      </c>
      <c r="C375" s="4">
        <v>90.888319999999993</v>
      </c>
      <c r="D375" s="1">
        <v>5</v>
      </c>
      <c r="E375" s="11">
        <f>($C$219-Table27[[#This Row],[Mass/%]])/$F$30</f>
        <v>6.7491367860172846E-2</v>
      </c>
    </row>
    <row r="376" spans="1:5" x14ac:dyDescent="0.15">
      <c r="A376" s="4">
        <v>250.00601</v>
      </c>
      <c r="B376" s="4">
        <v>172.5</v>
      </c>
      <c r="C376" s="4">
        <v>90.863169999999997</v>
      </c>
      <c r="D376" s="1">
        <v>5</v>
      </c>
      <c r="E376" s="11">
        <f>($C$219-Table27[[#This Row],[Mass/%]])/$F$30</f>
        <v>6.7897620274887077E-2</v>
      </c>
    </row>
    <row r="377" spans="1:5" x14ac:dyDescent="0.15">
      <c r="A377" s="4">
        <v>250.00103999999999</v>
      </c>
      <c r="B377" s="4">
        <v>173</v>
      </c>
      <c r="C377" s="4">
        <v>90.832459999999998</v>
      </c>
      <c r="D377" s="1">
        <v>5</v>
      </c>
      <c r="E377" s="11">
        <f>($C$219-Table27[[#This Row],[Mass/%]])/$F$30</f>
        <v>6.8393684356631609E-2</v>
      </c>
    </row>
    <row r="378" spans="1:5" x14ac:dyDescent="0.15">
      <c r="A378" s="4">
        <v>250.00701000000001</v>
      </c>
      <c r="B378" s="4">
        <v>173.5</v>
      </c>
      <c r="C378" s="4">
        <v>90.805499999999995</v>
      </c>
      <c r="D378" s="1">
        <v>5</v>
      </c>
      <c r="E378" s="11">
        <f>($C$219-Table27[[#This Row],[Mass/%]])/$F$30</f>
        <v>6.8829174022663336E-2</v>
      </c>
    </row>
    <row r="379" spans="1:5" x14ac:dyDescent="0.15">
      <c r="A379" s="4">
        <v>250.00796</v>
      </c>
      <c r="B379" s="4">
        <v>174</v>
      </c>
      <c r="C379" s="4">
        <v>90.79983</v>
      </c>
      <c r="D379" s="1">
        <v>5</v>
      </c>
      <c r="E379" s="11">
        <f>($C$219-Table27[[#This Row],[Mass/%]])/$F$30</f>
        <v>6.8920762539221109E-2</v>
      </c>
    </row>
    <row r="380" spans="1:5" x14ac:dyDescent="0.15">
      <c r="A380" s="4">
        <v>249.999</v>
      </c>
      <c r="B380" s="4">
        <v>174.5</v>
      </c>
      <c r="C380" s="4">
        <v>90.786680000000004</v>
      </c>
      <c r="D380" s="1">
        <v>5</v>
      </c>
      <c r="E380" s="11">
        <f>($C$219-Table27[[#This Row],[Mass/%]])/$F$30</f>
        <v>6.9133176823654149E-2</v>
      </c>
    </row>
    <row r="381" spans="1:5" x14ac:dyDescent="0.15">
      <c r="A381" s="4">
        <v>249.995</v>
      </c>
      <c r="B381" s="4">
        <v>175</v>
      </c>
      <c r="C381" s="4">
        <v>90.753799999999998</v>
      </c>
      <c r="D381" s="1">
        <v>5</v>
      </c>
      <c r="E381" s="11">
        <f>($C$219-Table27[[#This Row],[Mass/%]])/$F$30</f>
        <v>6.9664293300624638E-2</v>
      </c>
    </row>
    <row r="382" spans="1:5" x14ac:dyDescent="0.15">
      <c r="A382" s="4">
        <v>249.99797000000001</v>
      </c>
      <c r="B382" s="4">
        <v>175.5</v>
      </c>
      <c r="C382" s="4">
        <v>90.713560000000001</v>
      </c>
      <c r="D382" s="1">
        <v>5</v>
      </c>
      <c r="E382" s="11">
        <f>($C$219-Table27[[#This Row],[Mass/%]])/$F$30</f>
        <v>7.0314297164167441E-2</v>
      </c>
    </row>
    <row r="383" spans="1:5" x14ac:dyDescent="0.15">
      <c r="A383" s="4">
        <v>250.00303</v>
      </c>
      <c r="B383" s="4">
        <v>176</v>
      </c>
      <c r="C383" s="4">
        <v>90.713639999999998</v>
      </c>
      <c r="D383" s="1">
        <v>5</v>
      </c>
      <c r="E383" s="11">
        <f>($C$219-Table27[[#This Row],[Mass/%]])/$F$30</f>
        <v>7.0313004909965615E-2</v>
      </c>
    </row>
    <row r="384" spans="1:5" x14ac:dyDescent="0.15">
      <c r="A384" s="4">
        <v>250.00301999999999</v>
      </c>
      <c r="B384" s="4">
        <v>176.5</v>
      </c>
      <c r="C384" s="4">
        <v>90.651920000000004</v>
      </c>
      <c r="D384" s="1">
        <v>5</v>
      </c>
      <c r="E384" s="11">
        <f>($C$219-Table27[[#This Row],[Mass/%]])/$F$30</f>
        <v>7.1309979026711656E-2</v>
      </c>
    </row>
    <row r="385" spans="1:5" x14ac:dyDescent="0.15">
      <c r="A385" s="4">
        <v>250.00300999999999</v>
      </c>
      <c r="B385" s="4">
        <v>177</v>
      </c>
      <c r="C385" s="4">
        <v>90.658069999999995</v>
      </c>
      <c r="D385" s="1">
        <v>5</v>
      </c>
      <c r="E385" s="11">
        <f>($C$219-Table27[[#This Row],[Mass/%]])/$F$30</f>
        <v>7.1210636984942705E-2</v>
      </c>
    </row>
    <row r="386" spans="1:5" x14ac:dyDescent="0.15">
      <c r="A386" s="4">
        <v>250.00599</v>
      </c>
      <c r="B386" s="4">
        <v>177.5</v>
      </c>
      <c r="C386" s="4">
        <v>90.60436</v>
      </c>
      <c r="D386" s="1">
        <v>5</v>
      </c>
      <c r="E386" s="11">
        <f>($C$219-Table27[[#This Row],[Mass/%]])/$F$30</f>
        <v>7.2078224149726075E-2</v>
      </c>
    </row>
    <row r="387" spans="1:5" x14ac:dyDescent="0.15">
      <c r="A387" s="4">
        <v>250.00694999999999</v>
      </c>
      <c r="B387" s="4">
        <v>178</v>
      </c>
      <c r="C387" s="4">
        <v>90.602459999999994</v>
      </c>
      <c r="D387" s="1">
        <v>5</v>
      </c>
      <c r="E387" s="11">
        <f>($C$219-Table27[[#This Row],[Mass/%]])/$F$30</f>
        <v>7.21089151870207E-2</v>
      </c>
    </row>
    <row r="388" spans="1:5" x14ac:dyDescent="0.15">
      <c r="A388" s="4">
        <v>250.00998000000001</v>
      </c>
      <c r="B388" s="4">
        <v>178.5</v>
      </c>
      <c r="C388" s="4">
        <v>90.583299999999994</v>
      </c>
      <c r="D388" s="1">
        <v>5</v>
      </c>
      <c r="E388" s="11">
        <f>($C$219-Table27[[#This Row],[Mass/%]])/$F$30</f>
        <v>7.2418410068369618E-2</v>
      </c>
    </row>
    <row r="389" spans="1:5" x14ac:dyDescent="0.15">
      <c r="A389" s="4">
        <v>250.00693999999999</v>
      </c>
      <c r="B389" s="4">
        <v>179</v>
      </c>
      <c r="C389" s="4">
        <v>90.5565</v>
      </c>
      <c r="D389" s="1">
        <v>5</v>
      </c>
      <c r="E389" s="11">
        <f>($C$219-Table27[[#This Row],[Mass/%]])/$F$30</f>
        <v>7.2851315225997471E-2</v>
      </c>
    </row>
    <row r="390" spans="1:5" x14ac:dyDescent="0.15">
      <c r="A390" s="4">
        <v>250.00393</v>
      </c>
      <c r="B390" s="4">
        <v>179.5</v>
      </c>
      <c r="C390" s="4">
        <v>90.531580000000005</v>
      </c>
      <c r="D390" s="1">
        <v>5</v>
      </c>
      <c r="E390" s="11">
        <f>($C$219-Table27[[#This Row],[Mass/%]])/$F$30</f>
        <v>7.3253852409881262E-2</v>
      </c>
    </row>
    <row r="391" spans="1:5" x14ac:dyDescent="0.15">
      <c r="A391" s="4">
        <v>250.00699</v>
      </c>
      <c r="B391" s="4">
        <v>180</v>
      </c>
      <c r="C391" s="4">
        <v>90.543040000000005</v>
      </c>
      <c r="D391" s="1">
        <v>5</v>
      </c>
      <c r="E391" s="11">
        <f>($C$219-Table27[[#This Row],[Mass/%]])/$F$30</f>
        <v>7.3068736995462763E-2</v>
      </c>
    </row>
    <row r="392" spans="1:5" x14ac:dyDescent="0.15">
      <c r="A392" s="4">
        <v>250.00596999999999</v>
      </c>
      <c r="B392" s="4">
        <v>180.5</v>
      </c>
      <c r="C392" s="4">
        <v>90.498829999999998</v>
      </c>
      <c r="D392" s="1">
        <v>5</v>
      </c>
      <c r="E392" s="11">
        <f>($C$219-Table27[[#This Row],[Mass/%]])/$F$30</f>
        <v>7.378286897377373E-2</v>
      </c>
    </row>
    <row r="393" spans="1:5" x14ac:dyDescent="0.15">
      <c r="A393" s="4">
        <v>250.00199000000001</v>
      </c>
      <c r="B393" s="4">
        <v>181</v>
      </c>
      <c r="C393" s="4">
        <v>90.473939999999999</v>
      </c>
      <c r="D393" s="1">
        <v>5</v>
      </c>
      <c r="E393" s="11">
        <f>($C$219-Table27[[#This Row],[Mass/%]])/$F$30</f>
        <v>7.4184921562331904E-2</v>
      </c>
    </row>
    <row r="394" spans="1:5" x14ac:dyDescent="0.15">
      <c r="A394" s="4">
        <v>250.00597999999999</v>
      </c>
      <c r="B394" s="4">
        <v>181.5</v>
      </c>
      <c r="C394" s="4">
        <v>90.454800000000006</v>
      </c>
      <c r="D394" s="1">
        <v>5</v>
      </c>
      <c r="E394" s="11">
        <f>($C$219-Table27[[#This Row],[Mass/%]])/$F$30</f>
        <v>7.4494093380130258E-2</v>
      </c>
    </row>
    <row r="395" spans="1:5" x14ac:dyDescent="0.15">
      <c r="A395" s="4">
        <v>250.00202999999999</v>
      </c>
      <c r="B395" s="4">
        <v>182</v>
      </c>
      <c r="C395" s="4">
        <v>90.429879999999997</v>
      </c>
      <c r="D395" s="1">
        <v>5</v>
      </c>
      <c r="E395" s="11">
        <f>($C$219-Table27[[#This Row],[Mass/%]])/$F$30</f>
        <v>7.4896630564014285E-2</v>
      </c>
    </row>
    <row r="396" spans="1:5" x14ac:dyDescent="0.15">
      <c r="A396" s="4">
        <v>250.00297</v>
      </c>
      <c r="B396" s="4">
        <v>182.5</v>
      </c>
      <c r="C396" s="4">
        <v>90.41825</v>
      </c>
      <c r="D396" s="1">
        <v>5</v>
      </c>
      <c r="E396" s="11">
        <f>($C$219-Table27[[#This Row],[Mass/%]])/$F$30</f>
        <v>7.5084492018611726E-2</v>
      </c>
    </row>
    <row r="397" spans="1:5" x14ac:dyDescent="0.15">
      <c r="A397" s="4">
        <v>250.00402</v>
      </c>
      <c r="B397" s="4">
        <v>183</v>
      </c>
      <c r="C397" s="4">
        <v>90.395420000000001</v>
      </c>
      <c r="D397" s="1">
        <v>5</v>
      </c>
      <c r="E397" s="11">
        <f>($C$219-Table27[[#This Row],[Mass/%]])/$F$30</f>
        <v>7.5453269061471637E-2</v>
      </c>
    </row>
    <row r="398" spans="1:5" x14ac:dyDescent="0.15">
      <c r="A398" s="4">
        <v>250.00399999999999</v>
      </c>
      <c r="B398" s="4">
        <v>183.5</v>
      </c>
      <c r="C398" s="4">
        <v>90.378119999999996</v>
      </c>
      <c r="D398" s="1">
        <v>5</v>
      </c>
      <c r="E398" s="11">
        <f>($C$219-Table27[[#This Row],[Mass/%]])/$F$30</f>
        <v>7.5732719032627072E-2</v>
      </c>
    </row>
    <row r="399" spans="1:5" x14ac:dyDescent="0.15">
      <c r="A399" s="4">
        <v>250.00398000000001</v>
      </c>
      <c r="B399" s="4">
        <v>184</v>
      </c>
      <c r="C399" s="4">
        <v>90.337919999999997</v>
      </c>
      <c r="D399" s="1">
        <v>5</v>
      </c>
      <c r="E399" s="11">
        <f>($C$219-Table27[[#This Row],[Mass/%]])/$F$30</f>
        <v>7.6382076769068954E-2</v>
      </c>
    </row>
    <row r="400" spans="1:5" x14ac:dyDescent="0.15">
      <c r="A400" s="4">
        <v>250.00303</v>
      </c>
      <c r="B400" s="4">
        <v>184.5</v>
      </c>
      <c r="C400" s="4">
        <v>90.307109999999994</v>
      </c>
      <c r="D400" s="1">
        <v>5</v>
      </c>
      <c r="E400" s="11">
        <f>($C$219-Table27[[#This Row],[Mass/%]])/$F$30</f>
        <v>7.6879756168565891E-2</v>
      </c>
    </row>
    <row r="401" spans="1:5" x14ac:dyDescent="0.15">
      <c r="A401" s="4">
        <v>250.00002000000001</v>
      </c>
      <c r="B401" s="4">
        <v>185</v>
      </c>
      <c r="C401" s="4">
        <v>90.282259999999994</v>
      </c>
      <c r="D401" s="1">
        <v>5</v>
      </c>
      <c r="E401" s="11">
        <f>($C$219-Table27[[#This Row],[Mass/%]])/$F$30</f>
        <v>7.7281162630023159E-2</v>
      </c>
    </row>
    <row r="402" spans="1:5" x14ac:dyDescent="0.15">
      <c r="A402" s="4">
        <v>250.00998000000001</v>
      </c>
      <c r="B402" s="4">
        <v>185.5</v>
      </c>
      <c r="C402" s="4">
        <v>90.265039999999999</v>
      </c>
      <c r="D402" s="1">
        <v>5</v>
      </c>
      <c r="E402" s="11">
        <f>($C$219-Table27[[#This Row],[Mass/%]])/$F$30</f>
        <v>7.7559320346976546E-2</v>
      </c>
    </row>
    <row r="403" spans="1:5" x14ac:dyDescent="0.15">
      <c r="A403" s="4">
        <v>250.00301999999999</v>
      </c>
      <c r="B403" s="4">
        <v>186</v>
      </c>
      <c r="C403" s="4">
        <v>90.247709999999998</v>
      </c>
      <c r="D403" s="1">
        <v>5</v>
      </c>
      <c r="E403" s="11">
        <f>($C$219-Table27[[#This Row],[Mass/%]])/$F$30</f>
        <v>7.7839254913457612E-2</v>
      </c>
    </row>
    <row r="404" spans="1:5" x14ac:dyDescent="0.15">
      <c r="A404" s="4">
        <v>250.00407000000001</v>
      </c>
      <c r="B404" s="4">
        <v>186.5</v>
      </c>
      <c r="C404" s="4">
        <v>90.213380000000001</v>
      </c>
      <c r="D404" s="1">
        <v>5</v>
      </c>
      <c r="E404" s="11">
        <f>($C$219-Table27[[#This Row],[Mass/%]])/$F$30</f>
        <v>7.8393793497836942E-2</v>
      </c>
    </row>
    <row r="405" spans="1:5" x14ac:dyDescent="0.15">
      <c r="A405" s="4">
        <v>250.005</v>
      </c>
      <c r="B405" s="4">
        <v>187</v>
      </c>
      <c r="C405" s="4">
        <v>90.216949999999997</v>
      </c>
      <c r="D405" s="1">
        <v>5</v>
      </c>
      <c r="E405" s="11">
        <f>($C$219-Table27[[#This Row],[Mass/%]])/$F$30</f>
        <v>7.8336126654078353E-2</v>
      </c>
    </row>
    <row r="406" spans="1:5" x14ac:dyDescent="0.15">
      <c r="A406" s="4">
        <v>250.006</v>
      </c>
      <c r="B406" s="4">
        <v>187.5</v>
      </c>
      <c r="C406" s="4">
        <v>90.195909999999998</v>
      </c>
      <c r="D406" s="1">
        <v>5</v>
      </c>
      <c r="E406" s="11">
        <f>($C$219-Table27[[#This Row],[Mass/%]])/$F$30</f>
        <v>7.8675989509171318E-2</v>
      </c>
    </row>
    <row r="407" spans="1:5" x14ac:dyDescent="0.15">
      <c r="A407" s="4">
        <v>250.00398000000001</v>
      </c>
      <c r="B407" s="4">
        <v>188</v>
      </c>
      <c r="C407" s="4">
        <v>90.163160000000005</v>
      </c>
      <c r="D407" s="1">
        <v>5</v>
      </c>
      <c r="E407" s="11">
        <f>($C$219-Table27[[#This Row],[Mass/%]])/$F$30</f>
        <v>7.920500607306355E-2</v>
      </c>
    </row>
    <row r="408" spans="1:5" x14ac:dyDescent="0.15">
      <c r="A408" s="4">
        <v>250.01</v>
      </c>
      <c r="B408" s="4">
        <v>188.5</v>
      </c>
      <c r="C408" s="4">
        <v>90.134739999999994</v>
      </c>
      <c r="D408" s="1">
        <v>5</v>
      </c>
      <c r="E408" s="11">
        <f>($C$219-Table27[[#This Row],[Mass/%]])/$F$30</f>
        <v>7.9664079378279629E-2</v>
      </c>
    </row>
    <row r="409" spans="1:5" x14ac:dyDescent="0.15">
      <c r="A409" s="4">
        <v>250.01101</v>
      </c>
      <c r="B409" s="4">
        <v>189</v>
      </c>
      <c r="C409" s="4">
        <v>90.117440000000002</v>
      </c>
      <c r="D409" s="1">
        <v>5</v>
      </c>
      <c r="E409" s="11">
        <f>($C$219-Table27[[#This Row],[Mass/%]])/$F$30</f>
        <v>7.9943529349434841E-2</v>
      </c>
    </row>
    <row r="410" spans="1:5" x14ac:dyDescent="0.15">
      <c r="A410" s="4">
        <v>250.00998000000001</v>
      </c>
      <c r="B410" s="4">
        <v>189.5</v>
      </c>
      <c r="C410" s="4">
        <v>90.086690000000004</v>
      </c>
      <c r="D410" s="1">
        <v>5</v>
      </c>
      <c r="E410" s="11">
        <f>($C$219-Table27[[#This Row],[Mass/%]])/$F$30</f>
        <v>8.0440239558280294E-2</v>
      </c>
    </row>
    <row r="411" spans="1:5" x14ac:dyDescent="0.15">
      <c r="A411" s="4">
        <v>250.00699</v>
      </c>
      <c r="B411" s="4">
        <v>190</v>
      </c>
      <c r="C411" s="4">
        <v>90.069370000000006</v>
      </c>
      <c r="D411" s="1">
        <v>5</v>
      </c>
      <c r="E411" s="11">
        <f>($C$219-Table27[[#This Row],[Mass/%]])/$F$30</f>
        <v>8.0720012592986085E-2</v>
      </c>
    </row>
    <row r="412" spans="1:5" x14ac:dyDescent="0.15">
      <c r="A412" s="4">
        <v>250.00900999999999</v>
      </c>
      <c r="B412" s="4">
        <v>190.5</v>
      </c>
      <c r="C412" s="4">
        <v>90.042500000000004</v>
      </c>
      <c r="D412" s="1">
        <v>5</v>
      </c>
      <c r="E412" s="11">
        <f>($C$219-Table27[[#This Row],[Mass/%]])/$F$30</f>
        <v>8.1154048473040696E-2</v>
      </c>
    </row>
    <row r="413" spans="1:5" x14ac:dyDescent="0.15">
      <c r="A413" s="4">
        <v>250.00998000000001</v>
      </c>
      <c r="B413" s="4">
        <v>191</v>
      </c>
      <c r="C413" s="4">
        <v>90.021690000000007</v>
      </c>
      <c r="D413" s="1">
        <v>5</v>
      </c>
      <c r="E413" s="11">
        <f>($C$219-Table27[[#This Row],[Mass/%]])/$F$30</f>
        <v>8.149019609730325E-2</v>
      </c>
    </row>
    <row r="414" spans="1:5" x14ac:dyDescent="0.15">
      <c r="A414" s="4">
        <v>250.00599</v>
      </c>
      <c r="B414" s="4">
        <v>191.5</v>
      </c>
      <c r="C414" s="4">
        <v>89.996510000000001</v>
      </c>
      <c r="D414" s="1">
        <v>5</v>
      </c>
      <c r="E414" s="11">
        <f>($C$219-Table27[[#This Row],[Mass/%]])/$F$30</f>
        <v>8.189693310734332E-2</v>
      </c>
    </row>
    <row r="415" spans="1:5" x14ac:dyDescent="0.15">
      <c r="A415" s="4">
        <v>250.001</v>
      </c>
      <c r="B415" s="4">
        <v>192</v>
      </c>
      <c r="C415" s="4">
        <v>89.960130000000007</v>
      </c>
      <c r="D415" s="1">
        <v>5</v>
      </c>
      <c r="E415" s="11">
        <f>($C$219-Table27[[#This Row],[Mass/%]])/$F$30</f>
        <v>8.2484585705645624E-2</v>
      </c>
    </row>
    <row r="416" spans="1:5" x14ac:dyDescent="0.15">
      <c r="A416" s="4">
        <v>250.00299000000001</v>
      </c>
      <c r="B416" s="4">
        <v>192.5</v>
      </c>
      <c r="C416" s="4">
        <v>89.962130000000002</v>
      </c>
      <c r="D416" s="1">
        <v>5</v>
      </c>
      <c r="E416" s="11">
        <f>($C$219-Table27[[#This Row],[Mass/%]])/$F$30</f>
        <v>8.2452279350598845E-2</v>
      </c>
    </row>
    <row r="417" spans="1:5" x14ac:dyDescent="0.15">
      <c r="A417" s="4">
        <v>250.00599</v>
      </c>
      <c r="B417" s="4">
        <v>193</v>
      </c>
      <c r="C417" s="4">
        <v>89.935119999999998</v>
      </c>
      <c r="D417" s="1">
        <v>5</v>
      </c>
      <c r="E417" s="11">
        <f>($C$219-Table27[[#This Row],[Mass/%]])/$F$30</f>
        <v>8.2888576675506767E-2</v>
      </c>
    </row>
    <row r="418" spans="1:5" x14ac:dyDescent="0.15">
      <c r="A418" s="4">
        <v>250.00299000000001</v>
      </c>
      <c r="B418" s="4">
        <v>193.5</v>
      </c>
      <c r="C418" s="4">
        <v>89.900639999999996</v>
      </c>
      <c r="D418" s="1">
        <v>5</v>
      </c>
      <c r="E418" s="11">
        <f>($C$219-Table27[[#This Row],[Mass/%]])/$F$30</f>
        <v>8.3445538236514696E-2</v>
      </c>
    </row>
    <row r="419" spans="1:5" x14ac:dyDescent="0.15">
      <c r="A419" s="4">
        <v>250.00497999999999</v>
      </c>
      <c r="B419" s="4">
        <v>194</v>
      </c>
      <c r="C419" s="4">
        <v>89.891099999999994</v>
      </c>
      <c r="D419" s="1">
        <v>5</v>
      </c>
      <c r="E419" s="11">
        <f>($C$219-Table27[[#This Row],[Mass/%]])/$F$30</f>
        <v>8.3599639550088242E-2</v>
      </c>
    </row>
    <row r="420" spans="1:5" x14ac:dyDescent="0.15">
      <c r="A420" s="4">
        <v>250.00399999999999</v>
      </c>
      <c r="B420" s="4">
        <v>194.5</v>
      </c>
      <c r="C420" s="4">
        <v>89.862229999999997</v>
      </c>
      <c r="D420" s="1">
        <v>5</v>
      </c>
      <c r="E420" s="11">
        <f>($C$219-Table27[[#This Row],[Mass/%]])/$F$30</f>
        <v>8.4065981785189633E-2</v>
      </c>
    </row>
    <row r="421" spans="1:5" x14ac:dyDescent="0.15">
      <c r="A421" s="4">
        <v>250.00703999999999</v>
      </c>
      <c r="B421" s="4">
        <v>195</v>
      </c>
      <c r="C421" s="4">
        <v>89.856459999999998</v>
      </c>
      <c r="D421" s="1">
        <v>5</v>
      </c>
      <c r="E421" s="11">
        <f>($C$219-Table27[[#This Row],[Mass/%]])/$F$30</f>
        <v>8.415918561949981E-2</v>
      </c>
    </row>
    <row r="422" spans="1:5" x14ac:dyDescent="0.15">
      <c r="A422" s="4">
        <v>250.00398999999999</v>
      </c>
      <c r="B422" s="4">
        <v>195.5</v>
      </c>
      <c r="C422" s="4">
        <v>89.814310000000006</v>
      </c>
      <c r="D422" s="1">
        <v>5</v>
      </c>
      <c r="E422" s="11">
        <f>($C$219-Table27[[#This Row],[Mass/%]])/$F$30</f>
        <v>8.4840042052112277E-2</v>
      </c>
    </row>
    <row r="423" spans="1:5" x14ac:dyDescent="0.15">
      <c r="A423" s="4">
        <v>250.00402</v>
      </c>
      <c r="B423" s="4">
        <v>196</v>
      </c>
      <c r="C423" s="4">
        <v>89.799009999999996</v>
      </c>
      <c r="D423" s="1">
        <v>5</v>
      </c>
      <c r="E423" s="11">
        <f>($C$219-Table27[[#This Row],[Mass/%]])/$F$30</f>
        <v>8.5087185668220933E-2</v>
      </c>
    </row>
    <row r="424" spans="1:5" x14ac:dyDescent="0.15">
      <c r="A424" s="4">
        <v>250.00201000000001</v>
      </c>
      <c r="B424" s="4">
        <v>196.5</v>
      </c>
      <c r="C424" s="4">
        <v>89.787629999999993</v>
      </c>
      <c r="D424" s="1">
        <v>5</v>
      </c>
      <c r="E424" s="11">
        <f>($C$219-Table27[[#This Row],[Mass/%]])/$F$30</f>
        <v>8.5271008828437619E-2</v>
      </c>
    </row>
    <row r="425" spans="1:5" x14ac:dyDescent="0.15">
      <c r="A425" s="4">
        <v>250.00502</v>
      </c>
      <c r="B425" s="4">
        <v>197</v>
      </c>
      <c r="C425" s="4">
        <v>89.776049999999998</v>
      </c>
      <c r="D425" s="1">
        <v>5</v>
      </c>
      <c r="E425" s="11">
        <f>($C$219-Table27[[#This Row],[Mass/%]])/$F$30</f>
        <v>8.5458062624158865E-2</v>
      </c>
    </row>
    <row r="426" spans="1:5" x14ac:dyDescent="0.15">
      <c r="A426" s="4">
        <v>250.00699</v>
      </c>
      <c r="B426" s="4">
        <v>197.5</v>
      </c>
      <c r="C426" s="4">
        <v>89.749099999999999</v>
      </c>
      <c r="D426" s="1">
        <v>5</v>
      </c>
      <c r="E426" s="11">
        <f>($C$219-Table27[[#This Row],[Mass/%]])/$F$30</f>
        <v>8.5893390758415303E-2</v>
      </c>
    </row>
    <row r="427" spans="1:5" x14ac:dyDescent="0.15">
      <c r="A427" s="4">
        <v>250.00599</v>
      </c>
      <c r="B427" s="4">
        <v>198</v>
      </c>
      <c r="C427" s="4">
        <v>89.735680000000002</v>
      </c>
      <c r="D427" s="1">
        <v>5</v>
      </c>
      <c r="E427" s="11">
        <f>($C$219-Table27[[#This Row],[Mass/%]])/$F$30</f>
        <v>8.6110166400779689E-2</v>
      </c>
    </row>
    <row r="428" spans="1:5" x14ac:dyDescent="0.15">
      <c r="A428" s="4">
        <v>250</v>
      </c>
      <c r="B428" s="4">
        <v>198.5</v>
      </c>
      <c r="C428" s="4">
        <v>89.708839999999995</v>
      </c>
      <c r="D428" s="1">
        <v>5</v>
      </c>
      <c r="E428" s="11">
        <f>($C$219-Table27[[#This Row],[Mass/%]])/$F$30</f>
        <v>8.6543717685508684E-2</v>
      </c>
    </row>
    <row r="429" spans="1:5" x14ac:dyDescent="0.15">
      <c r="A429" s="4">
        <v>249.99804</v>
      </c>
      <c r="B429" s="4">
        <v>199</v>
      </c>
      <c r="C429" s="4">
        <v>89.676240000000007</v>
      </c>
      <c r="D429" s="1">
        <v>5</v>
      </c>
      <c r="E429" s="11">
        <f>($C$219-Table27[[#This Row],[Mass/%]])/$F$30</f>
        <v>8.7070311272772316E-2</v>
      </c>
    </row>
    <row r="430" spans="1:5" x14ac:dyDescent="0.15">
      <c r="A430" s="4">
        <v>249.99903</v>
      </c>
      <c r="B430" s="4">
        <v>199.5</v>
      </c>
      <c r="C430" s="4">
        <v>89.651489999999995</v>
      </c>
      <c r="D430" s="1">
        <v>5</v>
      </c>
      <c r="E430" s="11">
        <f>($C$219-Table27[[#This Row],[Mass/%]])/$F$30</f>
        <v>8.7470102416477416E-2</v>
      </c>
    </row>
    <row r="431" spans="1:5" x14ac:dyDescent="0.15">
      <c r="A431" s="4">
        <v>250.00996000000001</v>
      </c>
      <c r="B431" s="4">
        <v>200</v>
      </c>
      <c r="C431" s="4">
        <v>89.626390000000001</v>
      </c>
      <c r="D431" s="1">
        <v>5</v>
      </c>
      <c r="E431" s="11">
        <f>($C$219-Table27[[#This Row],[Mass/%]])/$F$30</f>
        <v>8.7875547172315438E-2</v>
      </c>
    </row>
    <row r="432" spans="1:5" x14ac:dyDescent="0.15">
      <c r="A432" s="4">
        <v>250.011</v>
      </c>
      <c r="B432" s="4">
        <v>200.5</v>
      </c>
      <c r="C432" s="4">
        <v>89.605429999999998</v>
      </c>
      <c r="D432" s="1">
        <v>5</v>
      </c>
      <c r="E432" s="11">
        <f>($C$219-Table27[[#This Row],[Mass/%]])/$F$30</f>
        <v>8.8214117773206577E-2</v>
      </c>
    </row>
    <row r="433" spans="1:5" x14ac:dyDescent="0.15">
      <c r="A433" s="4">
        <v>250.00700000000001</v>
      </c>
      <c r="B433" s="4">
        <v>201</v>
      </c>
      <c r="C433" s="4">
        <v>89.599590000000006</v>
      </c>
      <c r="D433" s="1">
        <v>5</v>
      </c>
      <c r="E433" s="11">
        <f>($C$219-Table27[[#This Row],[Mass/%]])/$F$30</f>
        <v>8.8308452329943277E-2</v>
      </c>
    </row>
    <row r="434" spans="1:5" x14ac:dyDescent="0.15">
      <c r="A434" s="4">
        <v>250.00395</v>
      </c>
      <c r="B434" s="4">
        <v>201.5</v>
      </c>
      <c r="C434" s="4">
        <v>89.578500000000005</v>
      </c>
      <c r="D434" s="1">
        <v>5</v>
      </c>
      <c r="E434" s="11">
        <f>($C$219-Table27[[#This Row],[Mass/%]])/$F$30</f>
        <v>8.8649122843912451E-2</v>
      </c>
    </row>
    <row r="435" spans="1:5" x14ac:dyDescent="0.15">
      <c r="A435" s="4">
        <v>250.00099</v>
      </c>
      <c r="B435" s="4">
        <v>202</v>
      </c>
      <c r="C435" s="4">
        <v>89.549629999999993</v>
      </c>
      <c r="D435" s="1">
        <v>5</v>
      </c>
      <c r="E435" s="11">
        <f>($C$219-Table27[[#This Row],[Mass/%]])/$F$30</f>
        <v>8.9115465079014078E-2</v>
      </c>
    </row>
    <row r="436" spans="1:5" x14ac:dyDescent="0.15">
      <c r="A436" s="4">
        <v>250.00201999999999</v>
      </c>
      <c r="B436" s="4">
        <v>202.5</v>
      </c>
      <c r="C436" s="4">
        <v>89.523009999999999</v>
      </c>
      <c r="D436" s="1">
        <v>5</v>
      </c>
      <c r="E436" s="11">
        <f>($C$219-Table27[[#This Row],[Mass/%]])/$F$30</f>
        <v>8.9545462664687714E-2</v>
      </c>
    </row>
    <row r="437" spans="1:5" x14ac:dyDescent="0.15">
      <c r="A437" s="4">
        <v>249.99904000000001</v>
      </c>
      <c r="B437" s="4">
        <v>203</v>
      </c>
      <c r="C437" s="4">
        <v>89.490020000000001</v>
      </c>
      <c r="D437" s="1">
        <v>5</v>
      </c>
      <c r="E437" s="11">
        <f>($C$219-Table27[[#This Row],[Mass/%]])/$F$30</f>
        <v>9.0078355991185646E-2</v>
      </c>
    </row>
    <row r="438" spans="1:5" x14ac:dyDescent="0.15">
      <c r="A438" s="4">
        <v>250.00502</v>
      </c>
      <c r="B438" s="4">
        <v>203.5</v>
      </c>
      <c r="C438" s="4">
        <v>89.480890000000002</v>
      </c>
      <c r="D438" s="1">
        <v>5</v>
      </c>
      <c r="E438" s="11">
        <f>($C$219-Table27[[#This Row],[Mass/%]])/$F$30</f>
        <v>9.022583450197455E-2</v>
      </c>
    </row>
    <row r="439" spans="1:5" x14ac:dyDescent="0.15">
      <c r="A439" s="4">
        <v>250.00498999999999</v>
      </c>
      <c r="B439" s="4">
        <v>204</v>
      </c>
      <c r="C439" s="4">
        <v>89.453819999999993</v>
      </c>
      <c r="D439" s="1">
        <v>5</v>
      </c>
      <c r="E439" s="11">
        <f>($C$219-Table27[[#This Row],[Mass/%]])/$F$30</f>
        <v>9.066310101753397E-2</v>
      </c>
    </row>
    <row r="440" spans="1:5" x14ac:dyDescent="0.15">
      <c r="A440" s="4">
        <v>250.00402</v>
      </c>
      <c r="B440" s="4">
        <v>204.5</v>
      </c>
      <c r="C440" s="4">
        <v>89.423180000000002</v>
      </c>
      <c r="D440" s="1">
        <v>5</v>
      </c>
      <c r="E440" s="11">
        <f>($C$219-Table27[[#This Row],[Mass/%]])/$F$30</f>
        <v>9.1158034376851729E-2</v>
      </c>
    </row>
    <row r="441" spans="1:5" x14ac:dyDescent="0.15">
      <c r="A441" s="4">
        <v>250.00496000000001</v>
      </c>
      <c r="B441" s="4">
        <v>205</v>
      </c>
      <c r="C441" s="4">
        <v>89.405860000000004</v>
      </c>
      <c r="D441" s="1">
        <v>5</v>
      </c>
      <c r="E441" s="11">
        <f>($C$219-Table27[[#This Row],[Mass/%]])/$F$30</f>
        <v>9.143780741155752E-2</v>
      </c>
    </row>
    <row r="442" spans="1:5" x14ac:dyDescent="0.15">
      <c r="A442" s="4">
        <v>249.99999</v>
      </c>
      <c r="B442" s="4">
        <v>205.5</v>
      </c>
      <c r="C442" s="4">
        <v>89.386750000000006</v>
      </c>
      <c r="D442" s="1">
        <v>5</v>
      </c>
      <c r="E442" s="11">
        <f>($C$219-Table27[[#This Row],[Mass/%]])/$F$30</f>
        <v>9.1746494634030243E-2</v>
      </c>
    </row>
    <row r="443" spans="1:5" x14ac:dyDescent="0.15">
      <c r="A443" s="4">
        <v>250.00201000000001</v>
      </c>
      <c r="B443" s="4">
        <v>206</v>
      </c>
      <c r="C443" s="4">
        <v>89.359960000000001</v>
      </c>
      <c r="D443" s="1">
        <v>5</v>
      </c>
      <c r="E443" s="11">
        <f>($C$219-Table27[[#This Row],[Mass/%]])/$F$30</f>
        <v>9.2179238259883028E-2</v>
      </c>
    </row>
    <row r="444" spans="1:5" x14ac:dyDescent="0.15">
      <c r="A444" s="4">
        <v>250.00403</v>
      </c>
      <c r="B444" s="4">
        <v>206.5</v>
      </c>
      <c r="C444" s="4">
        <v>89.344679999999997</v>
      </c>
      <c r="D444" s="1">
        <v>5</v>
      </c>
      <c r="E444" s="11">
        <f>($C$219-Table27[[#This Row],[Mass/%]])/$F$30</f>
        <v>9.242605881244112E-2</v>
      </c>
    </row>
    <row r="445" spans="1:5" x14ac:dyDescent="0.15">
      <c r="A445" s="4">
        <v>249.99903</v>
      </c>
      <c r="B445" s="4">
        <v>207</v>
      </c>
      <c r="C445" s="4">
        <v>89.310119999999998</v>
      </c>
      <c r="D445" s="1">
        <v>5</v>
      </c>
      <c r="E445" s="11">
        <f>($C$219-Table27[[#This Row],[Mass/%]])/$F$30</f>
        <v>9.2984312627650861E-2</v>
      </c>
    </row>
    <row r="446" spans="1:5" x14ac:dyDescent="0.15">
      <c r="A446" s="4">
        <v>250.00402</v>
      </c>
      <c r="B446" s="4">
        <v>207.5</v>
      </c>
      <c r="C446" s="4">
        <v>89.28922</v>
      </c>
      <c r="D446" s="1">
        <v>5</v>
      </c>
      <c r="E446" s="11">
        <f>($C$219-Table27[[#This Row],[Mass/%]])/$F$30</f>
        <v>9.3321914037890516E-2</v>
      </c>
    </row>
    <row r="447" spans="1:5" x14ac:dyDescent="0.15">
      <c r="A447" s="4">
        <v>250.00303</v>
      </c>
      <c r="B447" s="4">
        <v>208</v>
      </c>
      <c r="C447" s="4">
        <v>89.277360000000002</v>
      </c>
      <c r="D447" s="1">
        <v>5</v>
      </c>
      <c r="E447" s="11">
        <f>($C$219-Table27[[#This Row],[Mass/%]])/$F$30</f>
        <v>9.3513490723318382E-2</v>
      </c>
    </row>
    <row r="448" spans="1:5" x14ac:dyDescent="0.15">
      <c r="A448" s="4">
        <v>250.00098</v>
      </c>
      <c r="B448" s="4">
        <v>208.5</v>
      </c>
      <c r="C448" s="4">
        <v>89.254469999999998</v>
      </c>
      <c r="D448" s="1">
        <v>5</v>
      </c>
      <c r="E448" s="11">
        <f>($C$219-Table27[[#This Row],[Mass/%]])/$F$30</f>
        <v>9.3883236956829777E-2</v>
      </c>
    </row>
    <row r="449" spans="1:5" x14ac:dyDescent="0.15">
      <c r="A449" s="4">
        <v>250.00707</v>
      </c>
      <c r="B449" s="4">
        <v>209</v>
      </c>
      <c r="C449" s="4">
        <v>89.227649999999997</v>
      </c>
      <c r="D449" s="1">
        <v>5</v>
      </c>
      <c r="E449" s="11">
        <f>($C$219-Table27[[#This Row],[Mass/%]])/$F$30</f>
        <v>9.4316465178008194E-2</v>
      </c>
    </row>
    <row r="450" spans="1:5" x14ac:dyDescent="0.15">
      <c r="A450" s="4">
        <v>250.01104000000001</v>
      </c>
      <c r="B450" s="4">
        <v>209.5</v>
      </c>
      <c r="C450" s="4">
        <v>89.210380000000001</v>
      </c>
      <c r="D450" s="1">
        <v>5</v>
      </c>
      <c r="E450" s="11">
        <f>($C$219-Table27[[#This Row],[Mass/%]])/$F$30</f>
        <v>9.4595430553837775E-2</v>
      </c>
    </row>
    <row r="451" spans="1:5" x14ac:dyDescent="0.15">
      <c r="A451" s="4">
        <v>250.00905</v>
      </c>
      <c r="B451" s="4">
        <v>210</v>
      </c>
      <c r="C451" s="4">
        <v>89.202680000000001</v>
      </c>
      <c r="D451" s="1">
        <v>5</v>
      </c>
      <c r="E451" s="11">
        <f>($C$219-Table27[[#This Row],[Mass/%]])/$F$30</f>
        <v>9.4719810020768194E-2</v>
      </c>
    </row>
    <row r="452" spans="1:5" x14ac:dyDescent="0.15">
      <c r="A452" s="4">
        <v>250.00398999999999</v>
      </c>
      <c r="B452" s="4">
        <v>210.5</v>
      </c>
      <c r="C452" s="4">
        <v>89.17783</v>
      </c>
      <c r="D452" s="1">
        <v>5</v>
      </c>
      <c r="E452" s="11">
        <f>($C$219-Table27[[#This Row],[Mass/%]])/$F$30</f>
        <v>9.5121216482225449E-2</v>
      </c>
    </row>
    <row r="453" spans="1:5" x14ac:dyDescent="0.15">
      <c r="A453" s="4">
        <v>250.00098</v>
      </c>
      <c r="B453" s="4">
        <v>211</v>
      </c>
      <c r="C453" s="4">
        <v>89.1584</v>
      </c>
      <c r="D453" s="1">
        <v>5</v>
      </c>
      <c r="E453" s="11">
        <f>($C$219-Table27[[#This Row],[Mass/%]])/$F$30</f>
        <v>9.5435072721505698E-2</v>
      </c>
    </row>
    <row r="454" spans="1:5" x14ac:dyDescent="0.15">
      <c r="A454" s="4">
        <v>250.00702999999999</v>
      </c>
      <c r="B454" s="4">
        <v>211.5</v>
      </c>
      <c r="C454" s="4">
        <v>89.123850000000004</v>
      </c>
      <c r="D454" s="1">
        <v>5</v>
      </c>
      <c r="E454" s="11">
        <f>($C$219-Table27[[#This Row],[Mass/%]])/$F$30</f>
        <v>9.5993165004940165E-2</v>
      </c>
    </row>
    <row r="455" spans="1:5" x14ac:dyDescent="0.15">
      <c r="A455" s="4">
        <v>250.00403</v>
      </c>
      <c r="B455" s="4">
        <v>212</v>
      </c>
      <c r="C455" s="4">
        <v>89.101179999999999</v>
      </c>
      <c r="D455" s="1">
        <v>5</v>
      </c>
      <c r="E455" s="11">
        <f>($C$219-Table27[[#This Row],[Mass/%]])/$F$30</f>
        <v>9.6359357539396409E-2</v>
      </c>
    </row>
    <row r="456" spans="1:5" x14ac:dyDescent="0.15">
      <c r="A456" s="4">
        <v>250.005</v>
      </c>
      <c r="B456" s="4">
        <v>212.5</v>
      </c>
      <c r="C456" s="4">
        <v>89.083749999999995</v>
      </c>
      <c r="D456" s="1">
        <v>5</v>
      </c>
      <c r="E456" s="11">
        <f>($C$219-Table27[[#This Row],[Mass/%]])/$F$30</f>
        <v>9.6640907423629879E-2</v>
      </c>
    </row>
    <row r="457" spans="1:5" x14ac:dyDescent="0.15">
      <c r="A457" s="4">
        <v>250.00695999999999</v>
      </c>
      <c r="B457" s="4">
        <v>213</v>
      </c>
      <c r="C457" s="4">
        <v>89.068629999999999</v>
      </c>
      <c r="D457" s="1">
        <v>5</v>
      </c>
      <c r="E457" s="11">
        <f>($C$219-Table27[[#This Row],[Mass/%]])/$F$30</f>
        <v>9.6885143467784082E-2</v>
      </c>
    </row>
    <row r="458" spans="1:5" x14ac:dyDescent="0.15">
      <c r="A458" s="4">
        <v>250.00497999999999</v>
      </c>
      <c r="B458" s="4">
        <v>213.5</v>
      </c>
      <c r="C458" s="4">
        <v>89.045540000000003</v>
      </c>
      <c r="D458" s="1">
        <v>5</v>
      </c>
      <c r="E458" s="11">
        <f>($C$219-Table27[[#This Row],[Mass/%]])/$F$30</f>
        <v>9.7258120336800036E-2</v>
      </c>
    </row>
    <row r="459" spans="1:5" x14ac:dyDescent="0.15">
      <c r="A459" s="4">
        <v>250.006</v>
      </c>
      <c r="B459" s="4">
        <v>214</v>
      </c>
      <c r="C459" s="4">
        <v>89.028329999999997</v>
      </c>
      <c r="D459" s="1">
        <v>5</v>
      </c>
      <c r="E459" s="11">
        <f>($C$219-Table27[[#This Row],[Mass/%]])/$F$30</f>
        <v>9.7536116521978369E-2</v>
      </c>
    </row>
    <row r="460" spans="1:5" x14ac:dyDescent="0.15">
      <c r="A460" s="4">
        <v>250.00303</v>
      </c>
      <c r="B460" s="4">
        <v>214.5</v>
      </c>
      <c r="C460" s="4">
        <v>88.995599999999996</v>
      </c>
      <c r="D460" s="1">
        <v>5</v>
      </c>
      <c r="E460" s="11">
        <f>($C$219-Table27[[#This Row],[Mass/%]])/$F$30</f>
        <v>9.8064810022320259E-2</v>
      </c>
    </row>
    <row r="461" spans="1:5" x14ac:dyDescent="0.15">
      <c r="A461" s="4">
        <v>250.00602000000001</v>
      </c>
      <c r="B461" s="4">
        <v>215</v>
      </c>
      <c r="C461" s="4">
        <v>88.97457</v>
      </c>
      <c r="D461" s="1">
        <v>5</v>
      </c>
      <c r="E461" s="11">
        <f>($C$219-Table27[[#This Row],[Mass/%]])/$F$30</f>
        <v>9.8404511345637949E-2</v>
      </c>
    </row>
    <row r="462" spans="1:5" x14ac:dyDescent="0.15">
      <c r="A462" s="4">
        <v>250.00701000000001</v>
      </c>
      <c r="B462" s="4">
        <v>215.5</v>
      </c>
      <c r="C462" s="4">
        <v>88.972530000000006</v>
      </c>
      <c r="D462" s="1">
        <v>5</v>
      </c>
      <c r="E462" s="11">
        <f>($C$219-Table27[[#This Row],[Mass/%]])/$F$30</f>
        <v>9.8437463827785648E-2</v>
      </c>
    </row>
    <row r="463" spans="1:5" x14ac:dyDescent="0.15">
      <c r="A463" s="4">
        <v>250.00601</v>
      </c>
      <c r="B463" s="4">
        <v>216</v>
      </c>
      <c r="C463" s="4">
        <v>88.938239999999993</v>
      </c>
      <c r="D463" s="1">
        <v>5</v>
      </c>
      <c r="E463" s="11">
        <f>($C$219-Table27[[#This Row],[Mass/%]])/$F$30</f>
        <v>9.899135628506428E-2</v>
      </c>
    </row>
    <row r="464" spans="1:5" x14ac:dyDescent="0.15">
      <c r="A464" s="4">
        <v>250.00398000000001</v>
      </c>
      <c r="B464" s="4">
        <v>216.5</v>
      </c>
      <c r="C464" s="4">
        <v>88.916970000000006</v>
      </c>
      <c r="D464" s="1">
        <v>5</v>
      </c>
      <c r="E464" s="11">
        <f>($C$219-Table27[[#This Row],[Mass/%]])/$F$30</f>
        <v>9.9334934370987449E-2</v>
      </c>
    </row>
    <row r="465" spans="1:5" x14ac:dyDescent="0.15">
      <c r="A465" s="4">
        <v>250.005</v>
      </c>
      <c r="B465" s="4">
        <v>217</v>
      </c>
      <c r="C465" s="4">
        <v>88.894080000000002</v>
      </c>
      <c r="D465" s="1">
        <v>5</v>
      </c>
      <c r="E465" s="11">
        <f>($C$219-Table27[[#This Row],[Mass/%]])/$F$30</f>
        <v>9.970468060449883E-2</v>
      </c>
    </row>
    <row r="466" spans="1:5" x14ac:dyDescent="0.15">
      <c r="A466" s="4">
        <v>250.00797</v>
      </c>
      <c r="B466" s="4">
        <v>217.5</v>
      </c>
      <c r="C466" s="4">
        <v>88.886319999999998</v>
      </c>
      <c r="D466" s="1">
        <v>5</v>
      </c>
      <c r="E466" s="11">
        <f>($C$219-Table27[[#This Row],[Mass/%]])/$F$30</f>
        <v>9.9830029262080719E-2</v>
      </c>
    </row>
    <row r="467" spans="1:5" x14ac:dyDescent="0.15">
      <c r="A467" s="4">
        <v>250.00597999999999</v>
      </c>
      <c r="B467" s="4">
        <v>218</v>
      </c>
      <c r="C467" s="4">
        <v>88.847890000000007</v>
      </c>
      <c r="D467" s="1">
        <v>5</v>
      </c>
      <c r="E467" s="11">
        <f>($C$219-Table27[[#This Row],[Mass/%]])/$F$30</f>
        <v>0.10045079587430601</v>
      </c>
    </row>
    <row r="468" spans="1:5" x14ac:dyDescent="0.15">
      <c r="A468" s="4">
        <v>250.01000999999999</v>
      </c>
      <c r="B468" s="4">
        <v>218.5</v>
      </c>
      <c r="C468" s="4">
        <v>88.830539999999999</v>
      </c>
      <c r="D468" s="1">
        <v>5</v>
      </c>
      <c r="E468" s="11">
        <f>($C$219-Table27[[#This Row],[Mass/%]])/$F$30</f>
        <v>0.10073105350433766</v>
      </c>
    </row>
    <row r="469" spans="1:5" x14ac:dyDescent="0.15">
      <c r="A469" s="4">
        <v>250.00503</v>
      </c>
      <c r="B469" s="4">
        <v>219</v>
      </c>
      <c r="C469" s="4">
        <v>88.815380000000005</v>
      </c>
      <c r="D469" s="1">
        <v>5</v>
      </c>
      <c r="E469" s="11">
        <f>($C$219-Table27[[#This Row],[Mass/%]])/$F$30</f>
        <v>0.10097593567559278</v>
      </c>
    </row>
    <row r="470" spans="1:5" x14ac:dyDescent="0.15">
      <c r="A470" s="4">
        <v>250.00303</v>
      </c>
      <c r="B470" s="4">
        <v>219.5</v>
      </c>
      <c r="C470" s="4">
        <v>88.786469999999994</v>
      </c>
      <c r="D470" s="1">
        <v>5</v>
      </c>
      <c r="E470" s="11">
        <f>($C$219-Table27[[#This Row],[Mass/%]])/$F$30</f>
        <v>0.10144292403779533</v>
      </c>
    </row>
    <row r="471" spans="1:5" x14ac:dyDescent="0.15">
      <c r="A471" s="4">
        <v>250.005</v>
      </c>
      <c r="B471" s="4">
        <v>220</v>
      </c>
      <c r="C471" s="4">
        <v>88.763540000000006</v>
      </c>
      <c r="D471" s="1">
        <v>5</v>
      </c>
      <c r="E471" s="11">
        <f>($C$219-Table27[[#This Row],[Mass/%]])/$F$30</f>
        <v>0.10181331639840739</v>
      </c>
    </row>
    <row r="472" spans="1:5" x14ac:dyDescent="0.15">
      <c r="A472" s="4">
        <v>250.00899999999999</v>
      </c>
      <c r="B472" s="4">
        <v>220.5</v>
      </c>
      <c r="C472" s="4">
        <v>88.734809999999996</v>
      </c>
      <c r="D472" s="1">
        <v>5</v>
      </c>
      <c r="E472" s="11">
        <f>($C$219-Table27[[#This Row],[Mass/%]])/$F$30</f>
        <v>0.10227739718865572</v>
      </c>
    </row>
    <row r="473" spans="1:5" x14ac:dyDescent="0.15">
      <c r="A473" s="4">
        <v>250.00901999999999</v>
      </c>
      <c r="B473" s="4">
        <v>221</v>
      </c>
      <c r="C473" s="4">
        <v>88.717680000000001</v>
      </c>
      <c r="D473" s="1">
        <v>5</v>
      </c>
      <c r="E473" s="11">
        <f>($C$219-Table27[[#This Row],[Mass/%]])/$F$30</f>
        <v>0.10255410111963199</v>
      </c>
    </row>
    <row r="474" spans="1:5" x14ac:dyDescent="0.15">
      <c r="A474" s="4">
        <v>250.01104000000001</v>
      </c>
      <c r="B474" s="4">
        <v>221.5</v>
      </c>
      <c r="C474" s="4">
        <v>88.702190000000002</v>
      </c>
      <c r="D474" s="1">
        <v>5</v>
      </c>
      <c r="E474" s="11">
        <f>($C$219-Table27[[#This Row],[Mass/%]])/$F$30</f>
        <v>0.10280431383946993</v>
      </c>
    </row>
    <row r="475" spans="1:5" x14ac:dyDescent="0.15">
      <c r="A475" s="4">
        <v>250.00597999999999</v>
      </c>
      <c r="B475" s="4">
        <v>222</v>
      </c>
      <c r="C475" s="4">
        <v>88.669529999999995</v>
      </c>
      <c r="D475" s="1">
        <v>5</v>
      </c>
      <c r="E475" s="11">
        <f>($C$219-Table27[[#This Row],[Mass/%]])/$F$30</f>
        <v>0.10333187661738528</v>
      </c>
    </row>
    <row r="476" spans="1:5" x14ac:dyDescent="0.15">
      <c r="A476" s="4">
        <v>250.00301999999999</v>
      </c>
      <c r="B476" s="4">
        <v>222.5</v>
      </c>
      <c r="C476" s="4">
        <v>88.660070000000005</v>
      </c>
      <c r="D476" s="1">
        <v>5</v>
      </c>
      <c r="E476" s="11">
        <f>($C$219-Table27[[#This Row],[Mass/%]])/$F$30</f>
        <v>0.10348468567675678</v>
      </c>
    </row>
    <row r="477" spans="1:5" x14ac:dyDescent="0.15">
      <c r="A477" s="4">
        <v>250.00098</v>
      </c>
      <c r="B477" s="4">
        <v>223</v>
      </c>
      <c r="C477" s="4">
        <v>88.637</v>
      </c>
      <c r="D477" s="1">
        <v>5</v>
      </c>
      <c r="E477" s="11">
        <f>($C$219-Table27[[#This Row],[Mass/%]])/$F$30</f>
        <v>0.10385733948222238</v>
      </c>
    </row>
    <row r="478" spans="1:5" x14ac:dyDescent="0.15">
      <c r="A478" s="4">
        <v>250.00803999999999</v>
      </c>
      <c r="B478" s="4">
        <v>223.5</v>
      </c>
      <c r="C478" s="4">
        <v>88.610249999999994</v>
      </c>
      <c r="D478" s="1">
        <v>5</v>
      </c>
      <c r="E478" s="11">
        <f>($C$219-Table27[[#This Row],[Mass/%]])/$F$30</f>
        <v>0.10428943698097426</v>
      </c>
    </row>
    <row r="479" spans="1:5" x14ac:dyDescent="0.15">
      <c r="A479" s="4">
        <v>250.00801999999999</v>
      </c>
      <c r="B479" s="4">
        <v>224</v>
      </c>
      <c r="C479" s="4">
        <v>88.592920000000007</v>
      </c>
      <c r="D479" s="1">
        <v>5</v>
      </c>
      <c r="E479" s="11">
        <f>($C$219-Table27[[#This Row],[Mass/%]])/$F$30</f>
        <v>0.1045693715474551</v>
      </c>
    </row>
    <row r="480" spans="1:5" x14ac:dyDescent="0.15">
      <c r="A480" s="4">
        <v>250.00997000000001</v>
      </c>
      <c r="B480" s="4">
        <v>224.5</v>
      </c>
      <c r="C480" s="4">
        <v>88.565969999999993</v>
      </c>
      <c r="D480" s="1">
        <v>5</v>
      </c>
      <c r="E480" s="11">
        <f>($C$219-Table27[[#This Row],[Mass/%]])/$F$30</f>
        <v>0.10500469968171178</v>
      </c>
    </row>
    <row r="481" spans="1:5" x14ac:dyDescent="0.15">
      <c r="A481" s="4">
        <v>250.00702999999999</v>
      </c>
      <c r="B481" s="4">
        <v>225</v>
      </c>
      <c r="C481" s="4">
        <v>88.554559999999995</v>
      </c>
      <c r="D481" s="1">
        <v>5</v>
      </c>
      <c r="E481" s="11">
        <f>($C$219-Table27[[#This Row],[Mass/%]])/$F$30</f>
        <v>0.10518900743725408</v>
      </c>
    </row>
    <row r="482" spans="1:5" x14ac:dyDescent="0.15">
      <c r="A482" s="4">
        <v>250.00702000000001</v>
      </c>
      <c r="B482" s="4">
        <v>225.5</v>
      </c>
      <c r="C482" s="4">
        <v>88.541160000000005</v>
      </c>
      <c r="D482" s="1">
        <v>5</v>
      </c>
      <c r="E482" s="11">
        <f>($C$219-Table27[[#This Row],[Mass/%]])/$F$30</f>
        <v>0.10540546001606789</v>
      </c>
    </row>
    <row r="483" spans="1:5" x14ac:dyDescent="0.15">
      <c r="A483" s="4">
        <v>250.006</v>
      </c>
      <c r="B483" s="4">
        <v>226</v>
      </c>
      <c r="C483" s="4">
        <v>88.517979999999994</v>
      </c>
      <c r="D483" s="1">
        <v>5</v>
      </c>
      <c r="E483" s="11">
        <f>($C$219-Table27[[#This Row],[Mass/%]])/$F$30</f>
        <v>0.10577989067106119</v>
      </c>
    </row>
    <row r="484" spans="1:5" x14ac:dyDescent="0.15">
      <c r="A484" s="4">
        <v>250.00304</v>
      </c>
      <c r="B484" s="4">
        <v>226.5</v>
      </c>
      <c r="C484" s="4">
        <v>88.4953</v>
      </c>
      <c r="D484" s="1">
        <v>5</v>
      </c>
      <c r="E484" s="11">
        <f>($C$219-Table27[[#This Row],[Mass/%]])/$F$30</f>
        <v>0.10614624473729249</v>
      </c>
    </row>
    <row r="485" spans="1:5" x14ac:dyDescent="0.15">
      <c r="A485" s="4">
        <v>250.005</v>
      </c>
      <c r="B485" s="4">
        <v>227</v>
      </c>
      <c r="C485" s="4">
        <v>88.479709999999997</v>
      </c>
      <c r="D485" s="1">
        <v>5</v>
      </c>
      <c r="E485" s="11">
        <f>($C$219-Table27[[#This Row],[Mass/%]])/$F$30</f>
        <v>0.10639807277488283</v>
      </c>
    </row>
    <row r="486" spans="1:5" x14ac:dyDescent="0.15">
      <c r="A486" s="4">
        <v>250.00502</v>
      </c>
      <c r="B486" s="4">
        <v>227.5</v>
      </c>
      <c r="C486" s="4">
        <v>88.422060000000002</v>
      </c>
      <c r="D486" s="1">
        <v>5</v>
      </c>
      <c r="E486" s="11">
        <f>($C$219-Table27[[#This Row],[Mass/%]])/$F$30</f>
        <v>0.10732930345910853</v>
      </c>
    </row>
    <row r="487" spans="1:5" x14ac:dyDescent="0.15">
      <c r="A487" s="4">
        <v>250.00397000000001</v>
      </c>
      <c r="B487" s="4">
        <v>228</v>
      </c>
      <c r="C487" s="4">
        <v>88.418390000000002</v>
      </c>
      <c r="D487" s="1">
        <v>5</v>
      </c>
      <c r="E487" s="11">
        <f>($C$219-Table27[[#This Row],[Mass/%]])/$F$30</f>
        <v>0.10738858562061951</v>
      </c>
    </row>
    <row r="488" spans="1:5" x14ac:dyDescent="0.15">
      <c r="A488" s="4">
        <v>250.00501</v>
      </c>
      <c r="B488" s="4">
        <v>228.5</v>
      </c>
      <c r="C488" s="4">
        <v>88.391509999999997</v>
      </c>
      <c r="D488" s="1">
        <v>5</v>
      </c>
      <c r="E488" s="11">
        <f>($C$219-Table27[[#This Row],[Mass/%]])/$F$30</f>
        <v>0.10782278303244941</v>
      </c>
    </row>
    <row r="489" spans="1:5" x14ac:dyDescent="0.15">
      <c r="A489" s="4">
        <v>250.00496000000001</v>
      </c>
      <c r="B489" s="4">
        <v>229</v>
      </c>
      <c r="C489" s="4">
        <v>88.378069999999994</v>
      </c>
      <c r="D489" s="1">
        <v>5</v>
      </c>
      <c r="E489" s="11">
        <f>($C$219-Table27[[#This Row],[Mass/%]])/$F$30</f>
        <v>0.10803988173836436</v>
      </c>
    </row>
    <row r="490" spans="1:5" x14ac:dyDescent="0.15">
      <c r="A490" s="4">
        <v>249.99997999999999</v>
      </c>
      <c r="B490" s="4">
        <v>229.5</v>
      </c>
      <c r="C490" s="4">
        <v>88.347660000000005</v>
      </c>
      <c r="D490" s="1">
        <v>5</v>
      </c>
      <c r="E490" s="11">
        <f>($C$219-Table27[[#This Row],[Mass/%]])/$F$30</f>
        <v>0.10853109986685171</v>
      </c>
    </row>
    <row r="491" spans="1:5" x14ac:dyDescent="0.15">
      <c r="A491" s="4">
        <v>250.00192999999999</v>
      </c>
      <c r="B491" s="4">
        <v>230</v>
      </c>
      <c r="C491" s="4">
        <v>88.334029999999998</v>
      </c>
      <c r="D491" s="1">
        <v>5</v>
      </c>
      <c r="E491" s="11">
        <f>($C$219-Table27[[#This Row],[Mass/%]])/$F$30</f>
        <v>0.10875126767649616</v>
      </c>
    </row>
    <row r="492" spans="1:5" x14ac:dyDescent="0.15">
      <c r="A492" s="4">
        <v>250.00201000000001</v>
      </c>
      <c r="B492" s="4">
        <v>230.5</v>
      </c>
      <c r="C492" s="4">
        <v>88.309209999999993</v>
      </c>
      <c r="D492" s="1">
        <v>5</v>
      </c>
      <c r="E492" s="11">
        <f>($C$219-Table27[[#This Row],[Mass/%]])/$F$30</f>
        <v>0.1091521895426278</v>
      </c>
    </row>
    <row r="493" spans="1:5" x14ac:dyDescent="0.15">
      <c r="A493" s="4">
        <v>250.00299999999999</v>
      </c>
      <c r="B493" s="4">
        <v>231</v>
      </c>
      <c r="C493" s="4">
        <v>88.282129999999995</v>
      </c>
      <c r="D493" s="1">
        <v>5</v>
      </c>
      <c r="E493" s="11">
        <f>($C$219-Table27[[#This Row],[Mass/%]])/$F$30</f>
        <v>0.10958961758996227</v>
      </c>
    </row>
    <row r="494" spans="1:5" x14ac:dyDescent="0.15">
      <c r="A494" s="4">
        <v>250.00399999999999</v>
      </c>
      <c r="B494" s="4">
        <v>231.5</v>
      </c>
      <c r="C494" s="4">
        <v>88.269030000000001</v>
      </c>
      <c r="D494" s="1">
        <v>5</v>
      </c>
      <c r="E494" s="11">
        <f>($C$219-Table27[[#This Row],[Mass/%]])/$F$30</f>
        <v>0.10980122421551912</v>
      </c>
    </row>
    <row r="495" spans="1:5" x14ac:dyDescent="0.15">
      <c r="A495" s="4">
        <v>250.00301999999999</v>
      </c>
      <c r="B495" s="4">
        <v>232</v>
      </c>
      <c r="C495" s="4">
        <v>88.251609999999999</v>
      </c>
      <c r="D495" s="1">
        <v>5</v>
      </c>
      <c r="E495" s="11">
        <f>($C$219-Table27[[#This Row],[Mass/%]])/$F$30</f>
        <v>0.1100826125679773</v>
      </c>
    </row>
    <row r="496" spans="1:5" x14ac:dyDescent="0.15">
      <c r="A496" s="4">
        <v>250.00597999999999</v>
      </c>
      <c r="B496" s="4">
        <v>232.5</v>
      </c>
      <c r="C496" s="4">
        <v>88.230410000000006</v>
      </c>
      <c r="D496" s="1">
        <v>5</v>
      </c>
      <c r="E496" s="11">
        <f>($C$219-Table27[[#This Row],[Mass/%]])/$F$30</f>
        <v>0.11042505993147392</v>
      </c>
    </row>
    <row r="497" spans="1:5" x14ac:dyDescent="0.15">
      <c r="A497" s="4">
        <v>250.00595000000001</v>
      </c>
      <c r="B497" s="4">
        <v>233</v>
      </c>
      <c r="C497" s="4">
        <v>88.217060000000004</v>
      </c>
      <c r="D497" s="1">
        <v>5</v>
      </c>
      <c r="E497" s="11">
        <f>($C$219-Table27[[#This Row],[Mass/%]])/$F$30</f>
        <v>0.11064070485141175</v>
      </c>
    </row>
    <row r="498" spans="1:5" x14ac:dyDescent="0.15">
      <c r="A498" s="4">
        <v>250.00400999999999</v>
      </c>
      <c r="B498" s="4">
        <v>233.5</v>
      </c>
      <c r="C498" s="4">
        <v>88.186480000000003</v>
      </c>
      <c r="D498" s="1">
        <v>5</v>
      </c>
      <c r="E498" s="11">
        <f>($C$219-Table27[[#This Row],[Mass/%]])/$F$30</f>
        <v>0.11113466902007828</v>
      </c>
    </row>
    <row r="499" spans="1:5" x14ac:dyDescent="0.15">
      <c r="A499" s="4">
        <v>250.00097</v>
      </c>
      <c r="B499" s="4">
        <v>234</v>
      </c>
      <c r="C499" s="4">
        <v>88.155770000000004</v>
      </c>
      <c r="D499" s="1">
        <v>5</v>
      </c>
      <c r="E499" s="11">
        <f>($C$219-Table27[[#This Row],[Mass/%]])/$F$30</f>
        <v>0.11163073310182281</v>
      </c>
    </row>
    <row r="500" spans="1:5" x14ac:dyDescent="0.15">
      <c r="A500" s="4">
        <v>250.00402</v>
      </c>
      <c r="B500" s="4">
        <v>234.5</v>
      </c>
      <c r="C500" s="4">
        <v>88.140219999999999</v>
      </c>
      <c r="D500" s="1">
        <v>5</v>
      </c>
      <c r="E500" s="11">
        <f>($C$219-Table27[[#This Row],[Mass/%]])/$F$30</f>
        <v>0.11188191501231223</v>
      </c>
    </row>
    <row r="501" spans="1:5" x14ac:dyDescent="0.15">
      <c r="A501" s="4">
        <v>250.00699</v>
      </c>
      <c r="B501" s="4">
        <v>235</v>
      </c>
      <c r="C501" s="4">
        <v>88.111710000000002</v>
      </c>
      <c r="D501" s="1">
        <v>5</v>
      </c>
      <c r="E501" s="11">
        <f>($C$219-Table27[[#This Row],[Mass/%]])/$F$30</f>
        <v>0.11234244210350519</v>
      </c>
    </row>
    <row r="502" spans="1:5" x14ac:dyDescent="0.15">
      <c r="A502" s="4">
        <v>250.00502</v>
      </c>
      <c r="B502" s="4">
        <v>235.5</v>
      </c>
      <c r="C502" s="4">
        <v>88.088520000000003</v>
      </c>
      <c r="D502" s="1">
        <v>5</v>
      </c>
      <c r="E502" s="11">
        <f>($C$219-Table27[[#This Row],[Mass/%]])/$F$30</f>
        <v>0.11271703429027354</v>
      </c>
    </row>
    <row r="503" spans="1:5" x14ac:dyDescent="0.15">
      <c r="A503" s="4">
        <v>250.00503</v>
      </c>
      <c r="B503" s="4">
        <v>236</v>
      </c>
      <c r="C503" s="4">
        <v>88.065709999999996</v>
      </c>
      <c r="D503" s="1">
        <v>5</v>
      </c>
      <c r="E503" s="11">
        <f>($C$219-Table27[[#This Row],[Mass/%]])/$F$30</f>
        <v>0.1130854882695831</v>
      </c>
    </row>
    <row r="504" spans="1:5" x14ac:dyDescent="0.15">
      <c r="A504" s="4">
        <v>250.00197</v>
      </c>
      <c r="B504" s="4">
        <v>236.5</v>
      </c>
      <c r="C504" s="4">
        <v>88.052310000000006</v>
      </c>
      <c r="D504" s="1">
        <v>5</v>
      </c>
      <c r="E504" s="11">
        <f>($C$219-Table27[[#This Row],[Mass/%]])/$F$30</f>
        <v>0.11330194084839691</v>
      </c>
    </row>
    <row r="505" spans="1:5" x14ac:dyDescent="0.15">
      <c r="A505" s="4">
        <v>249.99999</v>
      </c>
      <c r="B505" s="4">
        <v>237</v>
      </c>
      <c r="C505" s="4">
        <v>88.040610000000001</v>
      </c>
      <c r="D505" s="1">
        <v>5</v>
      </c>
      <c r="E505" s="11">
        <f>($C$219-Table27[[#This Row],[Mass/%]])/$F$30</f>
        <v>0.11349093302542113</v>
      </c>
    </row>
    <row r="506" spans="1:5" x14ac:dyDescent="0.15">
      <c r="A506" s="4">
        <v>250.00801999999999</v>
      </c>
      <c r="B506" s="4">
        <v>237.5</v>
      </c>
      <c r="C506" s="4">
        <v>88.021609999999995</v>
      </c>
      <c r="D506" s="1">
        <v>5</v>
      </c>
      <c r="E506" s="11">
        <f>($C$219-Table27[[#This Row],[Mass/%]])/$F$30</f>
        <v>0.11379784339836639</v>
      </c>
    </row>
    <row r="507" spans="1:5" x14ac:dyDescent="0.15">
      <c r="A507" s="4">
        <v>250.006</v>
      </c>
      <c r="B507" s="4">
        <v>238</v>
      </c>
      <c r="C507" s="4">
        <v>87.979339999999993</v>
      </c>
      <c r="D507" s="1">
        <v>5</v>
      </c>
      <c r="E507" s="11">
        <f>($C$219-Table27[[#This Row],[Mass/%]])/$F$30</f>
        <v>0.11448063821228183</v>
      </c>
    </row>
    <row r="508" spans="1:5" x14ac:dyDescent="0.15">
      <c r="A508" s="4">
        <v>249.99901</v>
      </c>
      <c r="B508" s="4">
        <v>238.5</v>
      </c>
      <c r="C508" s="4">
        <v>87.963970000000003</v>
      </c>
      <c r="D508" s="1">
        <v>5</v>
      </c>
      <c r="E508" s="11">
        <f>($C$219-Table27[[#This Row],[Mass/%]])/$F$30</f>
        <v>0.1147289125508168</v>
      </c>
    </row>
    <row r="509" spans="1:5" x14ac:dyDescent="0.15">
      <c r="A509" s="4">
        <v>250.00599</v>
      </c>
      <c r="B509" s="4">
        <v>239</v>
      </c>
      <c r="C509" s="4">
        <v>87.946740000000005</v>
      </c>
      <c r="D509" s="1">
        <v>5</v>
      </c>
      <c r="E509" s="11">
        <f>($C$219-Table27[[#This Row],[Mass/%]])/$F$30</f>
        <v>0.11500723179954547</v>
      </c>
    </row>
    <row r="510" spans="1:5" x14ac:dyDescent="0.15">
      <c r="A510" s="4">
        <v>250.00502</v>
      </c>
      <c r="B510" s="4">
        <v>239.5</v>
      </c>
      <c r="C510" s="4">
        <v>87.944900000000004</v>
      </c>
      <c r="D510" s="1">
        <v>5</v>
      </c>
      <c r="E510" s="11">
        <f>($C$219-Table27[[#This Row],[Mass/%]])/$F$30</f>
        <v>0.11503695364618861</v>
      </c>
    </row>
    <row r="511" spans="1:5" x14ac:dyDescent="0.15">
      <c r="A511" s="4">
        <v>250.00102000000001</v>
      </c>
      <c r="B511" s="4">
        <v>240</v>
      </c>
      <c r="C511" s="4">
        <v>87.912239999999997</v>
      </c>
      <c r="D511" s="1">
        <v>5</v>
      </c>
      <c r="E511" s="11">
        <f>($C$219-Table27[[#This Row],[Mass/%]])/$F$30</f>
        <v>0.11556451642410397</v>
      </c>
    </row>
    <row r="512" spans="1:5" x14ac:dyDescent="0.15">
      <c r="A512" s="4">
        <v>250.00200000000001</v>
      </c>
      <c r="B512" s="4">
        <v>240.5</v>
      </c>
      <c r="C512" s="4">
        <v>87.889250000000004</v>
      </c>
      <c r="D512" s="1">
        <v>5</v>
      </c>
      <c r="E512" s="11">
        <f>($C$219-Table27[[#This Row],[Mass/%]])/$F$30</f>
        <v>0.11593587797536752</v>
      </c>
    </row>
    <row r="513" spans="1:5" x14ac:dyDescent="0.15">
      <c r="A513" s="4">
        <v>250.00698</v>
      </c>
      <c r="B513" s="4">
        <v>241</v>
      </c>
      <c r="C513" s="4">
        <v>87.862340000000003</v>
      </c>
      <c r="D513" s="1">
        <v>5</v>
      </c>
      <c r="E513" s="11">
        <f>($C$219-Table27[[#This Row],[Mass/%]])/$F$30</f>
        <v>0.11637055998252305</v>
      </c>
    </row>
    <row r="514" spans="1:5" x14ac:dyDescent="0.15">
      <c r="A514" s="4">
        <v>250.00900999999999</v>
      </c>
      <c r="B514" s="4">
        <v>241.5</v>
      </c>
      <c r="C514" s="4">
        <v>87.837620000000001</v>
      </c>
      <c r="D514" s="1">
        <v>5</v>
      </c>
      <c r="E514" s="11">
        <f>($C$219-Table27[[#This Row],[Mass/%]])/$F$30</f>
        <v>0.11676986653090228</v>
      </c>
    </row>
    <row r="515" spans="1:5" x14ac:dyDescent="0.15">
      <c r="A515" s="4">
        <v>250.00498999999999</v>
      </c>
      <c r="B515" s="4">
        <v>242</v>
      </c>
      <c r="C515" s="4">
        <v>87.810450000000003</v>
      </c>
      <c r="D515" s="1">
        <v>5</v>
      </c>
      <c r="E515" s="11">
        <f>($C$219-Table27[[#This Row],[Mass/%]])/$F$30</f>
        <v>0.11720874836421386</v>
      </c>
    </row>
    <row r="516" spans="1:5" x14ac:dyDescent="0.15">
      <c r="A516" s="4">
        <v>250.00702000000001</v>
      </c>
      <c r="B516" s="4">
        <v>242.5</v>
      </c>
      <c r="C516" s="4">
        <v>87.795339999999996</v>
      </c>
      <c r="D516" s="1">
        <v>5</v>
      </c>
      <c r="E516" s="11">
        <f>($C$219-Table27[[#This Row],[Mass/%]])/$F$30</f>
        <v>0.117452822876593</v>
      </c>
    </row>
    <row r="517" spans="1:5" x14ac:dyDescent="0.15">
      <c r="A517" s="4">
        <v>250.00699</v>
      </c>
      <c r="B517" s="4">
        <v>243</v>
      </c>
      <c r="C517" s="4">
        <v>87.785579999999996</v>
      </c>
      <c r="D517" s="1">
        <v>5</v>
      </c>
      <c r="E517" s="11">
        <f>($C$219-Table27[[#This Row],[Mass/%]])/$F$30</f>
        <v>0.11761047788922169</v>
      </c>
    </row>
    <row r="518" spans="1:5" x14ac:dyDescent="0.15">
      <c r="A518" s="4">
        <v>250.01098999999999</v>
      </c>
      <c r="B518" s="4">
        <v>243.5</v>
      </c>
      <c r="C518" s="4">
        <v>87.762609999999995</v>
      </c>
      <c r="D518" s="1">
        <v>5</v>
      </c>
      <c r="E518" s="11">
        <f>($C$219-Table27[[#This Row],[Mass/%]])/$F$30</f>
        <v>0.11798151637693491</v>
      </c>
    </row>
    <row r="519" spans="1:5" x14ac:dyDescent="0.15">
      <c r="A519" s="4">
        <v>250.00299999999999</v>
      </c>
      <c r="B519" s="4">
        <v>244</v>
      </c>
      <c r="C519" s="4">
        <v>87.741770000000002</v>
      </c>
      <c r="D519" s="1">
        <v>5</v>
      </c>
      <c r="E519" s="11">
        <f>($C$219-Table27[[#This Row],[Mass/%]])/$F$30</f>
        <v>0.11831814859652308</v>
      </c>
    </row>
    <row r="520" spans="1:5" x14ac:dyDescent="0.15">
      <c r="A520" s="4">
        <v>250.00305</v>
      </c>
      <c r="B520" s="4">
        <v>244.5</v>
      </c>
      <c r="C520" s="4">
        <v>87.709019999999995</v>
      </c>
      <c r="D520" s="1">
        <v>5</v>
      </c>
      <c r="E520" s="11">
        <f>($C$219-Table27[[#This Row],[Mass/%]])/$F$30</f>
        <v>0.11884716516041555</v>
      </c>
    </row>
    <row r="521" spans="1:5" x14ac:dyDescent="0.15">
      <c r="A521" s="4">
        <v>250.00901999999999</v>
      </c>
      <c r="B521" s="4">
        <v>245</v>
      </c>
      <c r="C521" s="4">
        <v>87.701300000000003</v>
      </c>
      <c r="D521" s="1">
        <v>5</v>
      </c>
      <c r="E521" s="11">
        <f>($C$219-Table27[[#This Row],[Mass/%]])/$F$30</f>
        <v>0.11897186769089629</v>
      </c>
    </row>
    <row r="522" spans="1:5" x14ac:dyDescent="0.15">
      <c r="A522" s="4">
        <v>250.00901999999999</v>
      </c>
      <c r="B522" s="4">
        <v>245.5</v>
      </c>
      <c r="C522" s="4">
        <v>87.669110000000003</v>
      </c>
      <c r="D522" s="1">
        <v>5</v>
      </c>
      <c r="E522" s="11">
        <f>($C$219-Table27[[#This Row],[Mass/%]])/$F$30</f>
        <v>0.11949183847537553</v>
      </c>
    </row>
    <row r="523" spans="1:5" x14ac:dyDescent="0.15">
      <c r="A523" s="4">
        <v>249.9999</v>
      </c>
      <c r="B523" s="4">
        <v>246</v>
      </c>
      <c r="C523" s="4">
        <v>87.637230000000002</v>
      </c>
      <c r="D523" s="1">
        <v>5</v>
      </c>
      <c r="E523" s="11">
        <f>($C$219-Table27[[#This Row],[Mass/%]])/$F$30</f>
        <v>0.12000680177482251</v>
      </c>
    </row>
    <row r="524" spans="1:5" x14ac:dyDescent="0.15">
      <c r="A524" s="4">
        <v>250.00298000000001</v>
      </c>
      <c r="B524" s="4">
        <v>246.5</v>
      </c>
      <c r="C524" s="4">
        <v>87.64385</v>
      </c>
      <c r="D524" s="1">
        <v>5</v>
      </c>
      <c r="E524" s="11">
        <f>($C$219-Table27[[#This Row],[Mass/%]])/$F$30</f>
        <v>0.11989986773961743</v>
      </c>
    </row>
    <row r="525" spans="1:5" x14ac:dyDescent="0.15">
      <c r="A525" s="4">
        <v>250.00905</v>
      </c>
      <c r="B525" s="4">
        <v>247</v>
      </c>
      <c r="C525" s="4">
        <v>87.613060000000004</v>
      </c>
      <c r="D525" s="1">
        <v>5</v>
      </c>
      <c r="E525" s="11">
        <f>($C$219-Table27[[#This Row],[Mass/%]])/$F$30</f>
        <v>0.12039722407556379</v>
      </c>
    </row>
    <row r="526" spans="1:5" x14ac:dyDescent="0.15">
      <c r="A526" s="4">
        <v>250.01102</v>
      </c>
      <c r="B526" s="4">
        <v>247.5</v>
      </c>
      <c r="C526" s="4">
        <v>87.584379999999996</v>
      </c>
      <c r="D526" s="1">
        <v>5</v>
      </c>
      <c r="E526" s="11">
        <f>($C$219-Table27[[#This Row],[Mass/%]])/$F$30</f>
        <v>0.12086049720693592</v>
      </c>
    </row>
    <row r="527" spans="1:5" x14ac:dyDescent="0.15">
      <c r="A527" s="4">
        <v>250.00801999999999</v>
      </c>
      <c r="B527" s="4">
        <v>248</v>
      </c>
      <c r="C527" s="4">
        <v>87.563419999999994</v>
      </c>
      <c r="D527" s="1">
        <v>5</v>
      </c>
      <c r="E527" s="11">
        <f>($C$219-Table27[[#This Row],[Mass/%]])/$F$30</f>
        <v>0.12119906780782706</v>
      </c>
    </row>
    <row r="528" spans="1:5" x14ac:dyDescent="0.15">
      <c r="A528" s="4">
        <v>250.00504000000001</v>
      </c>
      <c r="B528" s="4">
        <v>248.5</v>
      </c>
      <c r="C528" s="4">
        <v>87.536429999999996</v>
      </c>
      <c r="D528" s="1">
        <v>5</v>
      </c>
      <c r="E528" s="11">
        <f>($C$219-Table27[[#This Row],[Mass/%]])/$F$30</f>
        <v>0.12163504206918442</v>
      </c>
    </row>
    <row r="529" spans="1:5" x14ac:dyDescent="0.15">
      <c r="A529" s="4">
        <v>250.00398000000001</v>
      </c>
      <c r="B529" s="4">
        <v>249</v>
      </c>
      <c r="C529" s="4">
        <v>87.499920000000003</v>
      </c>
      <c r="D529" s="1">
        <v>5</v>
      </c>
      <c r="E529" s="11">
        <f>($C$219-Table27[[#This Row],[Mass/%]])/$F$30</f>
        <v>0.12222479458056475</v>
      </c>
    </row>
    <row r="530" spans="1:5" x14ac:dyDescent="0.15">
      <c r="A530" s="4">
        <v>250.00191000000001</v>
      </c>
      <c r="B530" s="4">
        <v>249.5</v>
      </c>
      <c r="C530" s="4">
        <v>87.503889999999998</v>
      </c>
      <c r="D530" s="1">
        <v>5</v>
      </c>
      <c r="E530" s="11">
        <f>($C$219-Table27[[#This Row],[Mass/%]])/$F$30</f>
        <v>0.1221606664657968</v>
      </c>
    </row>
    <row r="531" spans="1:5" x14ac:dyDescent="0.15">
      <c r="A531" s="4">
        <v>250.01102</v>
      </c>
      <c r="B531" s="4">
        <v>250</v>
      </c>
      <c r="C531" s="4">
        <v>87.450090000000003</v>
      </c>
      <c r="D531" s="1">
        <v>5</v>
      </c>
      <c r="E531" s="11">
        <f>($C$219-Table27[[#This Row],[Mass/%]])/$F$30</f>
        <v>0.12302970741655729</v>
      </c>
    </row>
    <row r="532" spans="1:5" x14ac:dyDescent="0.15">
      <c r="A532" s="4">
        <v>250.00403</v>
      </c>
      <c r="B532" s="4">
        <v>250.5</v>
      </c>
      <c r="C532" s="4">
        <v>87.448059999999998</v>
      </c>
      <c r="D532" s="1">
        <v>5</v>
      </c>
      <c r="E532" s="11">
        <f>($C$219-Table27[[#This Row],[Mass/%]])/$F$30</f>
        <v>0.12306249836692994</v>
      </c>
    </row>
    <row r="533" spans="1:5" x14ac:dyDescent="0.15">
      <c r="A533" s="4">
        <v>250.005</v>
      </c>
      <c r="B533" s="4">
        <v>251</v>
      </c>
      <c r="C533" s="4">
        <v>87.438659999999999</v>
      </c>
      <c r="D533" s="1">
        <v>5</v>
      </c>
      <c r="E533" s="11">
        <f>($C$219-Table27[[#This Row],[Mass/%]])/$F$30</f>
        <v>0.12321433823565017</v>
      </c>
    </row>
    <row r="534" spans="1:5" x14ac:dyDescent="0.15">
      <c r="A534" s="4">
        <v>250.00001</v>
      </c>
      <c r="B534" s="4">
        <v>251.5</v>
      </c>
      <c r="C534" s="4">
        <v>87.405950000000004</v>
      </c>
      <c r="D534" s="1">
        <v>5</v>
      </c>
      <c r="E534" s="11">
        <f>($C$219-Table27[[#This Row],[Mass/%]])/$F$30</f>
        <v>0.1237427086724415</v>
      </c>
    </row>
    <row r="535" spans="1:5" x14ac:dyDescent="0.15">
      <c r="A535" s="4">
        <v>250.00391999999999</v>
      </c>
      <c r="B535" s="4">
        <v>252</v>
      </c>
      <c r="C535" s="4">
        <v>87.394530000000003</v>
      </c>
      <c r="D535" s="1">
        <v>5</v>
      </c>
      <c r="E535" s="11">
        <f>($C$219-Table27[[#This Row],[Mass/%]])/$F$30</f>
        <v>0.12392717795975909</v>
      </c>
    </row>
    <row r="536" spans="1:5" x14ac:dyDescent="0.15">
      <c r="A536" s="4">
        <v>250.00002000000001</v>
      </c>
      <c r="B536" s="4">
        <v>252.5</v>
      </c>
      <c r="C536" s="4">
        <v>87.379260000000002</v>
      </c>
      <c r="D536" s="1">
        <v>5</v>
      </c>
      <c r="E536" s="11">
        <f>($C$219-Table27[[#This Row],[Mass/%]])/$F$30</f>
        <v>0.12417383698054189</v>
      </c>
    </row>
    <row r="537" spans="1:5" x14ac:dyDescent="0.15">
      <c r="A537" s="4">
        <v>250.00802999999999</v>
      </c>
      <c r="B537" s="4">
        <v>253</v>
      </c>
      <c r="C537" s="4">
        <v>87.346630000000005</v>
      </c>
      <c r="D537" s="1">
        <v>5</v>
      </c>
      <c r="E537" s="11">
        <f>($C$219-Table27[[#This Row],[Mass/%]])/$F$30</f>
        <v>0.12470091516313139</v>
      </c>
    </row>
    <row r="538" spans="1:5" x14ac:dyDescent="0.15">
      <c r="A538" s="4">
        <v>250.01402999999999</v>
      </c>
      <c r="B538" s="4">
        <v>253.5</v>
      </c>
      <c r="C538" s="4">
        <v>87.327529999999996</v>
      </c>
      <c r="D538" s="1">
        <v>5</v>
      </c>
      <c r="E538" s="11">
        <f>($C$219-Table27[[#This Row],[Mass/%]])/$F$30</f>
        <v>0.12500944085382906</v>
      </c>
    </row>
    <row r="539" spans="1:5" x14ac:dyDescent="0.15">
      <c r="A539" s="4">
        <v>250.01803000000001</v>
      </c>
      <c r="B539" s="4">
        <v>254</v>
      </c>
      <c r="C539" s="4">
        <v>87.30453</v>
      </c>
      <c r="D539" s="1">
        <v>5</v>
      </c>
      <c r="E539" s="11">
        <f>($C$219-Table27[[#This Row],[Mass/%]])/$F$30</f>
        <v>0.1253809639368679</v>
      </c>
    </row>
    <row r="540" spans="1:5" x14ac:dyDescent="0.15">
      <c r="A540" s="4">
        <v>250.01701</v>
      </c>
      <c r="B540" s="4">
        <v>254.5</v>
      </c>
      <c r="C540" s="4">
        <v>87.283249999999995</v>
      </c>
      <c r="D540" s="1">
        <v>5</v>
      </c>
      <c r="E540" s="11">
        <f>($C$219-Table27[[#This Row],[Mass/%]])/$F$30</f>
        <v>0.12572470355456658</v>
      </c>
    </row>
    <row r="541" spans="1:5" x14ac:dyDescent="0.15">
      <c r="A541" s="4">
        <v>250.00794999999999</v>
      </c>
      <c r="B541" s="4">
        <v>255</v>
      </c>
      <c r="C541" s="4">
        <v>87.264080000000007</v>
      </c>
      <c r="D541" s="1">
        <v>5</v>
      </c>
      <c r="E541" s="11">
        <f>($C$219-Table27[[#This Row],[Mass/%]])/$F$30</f>
        <v>0.12603435996769055</v>
      </c>
    </row>
    <row r="542" spans="1:5" x14ac:dyDescent="0.15">
      <c r="A542" s="4">
        <v>250.00400999999999</v>
      </c>
      <c r="B542" s="4">
        <v>255.5</v>
      </c>
      <c r="C542" s="4">
        <v>87.241190000000003</v>
      </c>
      <c r="D542" s="1">
        <v>5</v>
      </c>
      <c r="E542" s="11">
        <f>($C$219-Table27[[#This Row],[Mass/%]])/$F$30</f>
        <v>0.12640410620120193</v>
      </c>
    </row>
    <row r="543" spans="1:5" x14ac:dyDescent="0.15">
      <c r="A543" s="4">
        <v>250.00501</v>
      </c>
      <c r="B543" s="4">
        <v>256</v>
      </c>
      <c r="C543" s="4">
        <v>87.208659999999995</v>
      </c>
      <c r="D543" s="1">
        <v>5</v>
      </c>
      <c r="E543" s="11">
        <f>($C$219-Table27[[#This Row],[Mass/%]])/$F$30</f>
        <v>0.12692956906603925</v>
      </c>
    </row>
    <row r="544" spans="1:5" x14ac:dyDescent="0.15">
      <c r="A544" s="4">
        <v>250.00603000000001</v>
      </c>
      <c r="B544" s="4">
        <v>256.5</v>
      </c>
      <c r="C544" s="4">
        <v>87.193200000000004</v>
      </c>
      <c r="D544" s="1">
        <v>5</v>
      </c>
      <c r="E544" s="11">
        <f>($C$219-Table27[[#This Row],[Mass/%]])/$F$30</f>
        <v>0.12717929719055135</v>
      </c>
    </row>
    <row r="545" spans="1:5" x14ac:dyDescent="0.15">
      <c r="A545" s="4">
        <v>250.00299000000001</v>
      </c>
      <c r="B545" s="4">
        <v>257</v>
      </c>
      <c r="C545" s="4">
        <v>87.174109999999999</v>
      </c>
      <c r="D545" s="1">
        <v>5</v>
      </c>
      <c r="E545" s="11">
        <f>($C$219-Table27[[#This Row],[Mass/%]])/$F$30</f>
        <v>0.12748766134947373</v>
      </c>
    </row>
    <row r="546" spans="1:5" x14ac:dyDescent="0.15">
      <c r="A546" s="4">
        <v>249.99997999999999</v>
      </c>
      <c r="B546" s="4">
        <v>257.5</v>
      </c>
      <c r="C546" s="4">
        <v>87.145169999999993</v>
      </c>
      <c r="D546" s="1">
        <v>5</v>
      </c>
      <c r="E546" s="11">
        <f>($C$219-Table27[[#This Row],[Mass/%]])/$F$30</f>
        <v>0.12795513430700189</v>
      </c>
    </row>
    <row r="547" spans="1:5" x14ac:dyDescent="0.15">
      <c r="A547" s="4">
        <v>250.00402</v>
      </c>
      <c r="B547" s="4">
        <v>258</v>
      </c>
      <c r="C547" s="4">
        <v>87.116439999999997</v>
      </c>
      <c r="D547" s="1">
        <v>5</v>
      </c>
      <c r="E547" s="11">
        <f>($C$219-Table27[[#This Row],[Mass/%]])/$F$30</f>
        <v>0.12841921509724999</v>
      </c>
    </row>
    <row r="548" spans="1:5" x14ac:dyDescent="0.15">
      <c r="A548" s="4">
        <v>250.00701000000001</v>
      </c>
      <c r="B548" s="4">
        <v>258.5</v>
      </c>
      <c r="C548" s="4">
        <v>87.110860000000002</v>
      </c>
      <c r="D548" s="1">
        <v>5</v>
      </c>
      <c r="E548" s="11">
        <f>($C$219-Table27[[#This Row],[Mass/%]])/$F$30</f>
        <v>0.12850934982783063</v>
      </c>
    </row>
    <row r="549" spans="1:5" x14ac:dyDescent="0.15">
      <c r="A549" s="4">
        <v>250.00797</v>
      </c>
      <c r="B549" s="4">
        <v>259</v>
      </c>
      <c r="C549" s="4">
        <v>87.104830000000007</v>
      </c>
      <c r="D549" s="1">
        <v>5</v>
      </c>
      <c r="E549" s="11">
        <f>($C$219-Table27[[#This Row],[Mass/%]])/$F$30</f>
        <v>0.12860675348829687</v>
      </c>
    </row>
    <row r="550" spans="1:5" x14ac:dyDescent="0.15">
      <c r="A550" s="4">
        <v>250.00399999999999</v>
      </c>
      <c r="B550" s="4">
        <v>259.5</v>
      </c>
      <c r="C550" s="4">
        <v>87.074349999999995</v>
      </c>
      <c r="D550" s="1">
        <v>5</v>
      </c>
      <c r="E550" s="11">
        <f>($C$219-Table27[[#This Row],[Mass/%]])/$F$30</f>
        <v>0.12909910233921121</v>
      </c>
    </row>
    <row r="551" spans="1:5" x14ac:dyDescent="0.15">
      <c r="A551" s="4">
        <v>250.00801999999999</v>
      </c>
      <c r="B551" s="4">
        <v>260</v>
      </c>
      <c r="C551" s="4">
        <v>87.083910000000003</v>
      </c>
      <c r="D551" s="1">
        <v>5</v>
      </c>
      <c r="E551" s="11">
        <f>($C$219-Table27[[#This Row],[Mass/%]])/$F$30</f>
        <v>0.12894467796208708</v>
      </c>
    </row>
    <row r="552" spans="1:5" x14ac:dyDescent="0.15">
      <c r="A552" s="4">
        <v>250.01302000000001</v>
      </c>
      <c r="B552" s="4">
        <v>260.5</v>
      </c>
      <c r="C552" s="4">
        <v>87.055040000000005</v>
      </c>
      <c r="D552" s="1">
        <v>5</v>
      </c>
      <c r="E552" s="11">
        <f>($C$219-Table27[[#This Row],[Mass/%]])/$F$30</f>
        <v>0.1294110201971885</v>
      </c>
    </row>
    <row r="553" spans="1:5" x14ac:dyDescent="0.15">
      <c r="A553" s="4">
        <v>250.00899000000001</v>
      </c>
      <c r="B553" s="4">
        <v>261</v>
      </c>
      <c r="C553" s="4">
        <v>87.015029999999996</v>
      </c>
      <c r="D553" s="1">
        <v>5</v>
      </c>
      <c r="E553" s="11">
        <f>($C$219-Table27[[#This Row],[Mass/%]])/$F$30</f>
        <v>0.1300573088299011</v>
      </c>
    </row>
    <row r="554" spans="1:5" x14ac:dyDescent="0.15">
      <c r="A554" s="4">
        <v>250.005</v>
      </c>
      <c r="B554" s="4">
        <v>261.5</v>
      </c>
      <c r="C554" s="4">
        <v>87.010930000000002</v>
      </c>
      <c r="D554" s="1">
        <v>5</v>
      </c>
      <c r="E554" s="11">
        <f>($C$219-Table27[[#This Row],[Mass/%]])/$F$30</f>
        <v>0.13012353685774708</v>
      </c>
    </row>
    <row r="555" spans="1:5" x14ac:dyDescent="0.15">
      <c r="A555" s="4">
        <v>250.00898000000001</v>
      </c>
      <c r="B555" s="4">
        <v>262</v>
      </c>
      <c r="C555" s="4">
        <v>86.972790000000003</v>
      </c>
      <c r="D555" s="1">
        <v>5</v>
      </c>
      <c r="E555" s="11">
        <f>($C$219-Table27[[#This Row],[Mass/%]])/$F$30</f>
        <v>0.13073961904849069</v>
      </c>
    </row>
    <row r="556" spans="1:5" x14ac:dyDescent="0.15">
      <c r="A556" s="4">
        <v>250.00599</v>
      </c>
      <c r="B556" s="4">
        <v>262.5</v>
      </c>
      <c r="C556" s="4">
        <v>86.942070000000001</v>
      </c>
      <c r="D556" s="1">
        <v>5</v>
      </c>
      <c r="E556" s="11">
        <f>($C$219-Table27[[#This Row],[Mass/%]])/$F$30</f>
        <v>0.13123584466201052</v>
      </c>
    </row>
    <row r="557" spans="1:5" x14ac:dyDescent="0.15">
      <c r="A557" s="4">
        <v>250.00801000000001</v>
      </c>
      <c r="B557" s="4">
        <v>263</v>
      </c>
      <c r="C557" s="4">
        <v>86.949730000000002</v>
      </c>
      <c r="D557" s="1">
        <v>5</v>
      </c>
      <c r="E557" s="11">
        <f>($C$219-Table27[[#This Row],[Mass/%]])/$F$30</f>
        <v>0.13111211132218101</v>
      </c>
    </row>
    <row r="558" spans="1:5" x14ac:dyDescent="0.15">
      <c r="A558" s="4">
        <v>250.00400999999999</v>
      </c>
      <c r="B558" s="4">
        <v>263.5</v>
      </c>
      <c r="C558" s="4">
        <v>86.922910000000002</v>
      </c>
      <c r="D558" s="1">
        <v>5</v>
      </c>
      <c r="E558" s="11">
        <f>($C$219-Table27[[#This Row],[Mass/%]])/$F$30</f>
        <v>0.13154533954335942</v>
      </c>
    </row>
    <row r="559" spans="1:5" x14ac:dyDescent="0.15">
      <c r="A559" s="4">
        <v>250.00395</v>
      </c>
      <c r="B559" s="4">
        <v>264</v>
      </c>
      <c r="C559" s="4">
        <v>86.897810000000007</v>
      </c>
      <c r="D559" s="1">
        <v>5</v>
      </c>
      <c r="E559" s="11">
        <f>($C$219-Table27[[#This Row],[Mass/%]])/$F$30</f>
        <v>0.13195078429919746</v>
      </c>
    </row>
    <row r="560" spans="1:5" x14ac:dyDescent="0.15">
      <c r="A560" s="4">
        <v>250.00304</v>
      </c>
      <c r="B560" s="4">
        <v>264.5</v>
      </c>
      <c r="C560" s="4">
        <v>86.876769999999993</v>
      </c>
      <c r="D560" s="1">
        <v>5</v>
      </c>
      <c r="E560" s="11">
        <f>($C$219-Table27[[#This Row],[Mass/%]])/$F$30</f>
        <v>0.13229064715429065</v>
      </c>
    </row>
    <row r="561" spans="1:5" x14ac:dyDescent="0.15">
      <c r="A561" s="4">
        <v>250.00597999999999</v>
      </c>
      <c r="B561" s="4">
        <v>265</v>
      </c>
      <c r="C561" s="4">
        <v>86.851920000000007</v>
      </c>
      <c r="D561" s="1">
        <v>5</v>
      </c>
      <c r="E561" s="11">
        <f>($C$219-Table27[[#This Row],[Mass/%]])/$F$30</f>
        <v>0.13269205361574768</v>
      </c>
    </row>
    <row r="562" spans="1:5" x14ac:dyDescent="0.15">
      <c r="A562" s="4">
        <v>250.00799000000001</v>
      </c>
      <c r="B562" s="4">
        <v>265.5</v>
      </c>
      <c r="C562" s="4">
        <v>86.844080000000005</v>
      </c>
      <c r="D562" s="1">
        <v>5</v>
      </c>
      <c r="E562" s="11">
        <f>($C$219-Table27[[#This Row],[Mass/%]])/$F$30</f>
        <v>0.13281869452753139</v>
      </c>
    </row>
    <row r="563" spans="1:5" x14ac:dyDescent="0.15">
      <c r="A563" s="4">
        <v>250.006</v>
      </c>
      <c r="B563" s="4">
        <v>266</v>
      </c>
      <c r="C563" s="4">
        <v>86.834609999999998</v>
      </c>
      <c r="D563" s="1">
        <v>5</v>
      </c>
      <c r="E563" s="11">
        <f>($C$219-Table27[[#This Row],[Mass/%]])/$F$30</f>
        <v>0.13297166511867842</v>
      </c>
    </row>
    <row r="564" spans="1:5" x14ac:dyDescent="0.15">
      <c r="A564" s="4">
        <v>250.00602000000001</v>
      </c>
      <c r="B564" s="4">
        <v>266.5</v>
      </c>
      <c r="C564" s="4">
        <v>86.802160000000001</v>
      </c>
      <c r="D564" s="1">
        <v>5</v>
      </c>
      <c r="E564" s="11">
        <f>($C$219-Table27[[#This Row],[Mass/%]])/$F$30</f>
        <v>0.13349583572931367</v>
      </c>
    </row>
    <row r="565" spans="1:5" x14ac:dyDescent="0.15">
      <c r="A565" s="4">
        <v>250.00700000000001</v>
      </c>
      <c r="B565" s="4">
        <v>267</v>
      </c>
      <c r="C565" s="4">
        <v>86.786689999999993</v>
      </c>
      <c r="D565" s="1">
        <v>5</v>
      </c>
      <c r="E565" s="11">
        <f>($C$219-Table27[[#This Row],[Mass/%]])/$F$30</f>
        <v>0.13374572538560128</v>
      </c>
    </row>
    <row r="566" spans="1:5" x14ac:dyDescent="0.15">
      <c r="A566" s="4">
        <v>250.00396000000001</v>
      </c>
      <c r="B566" s="4">
        <v>267.5</v>
      </c>
      <c r="C566" s="4">
        <v>86.769360000000006</v>
      </c>
      <c r="D566" s="1">
        <v>5</v>
      </c>
      <c r="E566" s="11">
        <f>($C$219-Table27[[#This Row],[Mass/%]])/$F$30</f>
        <v>0.13402565995208213</v>
      </c>
    </row>
    <row r="567" spans="1:5" x14ac:dyDescent="0.15">
      <c r="A567" s="4">
        <v>250.00396000000001</v>
      </c>
      <c r="B567" s="4">
        <v>268</v>
      </c>
      <c r="C567" s="4">
        <v>86.734840000000005</v>
      </c>
      <c r="D567" s="1">
        <v>5</v>
      </c>
      <c r="E567" s="11">
        <f>($C$219-Table27[[#This Row],[Mass/%]])/$F$30</f>
        <v>0.13458326764019096</v>
      </c>
    </row>
    <row r="568" spans="1:5" x14ac:dyDescent="0.15">
      <c r="A568" s="4">
        <v>249.99995999999999</v>
      </c>
      <c r="B568" s="4">
        <v>268.5</v>
      </c>
      <c r="C568" s="4">
        <v>86.729079999999996</v>
      </c>
      <c r="D568" s="1">
        <v>5</v>
      </c>
      <c r="E568" s="11">
        <f>($C$219-Table27[[#This Row],[Mass/%]])/$F$30</f>
        <v>0.13467630994272606</v>
      </c>
    </row>
    <row r="569" spans="1:5" x14ac:dyDescent="0.15">
      <c r="A569" s="4">
        <v>250.00702999999999</v>
      </c>
      <c r="B569" s="4">
        <v>269</v>
      </c>
      <c r="C569" s="4">
        <v>86.692760000000007</v>
      </c>
      <c r="D569" s="1">
        <v>5</v>
      </c>
      <c r="E569" s="11">
        <f>($C$219-Table27[[#This Row],[Mass/%]])/$F$30</f>
        <v>0.13526299335037689</v>
      </c>
    </row>
    <row r="570" spans="1:5" x14ac:dyDescent="0.15">
      <c r="A570" s="4">
        <v>250.00399999999999</v>
      </c>
      <c r="B570" s="4">
        <v>269.5</v>
      </c>
      <c r="C570" s="4">
        <v>86.671400000000006</v>
      </c>
      <c r="D570" s="1">
        <v>5</v>
      </c>
      <c r="E570" s="11">
        <f>($C$219-Table27[[#This Row],[Mass/%]])/$F$30</f>
        <v>0.13560802522227738</v>
      </c>
    </row>
    <row r="571" spans="1:5" x14ac:dyDescent="0.15">
      <c r="A571" s="4">
        <v>250.00501</v>
      </c>
      <c r="B571" s="4">
        <v>270</v>
      </c>
      <c r="C571" s="4">
        <v>86.652360000000002</v>
      </c>
      <c r="D571" s="1">
        <v>5</v>
      </c>
      <c r="E571" s="11">
        <f>($C$219-Table27[[#This Row],[Mass/%]])/$F$30</f>
        <v>0.13591558172232357</v>
      </c>
    </row>
    <row r="572" spans="1:5" x14ac:dyDescent="0.15">
      <c r="A572" s="4">
        <v>250.00398999999999</v>
      </c>
      <c r="B572" s="4">
        <v>270.5</v>
      </c>
      <c r="C572" s="4">
        <v>86.633279999999999</v>
      </c>
      <c r="D572" s="1">
        <v>5</v>
      </c>
      <c r="E572" s="11">
        <f>($C$219-Table27[[#This Row],[Mass/%]])/$F$30</f>
        <v>0.13622378434947066</v>
      </c>
    </row>
    <row r="573" spans="1:5" x14ac:dyDescent="0.15">
      <c r="A573" s="4">
        <v>249.99895000000001</v>
      </c>
      <c r="B573" s="4">
        <v>271</v>
      </c>
      <c r="C573" s="4">
        <v>86.604550000000003</v>
      </c>
      <c r="D573" s="1">
        <v>5</v>
      </c>
      <c r="E573" s="11">
        <f>($C$219-Table27[[#This Row],[Mass/%]])/$F$30</f>
        <v>0.13668786513971876</v>
      </c>
    </row>
    <row r="574" spans="1:5" x14ac:dyDescent="0.15">
      <c r="A574" s="4">
        <v>250.00300999999999</v>
      </c>
      <c r="B574" s="4">
        <v>271.5</v>
      </c>
      <c r="C574" s="4">
        <v>86.598650000000006</v>
      </c>
      <c r="D574" s="1">
        <v>5</v>
      </c>
      <c r="E574" s="11">
        <f>($C$219-Table27[[#This Row],[Mass/%]])/$F$30</f>
        <v>0.13678316888710695</v>
      </c>
    </row>
    <row r="575" spans="1:5" x14ac:dyDescent="0.15">
      <c r="A575" s="4">
        <v>250.00102999999999</v>
      </c>
      <c r="B575" s="4">
        <v>272</v>
      </c>
      <c r="C575" s="4">
        <v>86.581500000000005</v>
      </c>
      <c r="D575" s="1">
        <v>5</v>
      </c>
      <c r="E575" s="11">
        <f>($C$219-Table27[[#This Row],[Mass/%]])/$F$30</f>
        <v>0.13706019588163379</v>
      </c>
    </row>
    <row r="576" spans="1:5" x14ac:dyDescent="0.15">
      <c r="A576" s="4">
        <v>249.99895000000001</v>
      </c>
      <c r="B576" s="4">
        <v>272.5</v>
      </c>
      <c r="C576" s="4">
        <v>86.556569999999994</v>
      </c>
      <c r="D576" s="1">
        <v>5</v>
      </c>
      <c r="E576" s="11">
        <f>($C$219-Table27[[#This Row],[Mass/%]])/$F$30</f>
        <v>0.13746289459729311</v>
      </c>
    </row>
    <row r="577" spans="1:5" x14ac:dyDescent="0.15">
      <c r="A577" s="4">
        <v>250.001</v>
      </c>
      <c r="B577" s="4">
        <v>273</v>
      </c>
      <c r="C577" s="4">
        <v>86.547049999999999</v>
      </c>
      <c r="D577" s="1">
        <v>5</v>
      </c>
      <c r="E577" s="11">
        <f>($C$219-Table27[[#This Row],[Mass/%]])/$F$30</f>
        <v>0.13761667284731607</v>
      </c>
    </row>
    <row r="578" spans="1:5" x14ac:dyDescent="0.15">
      <c r="A578" s="4">
        <v>250.00808000000001</v>
      </c>
      <c r="B578" s="4">
        <v>273.5</v>
      </c>
      <c r="C578" s="4">
        <v>86.499170000000007</v>
      </c>
      <c r="D578" s="1">
        <v>5</v>
      </c>
      <c r="E578" s="11">
        <f>($C$219-Table27[[#This Row],[Mass/%]])/$F$30</f>
        <v>0.13839008698713781</v>
      </c>
    </row>
    <row r="579" spans="1:5" x14ac:dyDescent="0.15">
      <c r="A579" s="4">
        <v>250.01098999999999</v>
      </c>
      <c r="B579" s="4">
        <v>274</v>
      </c>
      <c r="C579" s="4">
        <v>86.493340000000003</v>
      </c>
      <c r="D579" s="1">
        <v>5</v>
      </c>
      <c r="E579" s="11">
        <f>($C$219-Table27[[#This Row],[Mass/%]])/$F$30</f>
        <v>0.13848426001209946</v>
      </c>
    </row>
    <row r="580" spans="1:5" x14ac:dyDescent="0.15">
      <c r="A580" s="4">
        <v>250.00897000000001</v>
      </c>
      <c r="B580" s="4">
        <v>274.5</v>
      </c>
      <c r="C580" s="4">
        <v>86.470060000000004</v>
      </c>
      <c r="D580" s="1">
        <v>5</v>
      </c>
      <c r="E580" s="11">
        <f>($C$219-Table27[[#This Row],[Mass/%]])/$F$30</f>
        <v>0.13886030598484492</v>
      </c>
    </row>
    <row r="581" spans="1:5" x14ac:dyDescent="0.15">
      <c r="A581" s="4">
        <v>249.99994000000001</v>
      </c>
      <c r="B581" s="4">
        <v>275</v>
      </c>
      <c r="C581" s="4">
        <v>86.45881</v>
      </c>
      <c r="D581" s="1">
        <v>5</v>
      </c>
      <c r="E581" s="11">
        <f>($C$219-Table27[[#This Row],[Mass/%]])/$F$30</f>
        <v>0.13904202923198358</v>
      </c>
    </row>
    <row r="582" spans="1:5" x14ac:dyDescent="0.15">
      <c r="A582" s="4">
        <v>250.00303</v>
      </c>
      <c r="B582" s="4">
        <v>275.5</v>
      </c>
      <c r="C582" s="4">
        <v>86.441469999999995</v>
      </c>
      <c r="D582" s="1">
        <v>5</v>
      </c>
      <c r="E582" s="11">
        <f>($C$219-Table27[[#This Row],[Mass/%]])/$F$30</f>
        <v>0.13932212533023994</v>
      </c>
    </row>
    <row r="583" spans="1:5" x14ac:dyDescent="0.15">
      <c r="A583" s="4">
        <v>250.00796</v>
      </c>
      <c r="B583" s="4">
        <v>276</v>
      </c>
      <c r="C583" s="4">
        <v>86.4148</v>
      </c>
      <c r="D583" s="1">
        <v>5</v>
      </c>
      <c r="E583" s="11">
        <f>($C$219-Table27[[#This Row],[Mass/%]])/$F$30</f>
        <v>0.13975293057478977</v>
      </c>
    </row>
    <row r="584" spans="1:5" x14ac:dyDescent="0.15">
      <c r="A584" s="4">
        <v>250.00899999999999</v>
      </c>
      <c r="B584" s="4">
        <v>276.5</v>
      </c>
      <c r="C584" s="4">
        <v>86.414689999999993</v>
      </c>
      <c r="D584" s="1">
        <v>5</v>
      </c>
      <c r="E584" s="11">
        <f>($C$219-Table27[[#This Row],[Mass/%]])/$F$30</f>
        <v>0.13975470742431745</v>
      </c>
    </row>
    <row r="585" spans="1:5" x14ac:dyDescent="0.15">
      <c r="A585" s="4">
        <v>250.00803999999999</v>
      </c>
      <c r="B585" s="4">
        <v>277</v>
      </c>
      <c r="C585" s="4">
        <v>86.374369999999999</v>
      </c>
      <c r="D585" s="1">
        <v>5</v>
      </c>
      <c r="E585" s="11">
        <f>($C$219-Table27[[#This Row],[Mass/%]])/$F$30</f>
        <v>0.14040600354206206</v>
      </c>
    </row>
    <row r="586" spans="1:5" x14ac:dyDescent="0.15">
      <c r="A586" s="4">
        <v>250.00402</v>
      </c>
      <c r="B586" s="4">
        <v>277.5</v>
      </c>
      <c r="C586" s="4">
        <v>86.364639999999994</v>
      </c>
      <c r="D586" s="1">
        <v>5</v>
      </c>
      <c r="E586" s="11">
        <f>($C$219-Table27[[#This Row],[Mass/%]])/$F$30</f>
        <v>0.14056317395936513</v>
      </c>
    </row>
    <row r="587" spans="1:5" x14ac:dyDescent="0.15">
      <c r="A587" s="4">
        <v>250.00496000000001</v>
      </c>
      <c r="B587" s="4">
        <v>278</v>
      </c>
      <c r="C587" s="4">
        <v>86.332049999999995</v>
      </c>
      <c r="D587" s="1">
        <v>5</v>
      </c>
      <c r="E587" s="11">
        <f>($C$219-Table27[[#This Row],[Mass/%]])/$F$30</f>
        <v>0.14108960601485371</v>
      </c>
    </row>
    <row r="588" spans="1:5" x14ac:dyDescent="0.15">
      <c r="A588" s="4">
        <v>250.00701000000001</v>
      </c>
      <c r="B588" s="4">
        <v>278.5</v>
      </c>
      <c r="C588" s="4">
        <v>86.316969999999998</v>
      </c>
      <c r="D588" s="1">
        <v>5</v>
      </c>
      <c r="E588" s="11">
        <f>($C$219-Table27[[#This Row],[Mass/%]])/$F$30</f>
        <v>0.14133319593190699</v>
      </c>
    </row>
    <row r="589" spans="1:5" x14ac:dyDescent="0.15">
      <c r="A589" s="4">
        <v>250.00698</v>
      </c>
      <c r="B589" s="4">
        <v>279</v>
      </c>
      <c r="C589" s="4">
        <v>86.274630000000002</v>
      </c>
      <c r="D589" s="1">
        <v>5</v>
      </c>
      <c r="E589" s="11">
        <f>($C$219-Table27[[#This Row],[Mass/%]])/$F$30</f>
        <v>0.14201712146824899</v>
      </c>
    </row>
    <row r="590" spans="1:5" x14ac:dyDescent="0.15">
      <c r="A590" s="4">
        <v>250.00794999999999</v>
      </c>
      <c r="B590" s="4">
        <v>279.5</v>
      </c>
      <c r="C590" s="4">
        <v>86.276629999999997</v>
      </c>
      <c r="D590" s="1">
        <v>5</v>
      </c>
      <c r="E590" s="11">
        <f>($C$219-Table27[[#This Row],[Mass/%]])/$F$30</f>
        <v>0.14198481511320218</v>
      </c>
    </row>
    <row r="591" spans="1:5" x14ac:dyDescent="0.15">
      <c r="A591" s="4">
        <v>250.00801999999999</v>
      </c>
      <c r="B591" s="4">
        <v>280</v>
      </c>
      <c r="C591" s="4">
        <v>86.24024</v>
      </c>
      <c r="D591" s="1">
        <v>5</v>
      </c>
      <c r="E591" s="11">
        <f>($C$219-Table27[[#This Row],[Mass/%]])/$F$30</f>
        <v>0.14257262924327979</v>
      </c>
    </row>
    <row r="592" spans="1:5" x14ac:dyDescent="0.15">
      <c r="A592" s="4">
        <v>250.01300000000001</v>
      </c>
      <c r="B592" s="4">
        <v>280.5</v>
      </c>
      <c r="C592" s="4">
        <v>86.232299999999995</v>
      </c>
      <c r="D592" s="1">
        <v>5</v>
      </c>
      <c r="E592" s="11">
        <f>($C$219-Table27[[#This Row],[Mass/%]])/$F$30</f>
        <v>0.1427008854728159</v>
      </c>
    </row>
    <row r="593" spans="1:5" x14ac:dyDescent="0.15">
      <c r="A593" s="4">
        <v>250.00303</v>
      </c>
      <c r="B593" s="4">
        <v>281</v>
      </c>
      <c r="C593" s="4">
        <v>86.215260000000001</v>
      </c>
      <c r="D593" s="1">
        <v>5</v>
      </c>
      <c r="E593" s="11">
        <f>($C$219-Table27[[#This Row],[Mass/%]])/$F$30</f>
        <v>0.14297613561781508</v>
      </c>
    </row>
    <row r="594" spans="1:5" x14ac:dyDescent="0.15">
      <c r="A594" s="4">
        <v>250.00400999999999</v>
      </c>
      <c r="B594" s="4">
        <v>281.5</v>
      </c>
      <c r="C594" s="4">
        <v>86.188469999999995</v>
      </c>
      <c r="D594" s="1">
        <v>5</v>
      </c>
      <c r="E594" s="11">
        <f>($C$219-Table27[[#This Row],[Mass/%]])/$F$30</f>
        <v>0.14340887924366785</v>
      </c>
    </row>
    <row r="595" spans="1:5" x14ac:dyDescent="0.15">
      <c r="A595" s="4">
        <v>250.00200000000001</v>
      </c>
      <c r="B595" s="4">
        <v>282</v>
      </c>
      <c r="C595" s="4">
        <v>86.178629999999998</v>
      </c>
      <c r="D595" s="1">
        <v>5</v>
      </c>
      <c r="E595" s="11">
        <f>($C$219-Table27[[#This Row],[Mass/%]])/$F$30</f>
        <v>0.14356782651049838</v>
      </c>
    </row>
    <row r="596" spans="1:5" x14ac:dyDescent="0.15">
      <c r="A596" s="4">
        <v>250</v>
      </c>
      <c r="B596" s="4">
        <v>282.5</v>
      </c>
      <c r="C596" s="4">
        <v>86.171009999999995</v>
      </c>
      <c r="D596" s="1">
        <v>5</v>
      </c>
      <c r="E596" s="11">
        <f>($C$219-Table27[[#This Row],[Mass/%]])/$F$30</f>
        <v>0.14369091372322695</v>
      </c>
    </row>
    <row r="597" spans="1:5" x14ac:dyDescent="0.15">
      <c r="A597" s="4">
        <v>250.00203999999999</v>
      </c>
      <c r="B597" s="4">
        <v>283</v>
      </c>
      <c r="C597" s="4">
        <v>86.144149999999996</v>
      </c>
      <c r="D597" s="1">
        <v>5</v>
      </c>
      <c r="E597" s="11">
        <f>($C$219-Table27[[#This Row],[Mass/%]])/$F$30</f>
        <v>0.14412478807150628</v>
      </c>
    </row>
    <row r="598" spans="1:5" x14ac:dyDescent="0.15">
      <c r="A598" s="4">
        <v>250.00306</v>
      </c>
      <c r="B598" s="4">
        <v>283.5</v>
      </c>
      <c r="C598" s="4">
        <v>86.11354</v>
      </c>
      <c r="D598" s="1">
        <v>5</v>
      </c>
      <c r="E598" s="11">
        <f>($C$219-Table27[[#This Row],[Mass/%]])/$F$30</f>
        <v>0.14461923683549843</v>
      </c>
    </row>
    <row r="599" spans="1:5" x14ac:dyDescent="0.15">
      <c r="A599" s="4">
        <v>250.00701000000001</v>
      </c>
      <c r="B599" s="4">
        <v>284</v>
      </c>
      <c r="C599" s="4">
        <v>86.092510000000004</v>
      </c>
      <c r="D599" s="1">
        <v>5</v>
      </c>
      <c r="E599" s="11">
        <f>($C$219-Table27[[#This Row],[Mass/%]])/$F$30</f>
        <v>0.14495893815881611</v>
      </c>
    </row>
    <row r="600" spans="1:5" x14ac:dyDescent="0.15">
      <c r="A600" s="4">
        <v>250.01302000000001</v>
      </c>
      <c r="B600" s="4">
        <v>284.5</v>
      </c>
      <c r="C600" s="4">
        <v>86.102230000000006</v>
      </c>
      <c r="D600" s="1">
        <v>5</v>
      </c>
      <c r="E600" s="11">
        <f>($C$219-Table27[[#This Row],[Mass/%]])/$F$30</f>
        <v>0.14480192927328833</v>
      </c>
    </row>
    <row r="601" spans="1:5" x14ac:dyDescent="0.15">
      <c r="A601" s="4">
        <v>250.01201</v>
      </c>
      <c r="B601" s="4">
        <v>285</v>
      </c>
      <c r="C601" s="4">
        <v>86.08887</v>
      </c>
      <c r="D601" s="1">
        <v>5</v>
      </c>
      <c r="E601" s="11">
        <f>($C$219-Table27[[#This Row],[Mass/%]])/$F$30</f>
        <v>0.14501773572500146</v>
      </c>
    </row>
    <row r="602" spans="1:5" x14ac:dyDescent="0.15">
      <c r="A602" s="4">
        <v>250.00203999999999</v>
      </c>
      <c r="B602" s="4">
        <v>285.5</v>
      </c>
      <c r="C602" s="4">
        <v>86.052369999999996</v>
      </c>
      <c r="D602" s="1">
        <v>5</v>
      </c>
      <c r="E602" s="11">
        <f>($C$219-Table27[[#This Row],[Mass/%]])/$F$30</f>
        <v>0.14560732670460674</v>
      </c>
    </row>
    <row r="603" spans="1:5" x14ac:dyDescent="0.15">
      <c r="A603" s="4">
        <v>250.00900999999999</v>
      </c>
      <c r="B603" s="4">
        <v>286</v>
      </c>
      <c r="C603" s="4">
        <v>86.040840000000003</v>
      </c>
      <c r="D603" s="1">
        <v>5</v>
      </c>
      <c r="E603" s="11">
        <f>($C$219-Table27[[#This Row],[Mass/%]])/$F$30</f>
        <v>0.14579357284145178</v>
      </c>
    </row>
    <row r="604" spans="1:5" x14ac:dyDescent="0.15">
      <c r="A604" s="4">
        <v>250.00596999999999</v>
      </c>
      <c r="B604" s="4">
        <v>286.5</v>
      </c>
      <c r="C604" s="4">
        <v>86.002420000000001</v>
      </c>
      <c r="D604" s="1">
        <v>5</v>
      </c>
      <c r="E604" s="11">
        <f>($C$219-Table27[[#This Row],[Mass/%]])/$F$30</f>
        <v>0.14641417792190203</v>
      </c>
    </row>
    <row r="605" spans="1:5" x14ac:dyDescent="0.15">
      <c r="A605" s="4">
        <v>250.006</v>
      </c>
      <c r="B605" s="4">
        <v>287</v>
      </c>
      <c r="C605" s="4">
        <v>85.996570000000006</v>
      </c>
      <c r="D605" s="1">
        <v>5</v>
      </c>
      <c r="E605" s="11">
        <f>($C$219-Table27[[#This Row],[Mass/%]])/$F$30</f>
        <v>0.14650867401041401</v>
      </c>
    </row>
    <row r="606" spans="1:5" x14ac:dyDescent="0.15">
      <c r="A606" s="4">
        <v>250.00301999999999</v>
      </c>
      <c r="B606" s="4">
        <v>287.5</v>
      </c>
      <c r="C606" s="4">
        <v>85.975620000000006</v>
      </c>
      <c r="D606" s="1">
        <v>5</v>
      </c>
      <c r="E606" s="11">
        <f>($C$219-Table27[[#This Row],[Mass/%]])/$F$30</f>
        <v>0.14684708307952987</v>
      </c>
    </row>
    <row r="607" spans="1:5" x14ac:dyDescent="0.15">
      <c r="A607" s="4">
        <v>250.00398999999999</v>
      </c>
      <c r="B607" s="4">
        <v>288</v>
      </c>
      <c r="C607" s="4">
        <v>85.942920000000001</v>
      </c>
      <c r="D607" s="1">
        <v>5</v>
      </c>
      <c r="E607" s="11">
        <f>($C$219-Table27[[#This Row],[Mass/%]])/$F$30</f>
        <v>0.14737529198454613</v>
      </c>
    </row>
    <row r="608" spans="1:5" x14ac:dyDescent="0.15">
      <c r="A608" s="4">
        <v>250.005</v>
      </c>
      <c r="B608" s="4">
        <v>288.5</v>
      </c>
      <c r="C608" s="4">
        <v>85.941090000000003</v>
      </c>
      <c r="D608" s="1">
        <v>5</v>
      </c>
      <c r="E608" s="11">
        <f>($C$219-Table27[[#This Row],[Mass/%]])/$F$30</f>
        <v>0.147404852299414</v>
      </c>
    </row>
    <row r="609" spans="1:5" x14ac:dyDescent="0.15">
      <c r="A609" s="4">
        <v>250.00397000000001</v>
      </c>
      <c r="B609" s="4">
        <v>289</v>
      </c>
      <c r="C609" s="4">
        <v>85.927779999999998</v>
      </c>
      <c r="D609" s="1">
        <v>5</v>
      </c>
      <c r="E609" s="11">
        <f>($C$219-Table27[[#This Row],[Mass/%]])/$F$30</f>
        <v>0.14761985109225093</v>
      </c>
    </row>
    <row r="610" spans="1:5" x14ac:dyDescent="0.15">
      <c r="A610" s="4">
        <v>250.00396000000001</v>
      </c>
      <c r="B610" s="4">
        <v>289.5</v>
      </c>
      <c r="C610" s="4">
        <v>85.927719999999994</v>
      </c>
      <c r="D610" s="1">
        <v>5</v>
      </c>
      <c r="E610" s="11">
        <f>($C$219-Table27[[#This Row],[Mass/%]])/$F$30</f>
        <v>0.14762082028290241</v>
      </c>
    </row>
    <row r="611" spans="1:5" x14ac:dyDescent="0.15">
      <c r="A611" s="4">
        <v>250.00798</v>
      </c>
      <c r="B611" s="4">
        <v>290</v>
      </c>
      <c r="C611" s="4">
        <v>85.904589999999999</v>
      </c>
      <c r="D611" s="1">
        <v>5</v>
      </c>
      <c r="E611" s="11">
        <f>($C$219-Table27[[#This Row],[Mass/%]])/$F$30</f>
        <v>0.14799444327901926</v>
      </c>
    </row>
    <row r="612" spans="1:5" x14ac:dyDescent="0.15">
      <c r="A612" s="4">
        <v>250.01197999999999</v>
      </c>
      <c r="B612" s="4">
        <v>290.5</v>
      </c>
      <c r="C612" s="4">
        <v>85.883439999999993</v>
      </c>
      <c r="D612" s="1">
        <v>5</v>
      </c>
      <c r="E612" s="11">
        <f>($C$219-Table27[[#This Row],[Mass/%]])/$F$30</f>
        <v>0.14833608298363993</v>
      </c>
    </row>
    <row r="613" spans="1:5" x14ac:dyDescent="0.15">
      <c r="A613" s="4">
        <v>250.01203000000001</v>
      </c>
      <c r="B613" s="4">
        <v>291</v>
      </c>
      <c r="C613" s="4">
        <v>85.864400000000003</v>
      </c>
      <c r="D613" s="1">
        <v>5</v>
      </c>
      <c r="E613" s="11">
        <f>($C$219-Table27[[#This Row],[Mass/%]])/$F$30</f>
        <v>0.14864363948368586</v>
      </c>
    </row>
    <row r="614" spans="1:5" x14ac:dyDescent="0.15">
      <c r="A614" s="4">
        <v>250.00800000000001</v>
      </c>
      <c r="B614" s="4">
        <v>291.5</v>
      </c>
      <c r="C614" s="4">
        <v>85.845230000000001</v>
      </c>
      <c r="D614" s="1">
        <v>5</v>
      </c>
      <c r="E614" s="11">
        <f>($C$219-Table27[[#This Row],[Mass/%]])/$F$30</f>
        <v>0.14895329589681008</v>
      </c>
    </row>
    <row r="615" spans="1:5" x14ac:dyDescent="0.15">
      <c r="A615" s="4">
        <v>250.00900999999999</v>
      </c>
      <c r="B615" s="4">
        <v>292</v>
      </c>
      <c r="C615" s="4">
        <v>85.826120000000003</v>
      </c>
      <c r="D615" s="1">
        <v>5</v>
      </c>
      <c r="E615" s="11">
        <f>($C$219-Table27[[#This Row],[Mass/%]])/$F$30</f>
        <v>0.14926198311928279</v>
      </c>
    </row>
    <row r="616" spans="1:5" x14ac:dyDescent="0.15">
      <c r="A616" s="4">
        <v>250.00702000000001</v>
      </c>
      <c r="B616" s="4">
        <v>292.5</v>
      </c>
      <c r="C616" s="4">
        <v>85.822249999999997</v>
      </c>
      <c r="D616" s="1">
        <v>5</v>
      </c>
      <c r="E616" s="11">
        <f>($C$219-Table27[[#This Row],[Mass/%]])/$F$30</f>
        <v>0.14932449591629857</v>
      </c>
    </row>
    <row r="617" spans="1:5" x14ac:dyDescent="0.15">
      <c r="A617" s="4">
        <v>250.00895</v>
      </c>
      <c r="B617" s="4">
        <v>293</v>
      </c>
      <c r="C617" s="4">
        <v>85.793350000000004</v>
      </c>
      <c r="D617" s="1">
        <v>5</v>
      </c>
      <c r="E617" s="11">
        <f>($C$219-Table27[[#This Row],[Mass/%]])/$F$30</f>
        <v>0.1497913227467256</v>
      </c>
    </row>
    <row r="618" spans="1:5" x14ac:dyDescent="0.15">
      <c r="A618" s="4">
        <v>250.00798</v>
      </c>
      <c r="B618" s="4">
        <v>293.5</v>
      </c>
      <c r="C618" s="4">
        <v>85.753190000000004</v>
      </c>
      <c r="D618" s="1">
        <v>5</v>
      </c>
      <c r="E618" s="11">
        <f>($C$219-Table27[[#This Row],[Mass/%]])/$F$30</f>
        <v>0.15044003435606657</v>
      </c>
    </row>
    <row r="619" spans="1:5" x14ac:dyDescent="0.15">
      <c r="A619" s="4">
        <v>250.00203999999999</v>
      </c>
      <c r="B619" s="4">
        <v>294</v>
      </c>
      <c r="C619" s="4">
        <v>85.735870000000006</v>
      </c>
      <c r="D619" s="1">
        <v>5</v>
      </c>
      <c r="E619" s="11">
        <f>($C$219-Table27[[#This Row],[Mass/%]])/$F$30</f>
        <v>0.15071980739077237</v>
      </c>
    </row>
    <row r="620" spans="1:5" x14ac:dyDescent="0.15">
      <c r="A620" s="4">
        <v>250.00104999999999</v>
      </c>
      <c r="B620" s="4">
        <v>294.5</v>
      </c>
      <c r="C620" s="4">
        <v>85.751220000000004</v>
      </c>
      <c r="D620" s="1">
        <v>5</v>
      </c>
      <c r="E620" s="11">
        <f>($C$219-Table27[[#This Row],[Mass/%]])/$F$30</f>
        <v>0.15047185611578773</v>
      </c>
    </row>
    <row r="621" spans="1:5" x14ac:dyDescent="0.15">
      <c r="A621" s="4">
        <v>250.00002000000001</v>
      </c>
      <c r="B621" s="4">
        <v>295</v>
      </c>
      <c r="C621" s="4">
        <v>85.720529999999997</v>
      </c>
      <c r="D621" s="1">
        <v>5</v>
      </c>
      <c r="E621" s="11">
        <f>($C$219-Table27[[#This Row],[Mass/%]])/$F$30</f>
        <v>0.15096759713398192</v>
      </c>
    </row>
    <row r="622" spans="1:5" x14ac:dyDescent="0.15">
      <c r="A622" s="4">
        <v>250.00497999999999</v>
      </c>
      <c r="B622" s="4">
        <v>295.5</v>
      </c>
      <c r="C622" s="4">
        <v>85.695729999999998</v>
      </c>
      <c r="D622" s="1">
        <v>5</v>
      </c>
      <c r="E622" s="11">
        <f>($C$219-Table27[[#This Row],[Mass/%]])/$F$30</f>
        <v>0.151368195936563</v>
      </c>
    </row>
    <row r="623" spans="1:5" x14ac:dyDescent="0.15">
      <c r="A623" s="4">
        <v>250.00699</v>
      </c>
      <c r="B623" s="4">
        <v>296</v>
      </c>
      <c r="C623" s="4">
        <v>85.682220000000001</v>
      </c>
      <c r="D623" s="1">
        <v>5</v>
      </c>
      <c r="E623" s="11">
        <f>($C$219-Table27[[#This Row],[Mass/%]])/$F$30</f>
        <v>0.15158642536490449</v>
      </c>
    </row>
    <row r="624" spans="1:5" x14ac:dyDescent="0.15">
      <c r="A624" s="4">
        <v>250.00399999999999</v>
      </c>
      <c r="B624" s="4">
        <v>296.5</v>
      </c>
      <c r="C624" s="4">
        <v>85.651740000000004</v>
      </c>
      <c r="D624" s="1">
        <v>5</v>
      </c>
      <c r="E624" s="11">
        <f>($C$219-Table27[[#This Row],[Mass/%]])/$F$30</f>
        <v>0.15207877421581861</v>
      </c>
    </row>
    <row r="625" spans="1:5" x14ac:dyDescent="0.15">
      <c r="A625" s="4">
        <v>250.00498999999999</v>
      </c>
      <c r="B625" s="4">
        <v>297</v>
      </c>
      <c r="C625" s="4">
        <v>85.639920000000004</v>
      </c>
      <c r="D625" s="1">
        <v>5</v>
      </c>
      <c r="E625" s="11">
        <f>($C$219-Table27[[#This Row],[Mass/%]])/$F$30</f>
        <v>0.15226970477414556</v>
      </c>
    </row>
    <row r="626" spans="1:5" x14ac:dyDescent="0.15">
      <c r="A626" s="4">
        <v>250.00303</v>
      </c>
      <c r="B626" s="4">
        <v>297.5</v>
      </c>
      <c r="C626" s="4">
        <v>85.619029999999995</v>
      </c>
      <c r="D626" s="1">
        <v>5</v>
      </c>
      <c r="E626" s="11">
        <f>($C$219-Table27[[#This Row],[Mass/%]])/$F$30</f>
        <v>0.15260714465261016</v>
      </c>
    </row>
    <row r="627" spans="1:5" x14ac:dyDescent="0.15">
      <c r="A627" s="4">
        <v>250.001</v>
      </c>
      <c r="B627" s="4">
        <v>298</v>
      </c>
      <c r="C627" s="4">
        <v>85.609369999999998</v>
      </c>
      <c r="D627" s="1">
        <v>5</v>
      </c>
      <c r="E627" s="11">
        <f>($C$219-Table27[[#This Row],[Mass/%]])/$F$30</f>
        <v>0.15276318434748642</v>
      </c>
    </row>
    <row r="628" spans="1:5" x14ac:dyDescent="0.15">
      <c r="A628" s="4">
        <v>250.001</v>
      </c>
      <c r="B628" s="4">
        <v>298.5</v>
      </c>
      <c r="C628" s="4">
        <v>85.59393</v>
      </c>
      <c r="D628" s="1">
        <v>5</v>
      </c>
      <c r="E628" s="11">
        <f>($C$219-Table27[[#This Row],[Mass/%]])/$F$30</f>
        <v>0.15301258940844817</v>
      </c>
    </row>
    <row r="629" spans="1:5" x14ac:dyDescent="0.15">
      <c r="A629" s="4">
        <v>250.00304</v>
      </c>
      <c r="B629" s="4">
        <v>299</v>
      </c>
      <c r="C629" s="4">
        <v>85.571079999999995</v>
      </c>
      <c r="D629" s="1">
        <v>5</v>
      </c>
      <c r="E629" s="11">
        <f>($C$219-Table27[[#This Row],[Mass/%]])/$F$30</f>
        <v>0.15338168951485864</v>
      </c>
    </row>
    <row r="630" spans="1:5" x14ac:dyDescent="0.15">
      <c r="A630" s="4">
        <v>250.00400999999999</v>
      </c>
      <c r="B630" s="4">
        <v>299.5</v>
      </c>
      <c r="C630" s="4">
        <v>85.548029999999997</v>
      </c>
      <c r="D630" s="1">
        <v>5</v>
      </c>
      <c r="E630" s="11">
        <f>($C$219-Table27[[#This Row],[Mass/%]])/$F$30</f>
        <v>0.15375402025677368</v>
      </c>
    </row>
    <row r="631" spans="1:5" x14ac:dyDescent="0.15">
      <c r="A631" s="4">
        <v>250.00505000000001</v>
      </c>
      <c r="B631" s="4">
        <v>300</v>
      </c>
      <c r="C631" s="4">
        <v>85.532870000000003</v>
      </c>
      <c r="D631" s="1">
        <v>5</v>
      </c>
      <c r="E631" s="11">
        <f>($C$219-Table27[[#This Row],[Mass/%]])/$F$30</f>
        <v>0.1539989024280288</v>
      </c>
    </row>
    <row r="632" spans="1:5" x14ac:dyDescent="0.15">
      <c r="A632" s="4">
        <v>250.006</v>
      </c>
      <c r="B632" s="4">
        <v>300.5</v>
      </c>
      <c r="C632" s="4">
        <v>85.507369999999995</v>
      </c>
      <c r="D632" s="1">
        <v>5</v>
      </c>
      <c r="E632" s="11">
        <f>($C$219-Table27[[#This Row],[Mass/%]])/$F$30</f>
        <v>0.15441080845487642</v>
      </c>
    </row>
    <row r="633" spans="1:5" x14ac:dyDescent="0.15">
      <c r="A633" s="4">
        <v>250.00199000000001</v>
      </c>
      <c r="B633" s="4">
        <v>301</v>
      </c>
      <c r="C633" s="4">
        <v>85.498000000000005</v>
      </c>
      <c r="D633" s="1">
        <v>5</v>
      </c>
      <c r="E633" s="11">
        <f>($C$219-Table27[[#This Row],[Mass/%]])/$F$30</f>
        <v>0.15456216372827081</v>
      </c>
    </row>
    <row r="634" spans="1:5" x14ac:dyDescent="0.15">
      <c r="A634" s="4">
        <v>250.00198</v>
      </c>
      <c r="B634" s="4">
        <v>301.5</v>
      </c>
      <c r="C634" s="4">
        <v>85.473230000000001</v>
      </c>
      <c r="D634" s="1">
        <v>5</v>
      </c>
      <c r="E634" s="11">
        <f>($C$219-Table27[[#This Row],[Mass/%]])/$F$30</f>
        <v>0.15496227793552622</v>
      </c>
    </row>
    <row r="635" spans="1:5" x14ac:dyDescent="0.15">
      <c r="A635" s="4">
        <v>250.00596999999999</v>
      </c>
      <c r="B635" s="4">
        <v>302</v>
      </c>
      <c r="C635" s="4">
        <v>85.463729999999998</v>
      </c>
      <c r="D635" s="1">
        <v>5</v>
      </c>
      <c r="E635" s="11">
        <f>($C$219-Table27[[#This Row],[Mass/%]])/$F$30</f>
        <v>0.15511573312199886</v>
      </c>
    </row>
    <row r="636" spans="1:5" x14ac:dyDescent="0.15">
      <c r="A636" s="4">
        <v>250.00093000000001</v>
      </c>
      <c r="B636" s="4">
        <v>302.5</v>
      </c>
      <c r="C636" s="4">
        <v>85.427239999999998</v>
      </c>
      <c r="D636" s="1">
        <v>5</v>
      </c>
      <c r="E636" s="11">
        <f>($C$219-Table27[[#This Row],[Mass/%]])/$F$30</f>
        <v>0.15570516256982886</v>
      </c>
    </row>
    <row r="637" spans="1:5" x14ac:dyDescent="0.15">
      <c r="A637" s="4">
        <v>250.00606999999999</v>
      </c>
      <c r="B637" s="4">
        <v>303</v>
      </c>
      <c r="C637" s="4">
        <v>85.432980000000001</v>
      </c>
      <c r="D637" s="1">
        <v>5</v>
      </c>
      <c r="E637" s="11">
        <f>($C$219-Table27[[#This Row],[Mass/%]])/$F$30</f>
        <v>0.15561244333084431</v>
      </c>
    </row>
    <row r="638" spans="1:5" x14ac:dyDescent="0.15">
      <c r="A638" s="4">
        <v>250.01000999999999</v>
      </c>
      <c r="B638" s="4">
        <v>303.5</v>
      </c>
      <c r="C638" s="4">
        <v>85.412049999999994</v>
      </c>
      <c r="D638" s="1">
        <v>5</v>
      </c>
      <c r="E638" s="11">
        <f>($C$219-Table27[[#This Row],[Mass/%]])/$F$30</f>
        <v>0.15595052933640982</v>
      </c>
    </row>
    <row r="639" spans="1:5" x14ac:dyDescent="0.15">
      <c r="A639" s="4">
        <v>250.00492</v>
      </c>
      <c r="B639" s="4">
        <v>304</v>
      </c>
      <c r="C639" s="4">
        <v>85.39246</v>
      </c>
      <c r="D639" s="1">
        <v>5</v>
      </c>
      <c r="E639" s="11">
        <f>($C$219-Table27[[#This Row],[Mass/%]])/$F$30</f>
        <v>0.15626697008409374</v>
      </c>
    </row>
    <row r="640" spans="1:5" x14ac:dyDescent="0.15">
      <c r="A640" s="4">
        <v>250.01102</v>
      </c>
      <c r="B640" s="4">
        <v>304.5</v>
      </c>
      <c r="C640" s="4">
        <v>85.375470000000007</v>
      </c>
      <c r="D640" s="1">
        <v>5</v>
      </c>
      <c r="E640" s="11">
        <f>($C$219-Table27[[#This Row],[Mass/%]])/$F$30</f>
        <v>0.1565414125702167</v>
      </c>
    </row>
    <row r="641" spans="1:5" x14ac:dyDescent="0.15">
      <c r="A641" s="4">
        <v>250.00403</v>
      </c>
      <c r="B641" s="4">
        <v>305</v>
      </c>
      <c r="C641" s="4">
        <v>85.352490000000003</v>
      </c>
      <c r="D641" s="1">
        <v>5</v>
      </c>
      <c r="E641" s="11">
        <f>($C$219-Table27[[#This Row],[Mass/%]])/$F$30</f>
        <v>0.15691261258970521</v>
      </c>
    </row>
    <row r="642" spans="1:5" x14ac:dyDescent="0.15">
      <c r="A642" s="4">
        <v>250.005</v>
      </c>
      <c r="B642" s="4">
        <v>305.5</v>
      </c>
      <c r="C642" s="4">
        <v>85.344740000000002</v>
      </c>
      <c r="D642" s="1">
        <v>5</v>
      </c>
      <c r="E642" s="11">
        <f>($C$219-Table27[[#This Row],[Mass/%]])/$F$30</f>
        <v>0.15703779971551182</v>
      </c>
    </row>
    <row r="643" spans="1:5" x14ac:dyDescent="0.15">
      <c r="A643" s="4">
        <v>250.00202999999999</v>
      </c>
      <c r="B643" s="4">
        <v>306</v>
      </c>
      <c r="C643" s="4">
        <v>85.335070000000002</v>
      </c>
      <c r="D643" s="1">
        <v>5</v>
      </c>
      <c r="E643" s="11">
        <f>($C$219-Table27[[#This Row],[Mass/%]])/$F$30</f>
        <v>0.15719400094216338</v>
      </c>
    </row>
    <row r="644" spans="1:5" x14ac:dyDescent="0.15">
      <c r="A644" s="4">
        <v>250.00400999999999</v>
      </c>
      <c r="B644" s="4">
        <v>306.5</v>
      </c>
      <c r="C644" s="4">
        <v>85.304469999999995</v>
      </c>
      <c r="D644" s="1">
        <v>5</v>
      </c>
      <c r="E644" s="11">
        <f>($C$219-Table27[[#This Row],[Mass/%]])/$F$30</f>
        <v>0.15768828817438046</v>
      </c>
    </row>
    <row r="645" spans="1:5" x14ac:dyDescent="0.15">
      <c r="A645" s="4">
        <v>250.00398999999999</v>
      </c>
      <c r="B645" s="4">
        <v>307</v>
      </c>
      <c r="C645" s="4">
        <v>85.300719999999998</v>
      </c>
      <c r="D645" s="1">
        <v>5</v>
      </c>
      <c r="E645" s="11">
        <f>($C$219-Table27[[#This Row],[Mass/%]])/$F$30</f>
        <v>0.15774886259009327</v>
      </c>
    </row>
    <row r="646" spans="1:5" x14ac:dyDescent="0.15">
      <c r="A646" s="4">
        <v>250.00299999999999</v>
      </c>
      <c r="B646" s="4">
        <v>307.5</v>
      </c>
      <c r="C646" s="4">
        <v>85.285319999999999</v>
      </c>
      <c r="D646" s="1">
        <v>5</v>
      </c>
      <c r="E646" s="11">
        <f>($C$219-Table27[[#This Row],[Mass/%]])/$F$30</f>
        <v>0.15799762152395411</v>
      </c>
    </row>
    <row r="647" spans="1:5" x14ac:dyDescent="0.15">
      <c r="A647" s="4">
        <v>250.00200000000001</v>
      </c>
      <c r="B647" s="4">
        <v>308</v>
      </c>
      <c r="C647" s="4">
        <v>85.271829999999994</v>
      </c>
      <c r="D647" s="1">
        <v>5</v>
      </c>
      <c r="E647" s="11">
        <f>($C$219-Table27[[#This Row],[Mass/%]])/$F$30</f>
        <v>0.15821552788874524</v>
      </c>
    </row>
    <row r="648" spans="1:5" x14ac:dyDescent="0.15">
      <c r="A648" s="4">
        <v>250.00503</v>
      </c>
      <c r="B648" s="4">
        <v>308.5</v>
      </c>
      <c r="C648" s="4">
        <v>85.231620000000007</v>
      </c>
      <c r="D648" s="1">
        <v>5</v>
      </c>
      <c r="E648" s="11">
        <f>($C$219-Table27[[#This Row],[Mass/%]])/$F$30</f>
        <v>0.1588650471569622</v>
      </c>
    </row>
    <row r="649" spans="1:5" x14ac:dyDescent="0.15">
      <c r="A649" s="4">
        <v>250.00797</v>
      </c>
      <c r="B649" s="4">
        <v>309</v>
      </c>
      <c r="C649" s="4">
        <v>85.239140000000006</v>
      </c>
      <c r="D649" s="1">
        <v>5</v>
      </c>
      <c r="E649" s="11">
        <f>($C$219-Table27[[#This Row],[Mass/%]])/$F$30</f>
        <v>0.15874357526198601</v>
      </c>
    </row>
    <row r="650" spans="1:5" x14ac:dyDescent="0.15">
      <c r="A650" s="4">
        <v>250.00901999999999</v>
      </c>
      <c r="B650" s="4">
        <v>309.5</v>
      </c>
      <c r="C650" s="4">
        <v>85.220129999999997</v>
      </c>
      <c r="D650" s="1">
        <v>5</v>
      </c>
      <c r="E650" s="11">
        <f>($C$219-Table27[[#This Row],[Mass/%]])/$F$30</f>
        <v>0.15905064716670655</v>
      </c>
    </row>
    <row r="651" spans="1:5" x14ac:dyDescent="0.15">
      <c r="A651" s="4">
        <v>250.00396000000001</v>
      </c>
      <c r="B651" s="4">
        <v>310</v>
      </c>
      <c r="C651" s="4">
        <v>85.19323</v>
      </c>
      <c r="D651" s="1">
        <v>5</v>
      </c>
      <c r="E651" s="11">
        <f>($C$219-Table27[[#This Row],[Mass/%]])/$F$30</f>
        <v>0.15948516764208681</v>
      </c>
    </row>
    <row r="652" spans="1:5" x14ac:dyDescent="0.15">
      <c r="A652" s="4">
        <v>250.00194999999999</v>
      </c>
      <c r="B652" s="4">
        <v>310.5</v>
      </c>
      <c r="C652" s="4">
        <v>85.18356</v>
      </c>
      <c r="D652" s="1">
        <v>5</v>
      </c>
      <c r="E652" s="11">
        <f>($C$219-Table27[[#This Row],[Mass/%]])/$F$30</f>
        <v>0.15964136886873836</v>
      </c>
    </row>
    <row r="653" spans="1:5" x14ac:dyDescent="0.15">
      <c r="A653" s="4">
        <v>250.00597999999999</v>
      </c>
      <c r="B653" s="4">
        <v>311</v>
      </c>
      <c r="C653" s="4">
        <v>85.181669999999997</v>
      </c>
      <c r="D653" s="1">
        <v>5</v>
      </c>
      <c r="E653" s="11">
        <f>($C$219-Table27[[#This Row],[Mass/%]])/$F$30</f>
        <v>0.15967189837425771</v>
      </c>
    </row>
    <row r="654" spans="1:5" x14ac:dyDescent="0.15">
      <c r="A654" s="4">
        <v>250.00299000000001</v>
      </c>
      <c r="B654" s="4">
        <v>311.5</v>
      </c>
      <c r="C654" s="4">
        <v>85.158969999999997</v>
      </c>
      <c r="D654" s="1">
        <v>5</v>
      </c>
      <c r="E654" s="11">
        <f>($C$219-Table27[[#This Row],[Mass/%]])/$F$30</f>
        <v>0.16003857550403958</v>
      </c>
    </row>
    <row r="655" spans="1:5" x14ac:dyDescent="0.15">
      <c r="A655" s="4">
        <v>250.00502</v>
      </c>
      <c r="B655" s="4">
        <v>312</v>
      </c>
      <c r="C655" s="4">
        <v>85.147180000000006</v>
      </c>
      <c r="D655" s="1">
        <v>5</v>
      </c>
      <c r="E655" s="11">
        <f>($C$219-Table27[[#This Row],[Mass/%]])/$F$30</f>
        <v>0.16022902146704068</v>
      </c>
    </row>
    <row r="656" spans="1:5" x14ac:dyDescent="0.15">
      <c r="A656" s="4">
        <v>250.00498999999999</v>
      </c>
      <c r="B656" s="4">
        <v>312.5</v>
      </c>
      <c r="C656" s="4">
        <v>85.112520000000004</v>
      </c>
      <c r="D656" s="1">
        <v>5</v>
      </c>
      <c r="E656" s="11">
        <f>($C$219-Table27[[#This Row],[Mass/%]])/$F$30</f>
        <v>0.16078889060000282</v>
      </c>
    </row>
    <row r="657" spans="1:5" x14ac:dyDescent="0.15">
      <c r="A657" s="4">
        <v>250.00597999999999</v>
      </c>
      <c r="B657" s="4">
        <v>313</v>
      </c>
      <c r="C657" s="4">
        <v>85.108800000000002</v>
      </c>
      <c r="D657" s="1">
        <v>5</v>
      </c>
      <c r="E657" s="11">
        <f>($C$219-Table27[[#This Row],[Mass/%]])/$F$30</f>
        <v>0.16084898042039</v>
      </c>
    </row>
    <row r="658" spans="1:5" x14ac:dyDescent="0.15">
      <c r="A658" s="4">
        <v>250.00803999999999</v>
      </c>
      <c r="B658" s="4">
        <v>313.5</v>
      </c>
      <c r="C658" s="4">
        <v>85.093450000000004</v>
      </c>
      <c r="D658" s="1">
        <v>5</v>
      </c>
      <c r="E658" s="11">
        <f>($C$219-Table27[[#This Row],[Mass/%]])/$F$30</f>
        <v>0.16109693169537462</v>
      </c>
    </row>
    <row r="659" spans="1:5" x14ac:dyDescent="0.15">
      <c r="A659" s="4">
        <v>250.00400999999999</v>
      </c>
      <c r="B659" s="4">
        <v>314</v>
      </c>
      <c r="C659" s="4">
        <v>85.072580000000002</v>
      </c>
      <c r="D659" s="1">
        <v>5</v>
      </c>
      <c r="E659" s="11">
        <f>($C$219-Table27[[#This Row],[Mass/%]])/$F$30</f>
        <v>0.16143404851028867</v>
      </c>
    </row>
    <row r="660" spans="1:5" x14ac:dyDescent="0.15">
      <c r="A660" s="4">
        <v>250.00297</v>
      </c>
      <c r="B660" s="4">
        <v>314.5</v>
      </c>
      <c r="C660" s="4">
        <v>85.064719999999994</v>
      </c>
      <c r="D660" s="1">
        <v>5</v>
      </c>
      <c r="E660" s="11">
        <f>($C$219-Table27[[#This Row],[Mass/%]])/$F$30</f>
        <v>0.16156101248562296</v>
      </c>
    </row>
    <row r="661" spans="1:5" x14ac:dyDescent="0.15">
      <c r="A661" s="4">
        <v>250.00798</v>
      </c>
      <c r="B661" s="4">
        <v>315</v>
      </c>
      <c r="C661" s="4">
        <v>85.051479999999998</v>
      </c>
      <c r="D661" s="1">
        <v>5</v>
      </c>
      <c r="E661" s="11">
        <f>($C$219-Table27[[#This Row],[Mass/%]])/$F$30</f>
        <v>0.16177488055603312</v>
      </c>
    </row>
    <row r="662" spans="1:5" x14ac:dyDescent="0.15">
      <c r="A662" s="4">
        <v>250.00298000000001</v>
      </c>
      <c r="B662" s="4">
        <v>315.5</v>
      </c>
      <c r="C662" s="4">
        <v>85.020690000000002</v>
      </c>
      <c r="D662" s="1">
        <v>5</v>
      </c>
      <c r="E662" s="11">
        <f>($C$219-Table27[[#This Row],[Mass/%]])/$F$30</f>
        <v>0.16227223689197948</v>
      </c>
    </row>
    <row r="663" spans="1:5" x14ac:dyDescent="0.15">
      <c r="A663" s="4">
        <v>250</v>
      </c>
      <c r="B663" s="4">
        <v>316</v>
      </c>
      <c r="C663" s="4">
        <v>85.009150000000005</v>
      </c>
      <c r="D663" s="1">
        <v>5</v>
      </c>
      <c r="E663" s="11">
        <f>($C$219-Table27[[#This Row],[Mass/%]])/$F$30</f>
        <v>0.1624586445605998</v>
      </c>
    </row>
    <row r="664" spans="1:5" x14ac:dyDescent="0.15">
      <c r="A664" s="4">
        <v>250.00199000000001</v>
      </c>
      <c r="B664" s="4">
        <v>316.5</v>
      </c>
      <c r="C664" s="4">
        <v>84.97466</v>
      </c>
      <c r="D664" s="1">
        <v>5</v>
      </c>
      <c r="E664" s="11">
        <f>($C$219-Table27[[#This Row],[Mass/%]])/$F$30</f>
        <v>0.16301576765338302</v>
      </c>
    </row>
    <row r="665" spans="1:5" x14ac:dyDescent="0.15">
      <c r="A665" s="4">
        <v>250.00504000000001</v>
      </c>
      <c r="B665" s="4">
        <v>317</v>
      </c>
      <c r="C665" s="4">
        <v>84.968919999999997</v>
      </c>
      <c r="D665" s="1">
        <v>5</v>
      </c>
      <c r="E665" s="11">
        <f>($C$219-Table27[[#This Row],[Mass/%]])/$F$30</f>
        <v>0.16310848689236754</v>
      </c>
    </row>
    <row r="666" spans="1:5" x14ac:dyDescent="0.15">
      <c r="A666" s="4">
        <v>250.00497999999999</v>
      </c>
      <c r="B666" s="4">
        <v>317.5</v>
      </c>
      <c r="C666" s="4">
        <v>84.957390000000004</v>
      </c>
      <c r="D666" s="1">
        <v>5</v>
      </c>
      <c r="E666" s="11">
        <f>($C$219-Table27[[#This Row],[Mass/%]])/$F$30</f>
        <v>0.1632947330292126</v>
      </c>
    </row>
    <row r="667" spans="1:5" x14ac:dyDescent="0.15">
      <c r="A667" s="4">
        <v>249.99895000000001</v>
      </c>
      <c r="B667" s="4">
        <v>318</v>
      </c>
      <c r="C667" s="4">
        <v>84.934389999999993</v>
      </c>
      <c r="D667" s="1">
        <v>5</v>
      </c>
      <c r="E667" s="11">
        <f>($C$219-Table27[[#This Row],[Mass/%]])/$F$30</f>
        <v>0.16366625611225166</v>
      </c>
    </row>
    <row r="668" spans="1:5" x14ac:dyDescent="0.15">
      <c r="A668" s="4">
        <v>250.00092000000001</v>
      </c>
      <c r="B668" s="4">
        <v>318.5</v>
      </c>
      <c r="C668" s="4">
        <v>84.907619999999994</v>
      </c>
      <c r="D668" s="1">
        <v>5</v>
      </c>
      <c r="E668" s="11">
        <f>($C$219-Table27[[#This Row],[Mass/%]])/$F$30</f>
        <v>0.16409867667455388</v>
      </c>
    </row>
    <row r="669" spans="1:5" x14ac:dyDescent="0.15">
      <c r="A669" s="4">
        <v>250.00601</v>
      </c>
      <c r="B669" s="4">
        <v>319</v>
      </c>
      <c r="C669" s="4">
        <v>84.901859999999999</v>
      </c>
      <c r="D669" s="1">
        <v>5</v>
      </c>
      <c r="E669" s="11">
        <f>($C$219-Table27[[#This Row],[Mass/%]])/$F$30</f>
        <v>0.16419171897708876</v>
      </c>
    </row>
    <row r="670" spans="1:5" x14ac:dyDescent="0.15">
      <c r="A670" s="4">
        <v>250.00800000000001</v>
      </c>
      <c r="B670" s="4">
        <v>319.5</v>
      </c>
      <c r="C670" s="4">
        <v>84.894360000000006</v>
      </c>
      <c r="D670" s="1">
        <v>5</v>
      </c>
      <c r="E670" s="11">
        <f>($C$219-Table27[[#This Row],[Mass/%]])/$F$30</f>
        <v>0.1643128678085144</v>
      </c>
    </row>
    <row r="671" spans="1:5" x14ac:dyDescent="0.15">
      <c r="A671" s="4">
        <v>250.01000999999999</v>
      </c>
      <c r="B671" s="4">
        <v>320</v>
      </c>
      <c r="C671" s="4">
        <v>84.884450000000001</v>
      </c>
      <c r="D671" s="1">
        <v>5</v>
      </c>
      <c r="E671" s="11">
        <f>($C$219-Table27[[#This Row],[Mass/%]])/$F$30</f>
        <v>0.16447294579777166</v>
      </c>
    </row>
    <row r="672" spans="1:5" x14ac:dyDescent="0.15">
      <c r="A672" s="4">
        <v>250.00206</v>
      </c>
      <c r="B672" s="4">
        <v>320.5</v>
      </c>
      <c r="C672" s="4">
        <v>84.857810000000001</v>
      </c>
      <c r="D672" s="1">
        <v>5</v>
      </c>
      <c r="E672" s="11">
        <f>($C$219-Table27[[#This Row],[Mass/%]])/$F$30</f>
        <v>0.16490326644699585</v>
      </c>
    </row>
    <row r="673" spans="1:5" x14ac:dyDescent="0.15">
      <c r="A673" s="4">
        <v>250.00699</v>
      </c>
      <c r="B673" s="4">
        <v>321</v>
      </c>
      <c r="C673" s="4">
        <v>84.842449999999999</v>
      </c>
      <c r="D673" s="1">
        <v>5</v>
      </c>
      <c r="E673" s="11">
        <f>($C$219-Table27[[#This Row],[Mass/%]])/$F$30</f>
        <v>0.16515137925375578</v>
      </c>
    </row>
    <row r="674" spans="1:5" x14ac:dyDescent="0.15">
      <c r="A674" s="4">
        <v>250.00505000000001</v>
      </c>
      <c r="B674" s="4">
        <v>321.5</v>
      </c>
      <c r="C674" s="4">
        <v>84.823210000000003</v>
      </c>
      <c r="D674" s="1">
        <v>5</v>
      </c>
      <c r="E674" s="11">
        <f>($C$219-Table27[[#This Row],[Mass/%]])/$F$30</f>
        <v>0.16546216638930653</v>
      </c>
    </row>
    <row r="675" spans="1:5" x14ac:dyDescent="0.15">
      <c r="A675" s="4">
        <v>250.00097</v>
      </c>
      <c r="B675" s="4">
        <v>322</v>
      </c>
      <c r="C675" s="4">
        <v>84.823149999999998</v>
      </c>
      <c r="D675" s="1">
        <v>5</v>
      </c>
      <c r="E675" s="11">
        <f>($C$219-Table27[[#This Row],[Mass/%]])/$F$30</f>
        <v>0.16546313557995801</v>
      </c>
    </row>
    <row r="676" spans="1:5" x14ac:dyDescent="0.15">
      <c r="A676" s="4">
        <v>250.00196</v>
      </c>
      <c r="B676" s="4">
        <v>322.5</v>
      </c>
      <c r="C676" s="4">
        <v>84.805840000000003</v>
      </c>
      <c r="D676" s="1">
        <v>5</v>
      </c>
      <c r="E676" s="11">
        <f>($C$219-Table27[[#This Row],[Mass/%]])/$F$30</f>
        <v>0.1657427470828885</v>
      </c>
    </row>
    <row r="677" spans="1:5" x14ac:dyDescent="0.15">
      <c r="A677" s="4">
        <v>250.00300999999999</v>
      </c>
      <c r="B677" s="4">
        <v>323</v>
      </c>
      <c r="C677" s="4">
        <v>84.792469999999994</v>
      </c>
      <c r="D677" s="1">
        <v>5</v>
      </c>
      <c r="E677" s="11">
        <f>($C$219-Table27[[#This Row],[Mass/%]])/$F$30</f>
        <v>0.16595871506637691</v>
      </c>
    </row>
    <row r="678" spans="1:5" x14ac:dyDescent="0.15">
      <c r="A678" s="4">
        <v>250.00703999999999</v>
      </c>
      <c r="B678" s="4">
        <v>323.5</v>
      </c>
      <c r="C678" s="4">
        <v>84.778980000000004</v>
      </c>
      <c r="D678" s="1">
        <v>5</v>
      </c>
      <c r="E678" s="11">
        <f>($C$219-Table27[[#This Row],[Mass/%]])/$F$30</f>
        <v>0.16617662143116785</v>
      </c>
    </row>
    <row r="679" spans="1:5" x14ac:dyDescent="0.15">
      <c r="A679" s="4">
        <v>250.00700000000001</v>
      </c>
      <c r="B679" s="4">
        <v>324</v>
      </c>
      <c r="C679" s="4">
        <v>84.765699999999995</v>
      </c>
      <c r="D679" s="1">
        <v>5</v>
      </c>
      <c r="E679" s="11">
        <f>($C$219-Table27[[#This Row],[Mass/%]])/$F$30</f>
        <v>0.16639113562867913</v>
      </c>
    </row>
    <row r="680" spans="1:5" x14ac:dyDescent="0.15">
      <c r="A680" s="4">
        <v>250.00803999999999</v>
      </c>
      <c r="B680" s="4">
        <v>324.5</v>
      </c>
      <c r="C680" s="4">
        <v>84.744439999999997</v>
      </c>
      <c r="D680" s="1">
        <v>5</v>
      </c>
      <c r="E680" s="11">
        <f>($C$219-Table27[[#This Row],[Mass/%]])/$F$30</f>
        <v>0.16673455218282723</v>
      </c>
    </row>
    <row r="681" spans="1:5" x14ac:dyDescent="0.15">
      <c r="A681" s="4">
        <v>250.00901999999999</v>
      </c>
      <c r="B681" s="4">
        <v>325</v>
      </c>
      <c r="C681" s="4">
        <v>84.729259999999996</v>
      </c>
      <c r="D681" s="1">
        <v>5</v>
      </c>
      <c r="E681" s="11">
        <f>($C$219-Table27[[#This Row],[Mass/%]])/$F$30</f>
        <v>0.16697975741763293</v>
      </c>
    </row>
    <row r="682" spans="1:5" x14ac:dyDescent="0.15">
      <c r="A682" s="4">
        <v>250.011</v>
      </c>
      <c r="B682" s="4">
        <v>325.5</v>
      </c>
      <c r="C682" s="4">
        <v>84.702389999999994</v>
      </c>
      <c r="D682" s="1">
        <v>5</v>
      </c>
      <c r="E682" s="11">
        <f>($C$219-Table27[[#This Row],[Mass/%]])/$F$30</f>
        <v>0.16741379329768755</v>
      </c>
    </row>
    <row r="683" spans="1:5" x14ac:dyDescent="0.15">
      <c r="A683" s="4">
        <v>250.00698</v>
      </c>
      <c r="B683" s="4">
        <v>326</v>
      </c>
      <c r="C683" s="4">
        <v>84.668030000000002</v>
      </c>
      <c r="D683" s="1">
        <v>5</v>
      </c>
      <c r="E683" s="11">
        <f>($C$219-Table27[[#This Row],[Mass/%]])/$F$30</f>
        <v>0.16796881647739251</v>
      </c>
    </row>
    <row r="684" spans="1:5" x14ac:dyDescent="0.15">
      <c r="A684" s="4">
        <v>250.00404</v>
      </c>
      <c r="B684" s="4">
        <v>326.5</v>
      </c>
      <c r="C684" s="4">
        <v>84.654579999999996</v>
      </c>
      <c r="D684" s="1">
        <v>5</v>
      </c>
      <c r="E684" s="11">
        <f>($C$219-Table27[[#This Row],[Mass/%]])/$F$30</f>
        <v>0.16818607671508273</v>
      </c>
    </row>
    <row r="685" spans="1:5" x14ac:dyDescent="0.15">
      <c r="A685" s="4">
        <v>250.00502</v>
      </c>
      <c r="B685" s="4">
        <v>327</v>
      </c>
      <c r="C685" s="4">
        <v>84.662189999999995</v>
      </c>
      <c r="D685" s="1">
        <v>5</v>
      </c>
      <c r="E685" s="11">
        <f>($C$219-Table27[[#This Row],[Mass/%]])/$F$30</f>
        <v>0.16806315103412944</v>
      </c>
    </row>
    <row r="686" spans="1:5" x14ac:dyDescent="0.15">
      <c r="A686" s="4">
        <v>250.00397000000001</v>
      </c>
      <c r="B686" s="4">
        <v>327.5</v>
      </c>
      <c r="C686" s="4">
        <v>84.635239999999996</v>
      </c>
      <c r="D686" s="1">
        <v>5</v>
      </c>
      <c r="E686" s="11">
        <f>($C$219-Table27[[#This Row],[Mass/%]])/$F$30</f>
        <v>0.16849847916838587</v>
      </c>
    </row>
    <row r="687" spans="1:5" x14ac:dyDescent="0.15">
      <c r="A687" s="4">
        <v>250.00498999999999</v>
      </c>
      <c r="B687" s="4">
        <v>328</v>
      </c>
      <c r="C687" s="4">
        <v>84.614289999999997</v>
      </c>
      <c r="D687" s="1">
        <v>5</v>
      </c>
      <c r="E687" s="11">
        <f>($C$219-Table27[[#This Row],[Mass/%]])/$F$30</f>
        <v>0.16883688823750173</v>
      </c>
    </row>
    <row r="688" spans="1:5" x14ac:dyDescent="0.15">
      <c r="A688" s="4">
        <v>250.00900999999999</v>
      </c>
      <c r="B688" s="4">
        <v>328.5</v>
      </c>
      <c r="C688" s="4">
        <v>84.600740000000002</v>
      </c>
      <c r="D688" s="1">
        <v>5</v>
      </c>
      <c r="E688" s="11">
        <f>($C$219-Table27[[#This Row],[Mass/%]])/$F$30</f>
        <v>0.16905576379294412</v>
      </c>
    </row>
    <row r="689" spans="1:5" x14ac:dyDescent="0.15">
      <c r="A689" s="4">
        <v>250.00503</v>
      </c>
      <c r="B689" s="4">
        <v>329</v>
      </c>
      <c r="C689" s="4">
        <v>84.585539999999995</v>
      </c>
      <c r="D689" s="1">
        <v>5</v>
      </c>
      <c r="E689" s="11">
        <f>($C$219-Table27[[#This Row],[Mass/%]])/$F$30</f>
        <v>0.1693012920913004</v>
      </c>
    </row>
    <row r="690" spans="1:5" x14ac:dyDescent="0.15">
      <c r="A690" s="4">
        <v>250.00899000000001</v>
      </c>
      <c r="B690" s="4">
        <v>329.5</v>
      </c>
      <c r="C690" s="4">
        <v>84.573949999999996</v>
      </c>
      <c r="D690" s="1">
        <v>5</v>
      </c>
      <c r="E690" s="11">
        <f>($C$219-Table27[[#This Row],[Mass/%]])/$F$30</f>
        <v>0.16948850741879692</v>
      </c>
    </row>
    <row r="691" spans="1:5" x14ac:dyDescent="0.15">
      <c r="A691" s="4">
        <v>250.00700000000001</v>
      </c>
      <c r="B691" s="4">
        <v>330</v>
      </c>
      <c r="C691" s="4">
        <v>84.558539999999994</v>
      </c>
      <c r="D691" s="1">
        <v>5</v>
      </c>
      <c r="E691" s="11">
        <f>($C$219-Table27[[#This Row],[Mass/%]])/$F$30</f>
        <v>0.16973742788443302</v>
      </c>
    </row>
    <row r="692" spans="1:5" x14ac:dyDescent="0.15">
      <c r="A692" s="4">
        <v>250.00299999999999</v>
      </c>
      <c r="B692" s="4">
        <v>330.5</v>
      </c>
      <c r="C692" s="4">
        <v>84.545240000000007</v>
      </c>
      <c r="D692" s="1">
        <v>5</v>
      </c>
      <c r="E692" s="11">
        <f>($C$219-Table27[[#This Row],[Mass/%]])/$F$30</f>
        <v>0.16995226514549444</v>
      </c>
    </row>
    <row r="693" spans="1:5" x14ac:dyDescent="0.15">
      <c r="A693" s="4">
        <v>250.00396000000001</v>
      </c>
      <c r="B693" s="4">
        <v>331</v>
      </c>
      <c r="C693" s="4">
        <v>84.527739999999994</v>
      </c>
      <c r="D693" s="1">
        <v>5</v>
      </c>
      <c r="E693" s="11">
        <f>($C$219-Table27[[#This Row],[Mass/%]])/$F$30</f>
        <v>0.1702349457521547</v>
      </c>
    </row>
    <row r="694" spans="1:5" x14ac:dyDescent="0.15">
      <c r="A694" s="4">
        <v>250.00299000000001</v>
      </c>
      <c r="B694" s="4">
        <v>331.5</v>
      </c>
      <c r="C694" s="4">
        <v>84.506829999999994</v>
      </c>
      <c r="D694" s="1">
        <v>5</v>
      </c>
      <c r="E694" s="11">
        <f>($C$219-Table27[[#This Row],[Mass/%]])/$F$30</f>
        <v>0.17057270869416963</v>
      </c>
    </row>
    <row r="695" spans="1:5" x14ac:dyDescent="0.15">
      <c r="A695" s="4">
        <v>250.00599</v>
      </c>
      <c r="B695" s="4">
        <v>332</v>
      </c>
      <c r="C695" s="4">
        <v>84.493319999999997</v>
      </c>
      <c r="D695" s="1">
        <v>5</v>
      </c>
      <c r="E695" s="11">
        <f>($C$219-Table27[[#This Row],[Mass/%]])/$F$30</f>
        <v>0.17079093812251112</v>
      </c>
    </row>
    <row r="696" spans="1:5" x14ac:dyDescent="0.15">
      <c r="A696" s="4">
        <v>250.00596999999999</v>
      </c>
      <c r="B696" s="4">
        <v>332.5</v>
      </c>
      <c r="C696" s="4">
        <v>84.483999999999995</v>
      </c>
      <c r="D696" s="1">
        <v>5</v>
      </c>
      <c r="E696" s="11">
        <f>($C$219-Table27[[#This Row],[Mass/%]])/$F$30</f>
        <v>0.17094148573702952</v>
      </c>
    </row>
    <row r="697" spans="1:5" x14ac:dyDescent="0.15">
      <c r="A697" s="4">
        <v>250.01098999999999</v>
      </c>
      <c r="B697" s="4">
        <v>333</v>
      </c>
      <c r="C697" s="4">
        <v>84.476140000000001</v>
      </c>
      <c r="D697" s="1">
        <v>5</v>
      </c>
      <c r="E697" s="11">
        <f>($C$219-Table27[[#This Row],[Mass/%]])/$F$30</f>
        <v>0.1710684497123636</v>
      </c>
    </row>
    <row r="698" spans="1:5" x14ac:dyDescent="0.15">
      <c r="A698" s="4">
        <v>250.00602000000001</v>
      </c>
      <c r="B698" s="4">
        <v>333.5</v>
      </c>
      <c r="C698" s="4">
        <v>84.456969999999998</v>
      </c>
      <c r="D698" s="1">
        <v>5</v>
      </c>
      <c r="E698" s="11">
        <f>($C$219-Table27[[#This Row],[Mass/%]])/$F$30</f>
        <v>0.17137810612548779</v>
      </c>
    </row>
    <row r="699" spans="1:5" x14ac:dyDescent="0.15">
      <c r="A699" s="4">
        <v>250.00503</v>
      </c>
      <c r="B699" s="4">
        <v>334</v>
      </c>
      <c r="C699" s="4">
        <v>84.428269999999998</v>
      </c>
      <c r="D699" s="1">
        <v>5</v>
      </c>
      <c r="E699" s="11">
        <f>($C$219-Table27[[#This Row],[Mass/%]])/$F$30</f>
        <v>0.17184170232041027</v>
      </c>
    </row>
    <row r="700" spans="1:5" x14ac:dyDescent="0.15">
      <c r="A700" s="4">
        <v>250.005</v>
      </c>
      <c r="B700" s="4">
        <v>334.5</v>
      </c>
      <c r="C700" s="4">
        <v>84.414900000000003</v>
      </c>
      <c r="D700" s="1">
        <v>5</v>
      </c>
      <c r="E700" s="11">
        <f>($C$219-Table27[[#This Row],[Mass/%]])/$F$30</f>
        <v>0.17205767030389846</v>
      </c>
    </row>
    <row r="701" spans="1:5" x14ac:dyDescent="0.15">
      <c r="A701" s="4">
        <v>250.001</v>
      </c>
      <c r="B701" s="4">
        <v>335</v>
      </c>
      <c r="C701" s="4">
        <v>84.403189999999995</v>
      </c>
      <c r="D701" s="1">
        <v>5</v>
      </c>
      <c r="E701" s="11">
        <f>($C$219-Table27[[#This Row],[Mass/%]])/$F$30</f>
        <v>0.17224682401269795</v>
      </c>
    </row>
    <row r="702" spans="1:5" x14ac:dyDescent="0.15">
      <c r="A702" s="4">
        <v>250.00003000000001</v>
      </c>
      <c r="B702" s="4">
        <v>335.5</v>
      </c>
      <c r="C702" s="4">
        <v>84.386089999999996</v>
      </c>
      <c r="D702" s="1">
        <v>5</v>
      </c>
      <c r="E702" s="11">
        <f>($C$219-Table27[[#This Row],[Mass/%]])/$F$30</f>
        <v>0.17252304334834859</v>
      </c>
    </row>
    <row r="703" spans="1:5" x14ac:dyDescent="0.15">
      <c r="A703" s="4">
        <v>250.00098</v>
      </c>
      <c r="B703" s="4">
        <v>336</v>
      </c>
      <c r="C703" s="4">
        <v>84.35727</v>
      </c>
      <c r="D703" s="1">
        <v>5</v>
      </c>
      <c r="E703" s="11">
        <f>($C$219-Table27[[#This Row],[Mass/%]])/$F$30</f>
        <v>0.17298857792457381</v>
      </c>
    </row>
    <row r="704" spans="1:5" x14ac:dyDescent="0.15">
      <c r="A704" s="4">
        <v>249.98996</v>
      </c>
      <c r="B704" s="4">
        <v>336.5</v>
      </c>
      <c r="C704" s="4">
        <v>84.349530000000001</v>
      </c>
      <c r="D704" s="1">
        <v>5</v>
      </c>
      <c r="E704" s="11">
        <f>($C$219-Table27[[#This Row],[Mass/%]])/$F$30</f>
        <v>0.17311360351860514</v>
      </c>
    </row>
    <row r="705" spans="1:5" x14ac:dyDescent="0.15">
      <c r="A705" s="4">
        <v>249.99799999999999</v>
      </c>
      <c r="B705" s="4">
        <v>337</v>
      </c>
      <c r="C705" s="4">
        <v>84.332229999999996</v>
      </c>
      <c r="D705" s="1">
        <v>5</v>
      </c>
      <c r="E705" s="11">
        <f>($C$219-Table27[[#This Row],[Mass/%]])/$F$30</f>
        <v>0.17339305348976056</v>
      </c>
    </row>
    <row r="706" spans="1:5" x14ac:dyDescent="0.15">
      <c r="A706" s="4">
        <v>250.00402</v>
      </c>
      <c r="B706" s="4">
        <v>337.5</v>
      </c>
      <c r="C706" s="4">
        <v>84.318929999999995</v>
      </c>
      <c r="D706" s="1">
        <v>5</v>
      </c>
      <c r="E706" s="11">
        <f>($C$219-Table27[[#This Row],[Mass/%]])/$F$30</f>
        <v>0.17360789075082222</v>
      </c>
    </row>
    <row r="707" spans="1:5" x14ac:dyDescent="0.15">
      <c r="A707" s="4">
        <v>250.00901999999999</v>
      </c>
      <c r="B707" s="4">
        <v>338</v>
      </c>
      <c r="C707" s="4">
        <v>84.296099999999996</v>
      </c>
      <c r="D707" s="1">
        <v>5</v>
      </c>
      <c r="E707" s="11">
        <f>($C$219-Table27[[#This Row],[Mass/%]])/$F$30</f>
        <v>0.17397666779368212</v>
      </c>
    </row>
    <row r="708" spans="1:5" x14ac:dyDescent="0.15">
      <c r="A708" s="4">
        <v>250.00597999999999</v>
      </c>
      <c r="B708" s="4">
        <v>338.5</v>
      </c>
      <c r="C708" s="4">
        <v>84.286339999999996</v>
      </c>
      <c r="D708" s="1">
        <v>5</v>
      </c>
      <c r="E708" s="11">
        <f>($C$219-Table27[[#This Row],[Mass/%]])/$F$30</f>
        <v>0.1741343228063108</v>
      </c>
    </row>
    <row r="709" spans="1:5" x14ac:dyDescent="0.15">
      <c r="A709" s="4">
        <v>250.00693000000001</v>
      </c>
      <c r="B709" s="4">
        <v>339</v>
      </c>
      <c r="C709" s="4">
        <v>84.265079999999998</v>
      </c>
      <c r="D709" s="1">
        <v>5</v>
      </c>
      <c r="E709" s="11">
        <f>($C$219-Table27[[#This Row],[Mass/%]])/$F$30</f>
        <v>0.17447773936045891</v>
      </c>
    </row>
    <row r="710" spans="1:5" x14ac:dyDescent="0.15">
      <c r="A710" s="4">
        <v>250.00698</v>
      </c>
      <c r="B710" s="4">
        <v>339.5</v>
      </c>
      <c r="C710" s="4">
        <v>84.259249999999994</v>
      </c>
      <c r="D710" s="1">
        <v>5</v>
      </c>
      <c r="E710" s="11">
        <f>($C$219-Table27[[#This Row],[Mass/%]])/$F$30</f>
        <v>0.17457191238542055</v>
      </c>
    </row>
    <row r="711" spans="1:5" x14ac:dyDescent="0.15">
      <c r="A711" s="4">
        <v>250.00699</v>
      </c>
      <c r="B711" s="4">
        <v>340</v>
      </c>
      <c r="C711" s="4">
        <v>84.244060000000005</v>
      </c>
      <c r="D711" s="1">
        <v>5</v>
      </c>
      <c r="E711" s="11">
        <f>($C$219-Table27[[#This Row],[Mass/%]])/$F$30</f>
        <v>0.17481727915200129</v>
      </c>
    </row>
    <row r="712" spans="1:5" x14ac:dyDescent="0.15">
      <c r="A712" s="4">
        <v>250.00702000000001</v>
      </c>
      <c r="B712" s="4">
        <v>340.5</v>
      </c>
      <c r="C712" s="4">
        <v>84.226820000000004</v>
      </c>
      <c r="D712" s="1">
        <v>5</v>
      </c>
      <c r="E712" s="11">
        <f>($C$219-Table27[[#This Row],[Mass/%]])/$F$30</f>
        <v>0.17509575993250526</v>
      </c>
    </row>
    <row r="713" spans="1:5" x14ac:dyDescent="0.15">
      <c r="A713" s="4">
        <v>250.00897000000001</v>
      </c>
      <c r="B713" s="4">
        <v>341</v>
      </c>
      <c r="C713" s="4">
        <v>84.201920000000001</v>
      </c>
      <c r="D713" s="1">
        <v>5</v>
      </c>
      <c r="E713" s="11">
        <f>($C$219-Table27[[#This Row],[Mass/%]])/$F$30</f>
        <v>0.17549797405283871</v>
      </c>
    </row>
    <row r="714" spans="1:5" x14ac:dyDescent="0.15">
      <c r="A714" s="4">
        <v>250.00805</v>
      </c>
      <c r="B714" s="4">
        <v>341.5</v>
      </c>
      <c r="C714" s="4">
        <v>84.201970000000003</v>
      </c>
      <c r="D714" s="1">
        <v>5</v>
      </c>
      <c r="E714" s="11">
        <f>($C$219-Table27[[#This Row],[Mass/%]])/$F$30</f>
        <v>0.17549716639396251</v>
      </c>
    </row>
    <row r="715" spans="1:5" x14ac:dyDescent="0.15">
      <c r="A715" s="4">
        <v>250.00497999999999</v>
      </c>
      <c r="B715" s="4">
        <v>342</v>
      </c>
      <c r="C715" s="4">
        <v>84.175039999999996</v>
      </c>
      <c r="D715" s="1">
        <v>5</v>
      </c>
      <c r="E715" s="11">
        <f>($C$219-Table27[[#This Row],[Mass/%]])/$F$30</f>
        <v>0.17593217146466861</v>
      </c>
    </row>
    <row r="716" spans="1:5" x14ac:dyDescent="0.15">
      <c r="A716" s="4">
        <v>250.00405000000001</v>
      </c>
      <c r="B716" s="4">
        <v>342.5</v>
      </c>
      <c r="C716" s="4">
        <v>84.17313</v>
      </c>
      <c r="D716" s="1">
        <v>5</v>
      </c>
      <c r="E716" s="11">
        <f>($C$219-Table27[[#This Row],[Mass/%]])/$F$30</f>
        <v>0.17596302403373829</v>
      </c>
    </row>
    <row r="717" spans="1:5" x14ac:dyDescent="0.15">
      <c r="A717" s="4">
        <v>250.00200000000001</v>
      </c>
      <c r="B717" s="4">
        <v>343</v>
      </c>
      <c r="C717" s="4">
        <v>84.146339999999995</v>
      </c>
      <c r="D717" s="1">
        <v>5</v>
      </c>
      <c r="E717" s="11">
        <f>($C$219-Table27[[#This Row],[Mass/%]])/$F$30</f>
        <v>0.17639576765959109</v>
      </c>
    </row>
    <row r="718" spans="1:5" x14ac:dyDescent="0.15">
      <c r="A718" s="4">
        <v>250.00298000000001</v>
      </c>
      <c r="B718" s="4">
        <v>343.5</v>
      </c>
      <c r="C718" s="4">
        <v>84.117570000000001</v>
      </c>
      <c r="D718" s="1">
        <v>5</v>
      </c>
      <c r="E718" s="11">
        <f>($C$219-Table27[[#This Row],[Mass/%]])/$F$30</f>
        <v>0.17686049457694009</v>
      </c>
    </row>
    <row r="719" spans="1:5" x14ac:dyDescent="0.15">
      <c r="A719" s="4">
        <v>250.00295</v>
      </c>
      <c r="B719" s="4">
        <v>344</v>
      </c>
      <c r="C719" s="4">
        <v>84.102159999999998</v>
      </c>
      <c r="D719" s="1">
        <v>5</v>
      </c>
      <c r="E719" s="11">
        <f>($C$219-Table27[[#This Row],[Mass/%]])/$F$30</f>
        <v>0.17710941504257621</v>
      </c>
    </row>
    <row r="720" spans="1:5" x14ac:dyDescent="0.15">
      <c r="A720" s="4">
        <v>249.99995000000001</v>
      </c>
      <c r="B720" s="4">
        <v>344.5</v>
      </c>
      <c r="C720" s="4">
        <v>84.098339999999993</v>
      </c>
      <c r="D720" s="1">
        <v>5</v>
      </c>
      <c r="E720" s="11">
        <f>($C$219-Table27[[#This Row],[Mass/%]])/$F$30</f>
        <v>0.17717112018071579</v>
      </c>
    </row>
    <row r="721" spans="1:5" x14ac:dyDescent="0.15">
      <c r="A721" s="4">
        <v>249.99999</v>
      </c>
      <c r="B721" s="4">
        <v>345</v>
      </c>
      <c r="C721" s="4">
        <v>84.082939999999994</v>
      </c>
      <c r="D721" s="1">
        <v>5</v>
      </c>
      <c r="E721" s="11">
        <f>($C$219-Table27[[#This Row],[Mass/%]])/$F$30</f>
        <v>0.1774198791145766</v>
      </c>
    </row>
    <row r="722" spans="1:5" x14ac:dyDescent="0.15">
      <c r="A722" s="4">
        <v>250.001</v>
      </c>
      <c r="B722" s="4">
        <v>345.5</v>
      </c>
      <c r="C722" s="4">
        <v>84.050380000000004</v>
      </c>
      <c r="D722" s="1">
        <v>5</v>
      </c>
      <c r="E722" s="11">
        <f>($C$219-Table27[[#This Row],[Mass/%]])/$F$30</f>
        <v>0.17794582657473934</v>
      </c>
    </row>
    <row r="723" spans="1:5" x14ac:dyDescent="0.15">
      <c r="A723" s="4">
        <v>250.00398000000001</v>
      </c>
      <c r="B723" s="4">
        <v>346</v>
      </c>
      <c r="C723" s="4">
        <v>84.038989999999998</v>
      </c>
      <c r="D723" s="1">
        <v>5</v>
      </c>
      <c r="E723" s="11">
        <f>($C$219-Table27[[#This Row],[Mass/%]])/$F$30</f>
        <v>0.1781298112667313</v>
      </c>
    </row>
    <row r="724" spans="1:5" x14ac:dyDescent="0.15">
      <c r="A724" s="4">
        <v>250.00199000000001</v>
      </c>
      <c r="B724" s="4">
        <v>346.5</v>
      </c>
      <c r="C724" s="4">
        <v>84.038970000000006</v>
      </c>
      <c r="D724" s="1">
        <v>5</v>
      </c>
      <c r="E724" s="11">
        <f>($C$219-Table27[[#This Row],[Mass/%]])/$F$30</f>
        <v>0.17813013433028163</v>
      </c>
    </row>
    <row r="725" spans="1:5" x14ac:dyDescent="0.15">
      <c r="A725" s="4">
        <v>250.005</v>
      </c>
      <c r="B725" s="4">
        <v>347</v>
      </c>
      <c r="C725" s="4">
        <v>84.010140000000007</v>
      </c>
      <c r="D725" s="1">
        <v>5</v>
      </c>
      <c r="E725" s="11">
        <f>($C$219-Table27[[#This Row],[Mass/%]])/$F$30</f>
        <v>0.17859583043828214</v>
      </c>
    </row>
    <row r="726" spans="1:5" x14ac:dyDescent="0.15">
      <c r="A726" s="4">
        <v>250.00799000000001</v>
      </c>
      <c r="B726" s="4">
        <v>347.5</v>
      </c>
      <c r="C726" s="4">
        <v>83.99879</v>
      </c>
      <c r="D726" s="1">
        <v>5</v>
      </c>
      <c r="E726" s="11">
        <f>($C$219-Table27[[#This Row],[Mass/%]])/$F$30</f>
        <v>0.17877916900317317</v>
      </c>
    </row>
    <row r="727" spans="1:5" x14ac:dyDescent="0.15">
      <c r="A727" s="4">
        <v>250.01002</v>
      </c>
      <c r="B727" s="4">
        <v>348</v>
      </c>
      <c r="C727" s="4">
        <v>83.979489999999998</v>
      </c>
      <c r="D727" s="1">
        <v>5</v>
      </c>
      <c r="E727" s="11">
        <f>($C$219-Table27[[#This Row],[Mass/%]])/$F$30</f>
        <v>0.17909092532937543</v>
      </c>
    </row>
    <row r="728" spans="1:5" x14ac:dyDescent="0.15">
      <c r="A728" s="4">
        <v>250.01195999999999</v>
      </c>
      <c r="B728" s="4">
        <v>348.5</v>
      </c>
      <c r="C728" s="4">
        <v>83.979609999999994</v>
      </c>
      <c r="D728" s="1">
        <v>5</v>
      </c>
      <c r="E728" s="11">
        <f>($C$219-Table27[[#This Row],[Mass/%]])/$F$30</f>
        <v>0.17908898694807268</v>
      </c>
    </row>
    <row r="729" spans="1:5" x14ac:dyDescent="0.15">
      <c r="A729" s="4">
        <v>250.00503</v>
      </c>
      <c r="B729" s="4">
        <v>349</v>
      </c>
      <c r="C729" s="4">
        <v>83.962180000000004</v>
      </c>
      <c r="D729" s="1">
        <v>5</v>
      </c>
      <c r="E729" s="11">
        <f>($C$219-Table27[[#This Row],[Mass/%]])/$F$30</f>
        <v>0.17937053683230592</v>
      </c>
    </row>
    <row r="730" spans="1:5" x14ac:dyDescent="0.15">
      <c r="A730" s="4">
        <v>250.00798</v>
      </c>
      <c r="B730" s="4">
        <v>349.5</v>
      </c>
      <c r="C730" s="4">
        <v>83.948769999999996</v>
      </c>
      <c r="D730" s="1">
        <v>5</v>
      </c>
      <c r="E730" s="11">
        <f>($C$219-Table27[[#This Row],[Mass/%]])/$F$30</f>
        <v>0.17958715094289524</v>
      </c>
    </row>
    <row r="731" spans="1:5" x14ac:dyDescent="0.15">
      <c r="A731" s="4">
        <v>250.006</v>
      </c>
      <c r="B731" s="4">
        <v>350</v>
      </c>
      <c r="C731" s="4">
        <v>83.93929</v>
      </c>
      <c r="D731" s="1">
        <v>5</v>
      </c>
      <c r="E731" s="11">
        <f>($C$219-Table27[[#This Row],[Mass/%]])/$F$30</f>
        <v>0.1797402830658173</v>
      </c>
    </row>
    <row r="732" spans="1:5" x14ac:dyDescent="0.15">
      <c r="A732" s="4">
        <v>250.00601</v>
      </c>
      <c r="B732" s="4">
        <v>350.5</v>
      </c>
      <c r="C732" s="4">
        <v>83.918239999999997</v>
      </c>
      <c r="D732" s="1">
        <v>5</v>
      </c>
      <c r="E732" s="11">
        <f>($C$219-Table27[[#This Row],[Mass/%]])/$F$30</f>
        <v>0.18008030745268555</v>
      </c>
    </row>
    <row r="733" spans="1:5" x14ac:dyDescent="0.15">
      <c r="A733" s="4">
        <v>250.00299999999999</v>
      </c>
      <c r="B733" s="4">
        <v>351</v>
      </c>
      <c r="C733" s="4">
        <v>83.900930000000002</v>
      </c>
      <c r="D733" s="1">
        <v>5</v>
      </c>
      <c r="E733" s="11">
        <f>($C$219-Table27[[#This Row],[Mass/%]])/$F$30</f>
        <v>0.18035991895561607</v>
      </c>
    </row>
    <row r="734" spans="1:5" x14ac:dyDescent="0.15">
      <c r="A734" s="4">
        <v>250.00102999999999</v>
      </c>
      <c r="B734" s="4">
        <v>351.5</v>
      </c>
      <c r="C734" s="4">
        <v>83.875929999999997</v>
      </c>
      <c r="D734" s="1">
        <v>5</v>
      </c>
      <c r="E734" s="11">
        <f>($C$219-Table27[[#This Row],[Mass/%]])/$F$30</f>
        <v>0.18076374839370191</v>
      </c>
    </row>
    <row r="735" spans="1:5" x14ac:dyDescent="0.15">
      <c r="A735" s="4">
        <v>250.00097</v>
      </c>
      <c r="B735" s="4">
        <v>352</v>
      </c>
      <c r="C735" s="4">
        <v>83.862470000000002</v>
      </c>
      <c r="D735" s="1">
        <v>5</v>
      </c>
      <c r="E735" s="11">
        <f>($C$219-Table27[[#This Row],[Mass/%]])/$F$30</f>
        <v>0.1809811701631672</v>
      </c>
    </row>
    <row r="736" spans="1:5" x14ac:dyDescent="0.15">
      <c r="A736" s="4">
        <v>250.00603000000001</v>
      </c>
      <c r="B736" s="4">
        <v>352.5</v>
      </c>
      <c r="C736" s="4">
        <v>83.870009999999994</v>
      </c>
      <c r="D736" s="1">
        <v>5</v>
      </c>
      <c r="E736" s="11">
        <f>($C$219-Table27[[#This Row],[Mass/%]])/$F$30</f>
        <v>0.18085937520464068</v>
      </c>
    </row>
    <row r="737" spans="1:5" x14ac:dyDescent="0.15">
      <c r="A737" s="4">
        <v>250.00797</v>
      </c>
      <c r="B737" s="4">
        <v>353</v>
      </c>
      <c r="C737" s="4">
        <v>83.853059999999999</v>
      </c>
      <c r="D737" s="1">
        <v>5</v>
      </c>
      <c r="E737" s="11">
        <f>($C$219-Table27[[#This Row],[Mass/%]])/$F$30</f>
        <v>0.18113317156366274</v>
      </c>
    </row>
    <row r="738" spans="1:5" x14ac:dyDescent="0.15">
      <c r="A738" s="4">
        <v>250.00703999999999</v>
      </c>
      <c r="B738" s="4">
        <v>353.5</v>
      </c>
      <c r="C738" s="4">
        <v>83.82602</v>
      </c>
      <c r="D738" s="1">
        <v>5</v>
      </c>
      <c r="E738" s="11">
        <f>($C$219-Table27[[#This Row],[Mass/%]])/$F$30</f>
        <v>0.18156995348389629</v>
      </c>
    </row>
    <row r="739" spans="1:5" x14ac:dyDescent="0.15">
      <c r="A739" s="4">
        <v>250.00601</v>
      </c>
      <c r="B739" s="4">
        <v>354</v>
      </c>
      <c r="C739" s="4">
        <v>83.799289999999999</v>
      </c>
      <c r="D739" s="1">
        <v>5</v>
      </c>
      <c r="E739" s="11">
        <f>($C$219-Table27[[#This Row],[Mass/%]])/$F$30</f>
        <v>0.18200172791909758</v>
      </c>
    </row>
    <row r="740" spans="1:5" x14ac:dyDescent="0.15">
      <c r="A740" s="4">
        <v>250.00394</v>
      </c>
      <c r="B740" s="4">
        <v>354.5</v>
      </c>
      <c r="C740" s="4">
        <v>83.803079999999994</v>
      </c>
      <c r="D740" s="1">
        <v>5</v>
      </c>
      <c r="E740" s="11">
        <f>($C$219-Table27[[#This Row],[Mass/%]])/$F$30</f>
        <v>0.18194050737628387</v>
      </c>
    </row>
    <row r="741" spans="1:5" x14ac:dyDescent="0.15">
      <c r="A741" s="4">
        <v>250.00803999999999</v>
      </c>
      <c r="B741" s="4">
        <v>355</v>
      </c>
      <c r="C741" s="4">
        <v>83.780159999999995</v>
      </c>
      <c r="D741" s="1">
        <v>5</v>
      </c>
      <c r="E741" s="11">
        <f>($C$219-Table27[[#This Row],[Mass/%]])/$F$30</f>
        <v>0.18231073820512089</v>
      </c>
    </row>
    <row r="742" spans="1:5" x14ac:dyDescent="0.15">
      <c r="A742" s="4">
        <v>250.00602000000001</v>
      </c>
      <c r="B742" s="4">
        <v>355.5</v>
      </c>
      <c r="C742" s="4">
        <v>83.76661</v>
      </c>
      <c r="D742" s="1">
        <v>5</v>
      </c>
      <c r="E742" s="11">
        <f>($C$219-Table27[[#This Row],[Mass/%]])/$F$30</f>
        <v>0.18252961376056329</v>
      </c>
    </row>
    <row r="743" spans="1:5" x14ac:dyDescent="0.15">
      <c r="A743" s="4">
        <v>250.00504000000001</v>
      </c>
      <c r="B743" s="4">
        <v>356</v>
      </c>
      <c r="C743" s="4">
        <v>83.757019999999997</v>
      </c>
      <c r="D743" s="1">
        <v>5</v>
      </c>
      <c r="E743" s="11">
        <f>($C$219-Table27[[#This Row],[Mass/%]])/$F$30</f>
        <v>0.18268452273301303</v>
      </c>
    </row>
    <row r="744" spans="1:5" x14ac:dyDescent="0.15">
      <c r="A744" s="4">
        <v>250.00397000000001</v>
      </c>
      <c r="B744" s="4">
        <v>356.5</v>
      </c>
      <c r="C744" s="4">
        <v>83.741849999999999</v>
      </c>
      <c r="D744" s="1">
        <v>5</v>
      </c>
      <c r="E744" s="11">
        <f>($C$219-Table27[[#This Row],[Mass/%]])/$F$30</f>
        <v>0.18292956643604344</v>
      </c>
    </row>
    <row r="745" spans="1:5" x14ac:dyDescent="0.15">
      <c r="A745" s="4">
        <v>250.00800000000001</v>
      </c>
      <c r="B745" s="4">
        <v>357</v>
      </c>
      <c r="C745" s="4">
        <v>83.737790000000004</v>
      </c>
      <c r="D745" s="1">
        <v>5</v>
      </c>
      <c r="E745" s="11">
        <f>($C$219-Table27[[#This Row],[Mass/%]])/$F$30</f>
        <v>0.18299514833678848</v>
      </c>
    </row>
    <row r="746" spans="1:5" x14ac:dyDescent="0.15">
      <c r="A746" s="4">
        <v>250.00602000000001</v>
      </c>
      <c r="B746" s="4">
        <v>357.5</v>
      </c>
      <c r="C746" s="4">
        <v>83.718689999999995</v>
      </c>
      <c r="D746" s="1">
        <v>5</v>
      </c>
      <c r="E746" s="11">
        <f>($C$219-Table27[[#This Row],[Mass/%]])/$F$30</f>
        <v>0.18330367402748615</v>
      </c>
    </row>
    <row r="747" spans="1:5" x14ac:dyDescent="0.15">
      <c r="A747" s="4">
        <v>250.00398000000001</v>
      </c>
      <c r="B747" s="4">
        <v>358</v>
      </c>
      <c r="C747" s="4">
        <v>83.689980000000006</v>
      </c>
      <c r="D747" s="1">
        <v>5</v>
      </c>
      <c r="E747" s="11">
        <f>($C$219-Table27[[#This Row],[Mass/%]])/$F$30</f>
        <v>0.18376743175418367</v>
      </c>
    </row>
    <row r="748" spans="1:5" x14ac:dyDescent="0.15">
      <c r="A748" s="4">
        <v>250.01007000000001</v>
      </c>
      <c r="B748" s="4">
        <v>358.5</v>
      </c>
      <c r="C748" s="4">
        <v>83.699529999999996</v>
      </c>
      <c r="D748" s="1">
        <v>5</v>
      </c>
      <c r="E748" s="11">
        <f>($C$219-Table27[[#This Row],[Mass/%]])/$F$30</f>
        <v>0.18361316890883508</v>
      </c>
    </row>
    <row r="749" spans="1:5" x14ac:dyDescent="0.15">
      <c r="A749" s="4">
        <v>250.00503</v>
      </c>
      <c r="B749" s="4">
        <v>359</v>
      </c>
      <c r="C749" s="4">
        <v>83.672659999999993</v>
      </c>
      <c r="D749" s="1">
        <v>5</v>
      </c>
      <c r="E749" s="11">
        <f>($C$219-Table27[[#This Row],[Mass/%]])/$F$30</f>
        <v>0.1840472047888897</v>
      </c>
    </row>
    <row r="750" spans="1:5" x14ac:dyDescent="0.15">
      <c r="A750" s="4">
        <v>250.00602000000001</v>
      </c>
      <c r="B750" s="4">
        <v>359.5</v>
      </c>
      <c r="C750" s="4">
        <v>83.655389999999997</v>
      </c>
      <c r="D750" s="1">
        <v>5</v>
      </c>
      <c r="E750" s="11">
        <f>($C$219-Table27[[#This Row],[Mass/%]])/$F$30</f>
        <v>0.18432617016471928</v>
      </c>
    </row>
    <row r="751" spans="1:5" x14ac:dyDescent="0.15">
      <c r="A751" s="4">
        <v>250.00703999999999</v>
      </c>
      <c r="B751" s="4">
        <v>360</v>
      </c>
      <c r="C751" s="4">
        <v>83.632490000000004</v>
      </c>
      <c r="D751" s="1">
        <v>5</v>
      </c>
      <c r="E751" s="11">
        <f>($C$219-Table27[[#This Row],[Mass/%]])/$F$30</f>
        <v>0.18469607793000573</v>
      </c>
    </row>
    <row r="752" spans="1:5" x14ac:dyDescent="0.15">
      <c r="A752" s="4">
        <v>250.00301999999999</v>
      </c>
      <c r="B752" s="4">
        <v>360.5</v>
      </c>
      <c r="C752" s="4">
        <v>83.622789999999995</v>
      </c>
      <c r="D752" s="1">
        <v>5</v>
      </c>
      <c r="E752" s="11">
        <f>($C$219-Table27[[#This Row],[Mass/%]])/$F$30</f>
        <v>0.18485276375198315</v>
      </c>
    </row>
    <row r="753" spans="1:5" x14ac:dyDescent="0.15">
      <c r="A753" s="4">
        <v>250.006</v>
      </c>
      <c r="B753" s="4">
        <v>361</v>
      </c>
      <c r="C753" s="4">
        <v>83.603769999999997</v>
      </c>
      <c r="D753" s="1">
        <v>5</v>
      </c>
      <c r="E753" s="11">
        <f>($C$219-Table27[[#This Row],[Mass/%]])/$F$30</f>
        <v>0.18515999718847875</v>
      </c>
    </row>
    <row r="754" spans="1:5" x14ac:dyDescent="0.15">
      <c r="A754" s="4">
        <v>250.00805</v>
      </c>
      <c r="B754" s="4">
        <v>361.5</v>
      </c>
      <c r="C754" s="4">
        <v>83.576819999999998</v>
      </c>
      <c r="D754" s="1">
        <v>5</v>
      </c>
      <c r="E754" s="11">
        <f>($C$219-Table27[[#This Row],[Mass/%]])/$F$30</f>
        <v>0.18559532532273521</v>
      </c>
    </row>
    <row r="755" spans="1:5" x14ac:dyDescent="0.15">
      <c r="A755" s="4">
        <v>250.00201000000001</v>
      </c>
      <c r="B755" s="4">
        <v>362</v>
      </c>
      <c r="C755" s="4">
        <v>83.572929999999999</v>
      </c>
      <c r="D755" s="1">
        <v>5</v>
      </c>
      <c r="E755" s="11">
        <f>($C$219-Table27[[#This Row],[Mass/%]])/$F$30</f>
        <v>0.18565816118330131</v>
      </c>
    </row>
    <row r="756" spans="1:5" x14ac:dyDescent="0.15">
      <c r="A756" s="4">
        <v>250.00299999999999</v>
      </c>
      <c r="B756" s="4">
        <v>362.5</v>
      </c>
      <c r="C756" s="4">
        <v>83.557640000000006</v>
      </c>
      <c r="D756" s="1">
        <v>5</v>
      </c>
      <c r="E756" s="11">
        <f>($C$219-Table27[[#This Row],[Mass/%]])/$F$30</f>
        <v>0.18590514326763447</v>
      </c>
    </row>
    <row r="757" spans="1:5" x14ac:dyDescent="0.15">
      <c r="A757" s="4">
        <v>250.00299999999999</v>
      </c>
      <c r="B757" s="4">
        <v>363</v>
      </c>
      <c r="C757" s="4">
        <v>83.548050000000003</v>
      </c>
      <c r="D757" s="1">
        <v>5</v>
      </c>
      <c r="E757" s="11">
        <f>($C$219-Table27[[#This Row],[Mass/%]])/$F$30</f>
        <v>0.18606005224008421</v>
      </c>
    </row>
    <row r="758" spans="1:5" x14ac:dyDescent="0.15">
      <c r="A758" s="4">
        <v>250.00700000000001</v>
      </c>
      <c r="B758" s="4">
        <v>363.5</v>
      </c>
      <c r="C758" s="4">
        <v>83.528809999999993</v>
      </c>
      <c r="D758" s="1">
        <v>5</v>
      </c>
      <c r="E758" s="11">
        <f>($C$219-Table27[[#This Row],[Mass/%]])/$F$30</f>
        <v>0.18637083937563517</v>
      </c>
    </row>
    <row r="759" spans="1:5" x14ac:dyDescent="0.15">
      <c r="A759" s="4">
        <v>250.00298000000001</v>
      </c>
      <c r="B759" s="4">
        <v>364</v>
      </c>
      <c r="C759" s="4">
        <v>83.521379999999994</v>
      </c>
      <c r="D759" s="1">
        <v>5</v>
      </c>
      <c r="E759" s="11">
        <f>($C$219-Table27[[#This Row],[Mass/%]])/$F$30</f>
        <v>0.18649085748463426</v>
      </c>
    </row>
    <row r="760" spans="1:5" x14ac:dyDescent="0.15">
      <c r="A760" s="4">
        <v>250.00102000000001</v>
      </c>
      <c r="B760" s="4">
        <v>364.5</v>
      </c>
      <c r="C760" s="4">
        <v>83.50215</v>
      </c>
      <c r="D760" s="1">
        <v>5</v>
      </c>
      <c r="E760" s="11">
        <f>($C$219-Table27[[#This Row],[Mass/%]])/$F$30</f>
        <v>0.18680148308840971</v>
      </c>
    </row>
    <row r="761" spans="1:5" x14ac:dyDescent="0.15">
      <c r="A761" s="4">
        <v>250.00094999999999</v>
      </c>
      <c r="B761" s="4">
        <v>365</v>
      </c>
      <c r="C761" s="4">
        <v>83.490589999999997</v>
      </c>
      <c r="D761" s="1">
        <v>5</v>
      </c>
      <c r="E761" s="11">
        <f>($C$219-Table27[[#This Row],[Mass/%]])/$F$30</f>
        <v>0.18698821382058062</v>
      </c>
    </row>
    <row r="762" spans="1:5" x14ac:dyDescent="0.15">
      <c r="A762" s="4">
        <v>250.00301999999999</v>
      </c>
      <c r="B762" s="4">
        <v>365.5</v>
      </c>
      <c r="C762" s="4">
        <v>83.44838</v>
      </c>
      <c r="D762" s="1">
        <v>5</v>
      </c>
      <c r="E762" s="11">
        <f>($C$219-Table27[[#This Row],[Mass/%]])/$F$30</f>
        <v>0.18767003944384458</v>
      </c>
    </row>
    <row r="763" spans="1:5" x14ac:dyDescent="0.15">
      <c r="A763" s="4">
        <v>250.005</v>
      </c>
      <c r="B763" s="4">
        <v>366</v>
      </c>
      <c r="C763" s="4">
        <v>83.446449999999999</v>
      </c>
      <c r="D763" s="1">
        <v>5</v>
      </c>
      <c r="E763" s="11">
        <f>($C$219-Table27[[#This Row],[Mass/%]])/$F$30</f>
        <v>0.18770121507646484</v>
      </c>
    </row>
    <row r="764" spans="1:5" x14ac:dyDescent="0.15">
      <c r="A764" s="4">
        <v>250.00996000000001</v>
      </c>
      <c r="B764" s="4">
        <v>366.5</v>
      </c>
      <c r="C764" s="4">
        <v>83.435069999999996</v>
      </c>
      <c r="D764" s="1">
        <v>5</v>
      </c>
      <c r="E764" s="11">
        <f>($C$219-Table27[[#This Row],[Mass/%]])/$F$30</f>
        <v>0.18788503823668151</v>
      </c>
    </row>
    <row r="765" spans="1:5" x14ac:dyDescent="0.15">
      <c r="A765" s="4">
        <v>250.00398000000001</v>
      </c>
      <c r="B765" s="4">
        <v>367</v>
      </c>
      <c r="C765" s="4">
        <v>83.429320000000004</v>
      </c>
      <c r="D765" s="1">
        <v>5</v>
      </c>
      <c r="E765" s="11">
        <f>($C$219-Table27[[#This Row],[Mass/%]])/$F$30</f>
        <v>0.1879779190074411</v>
      </c>
    </row>
    <row r="766" spans="1:5" x14ac:dyDescent="0.15">
      <c r="A766" s="4">
        <v>250.00797</v>
      </c>
      <c r="B766" s="4">
        <v>367.5</v>
      </c>
      <c r="C766" s="4">
        <v>83.413619999999995</v>
      </c>
      <c r="D766" s="1">
        <v>5</v>
      </c>
      <c r="E766" s="11">
        <f>($C$219-Table27[[#This Row],[Mass/%]])/$F$30</f>
        <v>0.18823152389455913</v>
      </c>
    </row>
    <row r="767" spans="1:5" x14ac:dyDescent="0.15">
      <c r="A767" s="4">
        <v>250.00502</v>
      </c>
      <c r="B767" s="4">
        <v>368</v>
      </c>
      <c r="C767" s="4">
        <v>83.386989999999997</v>
      </c>
      <c r="D767" s="1">
        <v>5</v>
      </c>
      <c r="E767" s="11">
        <f>($C$219-Table27[[#This Row],[Mass/%]])/$F$30</f>
        <v>0.18866168301200803</v>
      </c>
    </row>
    <row r="768" spans="1:5" x14ac:dyDescent="0.15">
      <c r="A768" s="4">
        <v>250.00493</v>
      </c>
      <c r="B768" s="4">
        <v>368.5</v>
      </c>
      <c r="C768" s="4">
        <v>83.388800000000003</v>
      </c>
      <c r="D768" s="1">
        <v>5</v>
      </c>
      <c r="E768" s="11">
        <f>($C$219-Table27[[#This Row],[Mass/%]])/$F$30</f>
        <v>0.18863244576069052</v>
      </c>
    </row>
    <row r="769" spans="1:5" x14ac:dyDescent="0.15">
      <c r="A769" s="4">
        <v>250.00099</v>
      </c>
      <c r="B769" s="4">
        <v>369</v>
      </c>
      <c r="C769" s="4">
        <v>83.364069999999998</v>
      </c>
      <c r="D769" s="1">
        <v>5</v>
      </c>
      <c r="E769" s="11">
        <f>($C$219-Table27[[#This Row],[Mass/%]])/$F$30</f>
        <v>0.18903191384084506</v>
      </c>
    </row>
    <row r="770" spans="1:5" x14ac:dyDescent="0.15">
      <c r="A770" s="4">
        <v>250.00298000000001</v>
      </c>
      <c r="B770" s="4">
        <v>369.5</v>
      </c>
      <c r="C770" s="4">
        <v>83.343040000000002</v>
      </c>
      <c r="D770" s="1">
        <v>5</v>
      </c>
      <c r="E770" s="11">
        <f>($C$219-Table27[[#This Row],[Mass/%]])/$F$30</f>
        <v>0.18937161516416273</v>
      </c>
    </row>
    <row r="771" spans="1:5" x14ac:dyDescent="0.15">
      <c r="A771" s="4">
        <v>250.00398999999999</v>
      </c>
      <c r="B771" s="4">
        <v>370</v>
      </c>
      <c r="C771" s="4">
        <v>83.323710000000005</v>
      </c>
      <c r="D771" s="1">
        <v>5</v>
      </c>
      <c r="E771" s="11">
        <f>($C$219-Table27[[#This Row],[Mass/%]])/$F$30</f>
        <v>0.18968385608569058</v>
      </c>
    </row>
    <row r="772" spans="1:5" x14ac:dyDescent="0.15">
      <c r="A772" s="4">
        <v>250.00398999999999</v>
      </c>
      <c r="B772" s="4">
        <v>370.5</v>
      </c>
      <c r="C772" s="4">
        <v>83.314120000000003</v>
      </c>
      <c r="D772" s="1">
        <v>5</v>
      </c>
      <c r="E772" s="11">
        <f>($C$219-Table27[[#This Row],[Mass/%]])/$F$30</f>
        <v>0.18983876505814032</v>
      </c>
    </row>
    <row r="773" spans="1:5" x14ac:dyDescent="0.15">
      <c r="A773" s="4">
        <v>250.00798</v>
      </c>
      <c r="B773" s="4">
        <v>371</v>
      </c>
      <c r="C773" s="4">
        <v>83.300700000000006</v>
      </c>
      <c r="D773" s="1">
        <v>5</v>
      </c>
      <c r="E773" s="11">
        <f>($C$219-Table27[[#This Row],[Mass/%]])/$F$30</f>
        <v>0.1900555407005047</v>
      </c>
    </row>
    <row r="774" spans="1:5" x14ac:dyDescent="0.15">
      <c r="A774" s="4">
        <v>250.00698</v>
      </c>
      <c r="B774" s="4">
        <v>371.5</v>
      </c>
      <c r="C774" s="4">
        <v>83.283370000000005</v>
      </c>
      <c r="D774" s="1">
        <v>5</v>
      </c>
      <c r="E774" s="11">
        <f>($C$219-Table27[[#This Row],[Mass/%]])/$F$30</f>
        <v>0.19033547526698577</v>
      </c>
    </row>
    <row r="775" spans="1:5" x14ac:dyDescent="0.15">
      <c r="A775" s="4">
        <v>250.00299999999999</v>
      </c>
      <c r="B775" s="4">
        <v>372</v>
      </c>
      <c r="C775" s="4">
        <v>83.270060000000001</v>
      </c>
      <c r="D775" s="1">
        <v>5</v>
      </c>
      <c r="E775" s="11">
        <f>($C$219-Table27[[#This Row],[Mass/%]])/$F$30</f>
        <v>0.1905504740598227</v>
      </c>
    </row>
    <row r="776" spans="1:5" x14ac:dyDescent="0.15">
      <c r="A776" s="4">
        <v>250.00398999999999</v>
      </c>
      <c r="B776" s="4">
        <v>372.5</v>
      </c>
      <c r="C776" s="4">
        <v>83.247020000000006</v>
      </c>
      <c r="D776" s="1">
        <v>5</v>
      </c>
      <c r="E776" s="11">
        <f>($C$219-Table27[[#This Row],[Mass/%]])/$F$30</f>
        <v>0.19092264326996247</v>
      </c>
    </row>
    <row r="777" spans="1:5" x14ac:dyDescent="0.15">
      <c r="A777" s="4">
        <v>250.00998999999999</v>
      </c>
      <c r="B777" s="4">
        <v>373</v>
      </c>
      <c r="C777" s="4">
        <v>83.231660000000005</v>
      </c>
      <c r="D777" s="1">
        <v>5</v>
      </c>
      <c r="E777" s="11">
        <f>($C$219-Table27[[#This Row],[Mass/%]])/$F$30</f>
        <v>0.19117075607672238</v>
      </c>
    </row>
    <row r="778" spans="1:5" x14ac:dyDescent="0.15">
      <c r="A778" s="4">
        <v>250.01003</v>
      </c>
      <c r="B778" s="4">
        <v>373.5</v>
      </c>
      <c r="C778" s="4">
        <v>83.220169999999996</v>
      </c>
      <c r="D778" s="1">
        <v>5</v>
      </c>
      <c r="E778" s="11">
        <f>($C$219-Table27[[#This Row],[Mass/%]])/$F$30</f>
        <v>0.19135635608646673</v>
      </c>
    </row>
    <row r="779" spans="1:5" x14ac:dyDescent="0.15">
      <c r="A779" s="4">
        <v>250.005</v>
      </c>
      <c r="B779" s="4">
        <v>374</v>
      </c>
      <c r="C779" s="4">
        <v>83.189419999999998</v>
      </c>
      <c r="D779" s="1">
        <v>5</v>
      </c>
      <c r="E779" s="11">
        <f>($C$219-Table27[[#This Row],[Mass/%]])/$F$30</f>
        <v>0.19185306629531218</v>
      </c>
    </row>
    <row r="780" spans="1:5" x14ac:dyDescent="0.15">
      <c r="A780" s="4">
        <v>250.00801999999999</v>
      </c>
      <c r="B780" s="4">
        <v>374.5</v>
      </c>
      <c r="C780" s="4">
        <v>83.15307</v>
      </c>
      <c r="D780" s="1">
        <v>5</v>
      </c>
      <c r="E780" s="11">
        <f>($C$219-Table27[[#This Row],[Mass/%]])/$F$30</f>
        <v>0.19244023429828885</v>
      </c>
    </row>
    <row r="781" spans="1:5" x14ac:dyDescent="0.15">
      <c r="A781" s="4">
        <v>250.00897000000001</v>
      </c>
      <c r="B781" s="4">
        <v>375</v>
      </c>
      <c r="C781" s="4">
        <v>83.155050000000003</v>
      </c>
      <c r="D781" s="1">
        <v>5</v>
      </c>
      <c r="E781" s="11">
        <f>($C$219-Table27[[#This Row],[Mass/%]])/$F$30</f>
        <v>0.19240825100679243</v>
      </c>
    </row>
    <row r="782" spans="1:5" x14ac:dyDescent="0.15">
      <c r="A782" s="4">
        <v>250.00408999999999</v>
      </c>
      <c r="B782" s="4">
        <v>375.5</v>
      </c>
      <c r="C782" s="4">
        <v>83.151250000000005</v>
      </c>
      <c r="D782" s="1">
        <v>5</v>
      </c>
      <c r="E782" s="11">
        <f>($C$219-Table27[[#This Row],[Mass/%]])/$F$30</f>
        <v>0.19246963308138143</v>
      </c>
    </row>
    <row r="783" spans="1:5" x14ac:dyDescent="0.15">
      <c r="A783" s="4">
        <v>250.00398999999999</v>
      </c>
      <c r="B783" s="4">
        <v>376</v>
      </c>
      <c r="C783" s="4">
        <v>83.139719999999997</v>
      </c>
      <c r="D783" s="1">
        <v>5</v>
      </c>
      <c r="E783" s="11">
        <f>($C$219-Table27[[#This Row],[Mass/%]])/$F$30</f>
        <v>0.19265587921822672</v>
      </c>
    </row>
    <row r="784" spans="1:5" x14ac:dyDescent="0.15">
      <c r="A784" s="4">
        <v>250.00399999999999</v>
      </c>
      <c r="B784" s="4">
        <v>376.5</v>
      </c>
      <c r="C784" s="4">
        <v>83.133870000000002</v>
      </c>
      <c r="D784" s="1">
        <v>5</v>
      </c>
      <c r="E784" s="11">
        <f>($C$219-Table27[[#This Row],[Mass/%]])/$F$30</f>
        <v>0.19275037530673869</v>
      </c>
    </row>
    <row r="785" spans="1:5" x14ac:dyDescent="0.15">
      <c r="A785" s="4">
        <v>250.00400999999999</v>
      </c>
      <c r="B785" s="4">
        <v>377</v>
      </c>
      <c r="C785" s="4">
        <v>83.112620000000007</v>
      </c>
      <c r="D785" s="1">
        <v>5</v>
      </c>
      <c r="E785" s="11">
        <f>($C$219-Table27[[#This Row],[Mass/%]])/$F$30</f>
        <v>0.1930936303291115</v>
      </c>
    </row>
    <row r="786" spans="1:5" x14ac:dyDescent="0.15">
      <c r="A786" s="4">
        <v>250.00298000000001</v>
      </c>
      <c r="B786" s="4">
        <v>377.5</v>
      </c>
      <c r="C786" s="4">
        <v>83.087940000000003</v>
      </c>
      <c r="D786" s="1">
        <v>5</v>
      </c>
      <c r="E786" s="11">
        <f>($C$219-Table27[[#This Row],[Mass/%]])/$F$30</f>
        <v>0.19349229075038984</v>
      </c>
    </row>
    <row r="787" spans="1:5" x14ac:dyDescent="0.15">
      <c r="A787" s="4">
        <v>250.00398000000001</v>
      </c>
      <c r="B787" s="4">
        <v>378</v>
      </c>
      <c r="C787" s="4">
        <v>83.076279999999997</v>
      </c>
      <c r="D787" s="1">
        <v>5</v>
      </c>
      <c r="E787" s="11">
        <f>($C$219-Table27[[#This Row],[Mass/%]])/$F$30</f>
        <v>0.19368063680031314</v>
      </c>
    </row>
    <row r="788" spans="1:5" x14ac:dyDescent="0.15">
      <c r="A788" s="4">
        <v>250.00497999999999</v>
      </c>
      <c r="B788" s="4">
        <v>378.5</v>
      </c>
      <c r="C788" s="4">
        <v>83.062839999999994</v>
      </c>
      <c r="D788" s="1">
        <v>5</v>
      </c>
      <c r="E788" s="11">
        <f>($C$219-Table27[[#This Row],[Mass/%]])/$F$30</f>
        <v>0.1938977355062281</v>
      </c>
    </row>
    <row r="789" spans="1:5" x14ac:dyDescent="0.15">
      <c r="A789" s="4">
        <v>250.00899999999999</v>
      </c>
      <c r="B789" s="4">
        <v>379</v>
      </c>
      <c r="C789" s="4">
        <v>83.053529999999995</v>
      </c>
      <c r="D789" s="1">
        <v>5</v>
      </c>
      <c r="E789" s="11">
        <f>($C$219-Table27[[#This Row],[Mass/%]])/$F$30</f>
        <v>0.19404812158897122</v>
      </c>
    </row>
    <row r="790" spans="1:5" x14ac:dyDescent="0.15">
      <c r="A790" s="4">
        <v>250.00601</v>
      </c>
      <c r="B790" s="4">
        <v>379.5</v>
      </c>
      <c r="C790" s="4">
        <v>83.030370000000005</v>
      </c>
      <c r="D790" s="1">
        <v>5</v>
      </c>
      <c r="E790" s="11">
        <f>($C$219-Table27[[#This Row],[Mass/%]])/$F$30</f>
        <v>0.19442222918041371</v>
      </c>
    </row>
    <row r="791" spans="1:5" x14ac:dyDescent="0.15">
      <c r="A791" s="4">
        <v>250.00899000000001</v>
      </c>
      <c r="B791" s="4">
        <v>380</v>
      </c>
      <c r="C791" s="4">
        <v>83.020830000000004</v>
      </c>
      <c r="D791" s="1">
        <v>5</v>
      </c>
      <c r="E791" s="11">
        <f>($C$219-Table27[[#This Row],[Mass/%]])/$F$30</f>
        <v>0.19457633049398726</v>
      </c>
    </row>
    <row r="792" spans="1:5" x14ac:dyDescent="0.15">
      <c r="A792" s="4">
        <v>250.00702000000001</v>
      </c>
      <c r="B792" s="4">
        <v>380.5</v>
      </c>
      <c r="C792" s="4">
        <v>82.995810000000006</v>
      </c>
      <c r="D792" s="1">
        <v>5</v>
      </c>
      <c r="E792" s="11">
        <f>($C$219-Table27[[#This Row],[Mass/%]])/$F$30</f>
        <v>0.19498048299562346</v>
      </c>
    </row>
    <row r="793" spans="1:5" x14ac:dyDescent="0.15">
      <c r="A793" s="4">
        <v>250.00301999999999</v>
      </c>
      <c r="B793" s="4">
        <v>381</v>
      </c>
      <c r="C793" s="4">
        <v>82.982519999999994</v>
      </c>
      <c r="D793" s="1">
        <v>5</v>
      </c>
      <c r="E793" s="11">
        <f>($C$219-Table27[[#This Row],[Mass/%]])/$F$30</f>
        <v>0.19519515872491003</v>
      </c>
    </row>
    <row r="794" spans="1:5" x14ac:dyDescent="0.15">
      <c r="A794" s="4">
        <v>250.00595999999999</v>
      </c>
      <c r="B794" s="4">
        <v>381.5</v>
      </c>
      <c r="C794" s="4">
        <v>82.968919999999997</v>
      </c>
      <c r="D794" s="1">
        <v>5</v>
      </c>
      <c r="E794" s="11">
        <f>($C$219-Table27[[#This Row],[Mass/%]])/$F$30</f>
        <v>0.19541484193922865</v>
      </c>
    </row>
    <row r="795" spans="1:5" x14ac:dyDescent="0.15">
      <c r="A795" s="4">
        <v>250.00895</v>
      </c>
      <c r="B795" s="4">
        <v>382</v>
      </c>
      <c r="C795" s="4">
        <v>82.968980000000002</v>
      </c>
      <c r="D795" s="1">
        <v>5</v>
      </c>
      <c r="E795" s="11">
        <f>($C$219-Table27[[#This Row],[Mass/%]])/$F$30</f>
        <v>0.19541387274857716</v>
      </c>
    </row>
    <row r="796" spans="1:5" x14ac:dyDescent="0.15">
      <c r="A796" s="4">
        <v>250.01096000000001</v>
      </c>
      <c r="B796" s="4">
        <v>382.5</v>
      </c>
      <c r="C796" s="4">
        <v>82.928690000000003</v>
      </c>
      <c r="D796" s="1">
        <v>5</v>
      </c>
      <c r="E796" s="11">
        <f>($C$219-Table27[[#This Row],[Mass/%]])/$F$30</f>
        <v>0.19606468427099616</v>
      </c>
    </row>
    <row r="797" spans="1:5" x14ac:dyDescent="0.15">
      <c r="A797" s="4">
        <v>250.00995</v>
      </c>
      <c r="B797" s="4">
        <v>383</v>
      </c>
      <c r="C797" s="4">
        <v>82.922939999999997</v>
      </c>
      <c r="D797" s="1">
        <v>5</v>
      </c>
      <c r="E797" s="11">
        <f>($C$219-Table27[[#This Row],[Mass/%]])/$F$30</f>
        <v>0.19615756504175597</v>
      </c>
    </row>
    <row r="798" spans="1:5" x14ac:dyDescent="0.15">
      <c r="A798" s="4">
        <v>250.00899000000001</v>
      </c>
      <c r="B798" s="4">
        <v>383.5</v>
      </c>
      <c r="C798" s="4">
        <v>82.896050000000002</v>
      </c>
      <c r="D798" s="1">
        <v>5</v>
      </c>
      <c r="E798" s="11">
        <f>($C$219-Table27[[#This Row],[Mass/%]])/$F$30</f>
        <v>0.19659192398536093</v>
      </c>
    </row>
    <row r="799" spans="1:5" x14ac:dyDescent="0.15">
      <c r="A799" s="4">
        <v>249.999</v>
      </c>
      <c r="B799" s="4">
        <v>384</v>
      </c>
      <c r="C799" s="4">
        <v>82.884559999999993</v>
      </c>
      <c r="D799" s="1">
        <v>5</v>
      </c>
      <c r="E799" s="11">
        <f>($C$219-Table27[[#This Row],[Mass/%]])/$F$30</f>
        <v>0.19677752399510531</v>
      </c>
    </row>
    <row r="800" spans="1:5" x14ac:dyDescent="0.15">
      <c r="A800" s="4">
        <v>250.00303</v>
      </c>
      <c r="B800" s="4">
        <v>384.5</v>
      </c>
      <c r="C800" s="4">
        <v>82.857799999999997</v>
      </c>
      <c r="D800" s="1">
        <v>5</v>
      </c>
      <c r="E800" s="11">
        <f>($C$219-Table27[[#This Row],[Mass/%]])/$F$30</f>
        <v>0.19720978302563225</v>
      </c>
    </row>
    <row r="801" spans="1:5" x14ac:dyDescent="0.15">
      <c r="A801" s="4">
        <v>250.00402</v>
      </c>
      <c r="B801" s="4">
        <v>385</v>
      </c>
      <c r="C801" s="4">
        <v>82.857770000000002</v>
      </c>
      <c r="D801" s="1">
        <v>5</v>
      </c>
      <c r="E801" s="11">
        <f>($C$219-Table27[[#This Row],[Mass/%]])/$F$30</f>
        <v>0.19721026762095786</v>
      </c>
    </row>
    <row r="802" spans="1:5" x14ac:dyDescent="0.15">
      <c r="A802" s="4">
        <v>250.00398000000001</v>
      </c>
      <c r="B802" s="4">
        <v>385.5</v>
      </c>
      <c r="C802" s="4">
        <v>82.828959999999995</v>
      </c>
      <c r="D802" s="1">
        <v>5</v>
      </c>
      <c r="E802" s="11">
        <f>($C$219-Table27[[#This Row],[Mass/%]])/$F$30</f>
        <v>0.19767564066540802</v>
      </c>
    </row>
    <row r="803" spans="1:5" x14ac:dyDescent="0.15">
      <c r="A803" s="4">
        <v>250.01</v>
      </c>
      <c r="B803" s="4">
        <v>386</v>
      </c>
      <c r="C803" s="4">
        <v>82.807879999999997</v>
      </c>
      <c r="D803" s="1">
        <v>5</v>
      </c>
      <c r="E803" s="11">
        <f>($C$219-Table27[[#This Row],[Mass/%]])/$F$30</f>
        <v>0.19801614964760189</v>
      </c>
    </row>
    <row r="804" spans="1:5" x14ac:dyDescent="0.15">
      <c r="A804" s="4">
        <v>250.001</v>
      </c>
      <c r="B804" s="4">
        <v>386.5</v>
      </c>
      <c r="C804" s="4">
        <v>82.804190000000006</v>
      </c>
      <c r="D804" s="1">
        <v>5</v>
      </c>
      <c r="E804" s="11">
        <f>($C$219-Table27[[#This Row],[Mass/%]])/$F$30</f>
        <v>0.19807575487266321</v>
      </c>
    </row>
    <row r="805" spans="1:5" x14ac:dyDescent="0.15">
      <c r="A805" s="4">
        <v>250.00201000000001</v>
      </c>
      <c r="B805" s="4">
        <v>387</v>
      </c>
      <c r="C805" s="4">
        <v>82.786829999999995</v>
      </c>
      <c r="D805" s="1">
        <v>5</v>
      </c>
      <c r="E805" s="11">
        <f>($C$219-Table27[[#This Row],[Mass/%]])/$F$30</f>
        <v>0.19835617403447015</v>
      </c>
    </row>
    <row r="806" spans="1:5" x14ac:dyDescent="0.15">
      <c r="A806" s="4">
        <v>250.00398999999999</v>
      </c>
      <c r="B806" s="4">
        <v>387.5</v>
      </c>
      <c r="C806" s="4">
        <v>82.769620000000003</v>
      </c>
      <c r="D806" s="1">
        <v>5</v>
      </c>
      <c r="E806" s="11">
        <f>($C$219-Table27[[#This Row],[Mass/%]])/$F$30</f>
        <v>0.19863417021964824</v>
      </c>
    </row>
    <row r="807" spans="1:5" x14ac:dyDescent="0.15">
      <c r="A807" s="4">
        <v>250.00801999999999</v>
      </c>
      <c r="B807" s="4">
        <v>388</v>
      </c>
      <c r="C807" s="4">
        <v>82.746769999999998</v>
      </c>
      <c r="D807" s="1">
        <v>5</v>
      </c>
      <c r="E807" s="11">
        <f>($C$219-Table27[[#This Row],[Mass/%]])/$F$30</f>
        <v>0.19900327032605872</v>
      </c>
    </row>
    <row r="808" spans="1:5" x14ac:dyDescent="0.15">
      <c r="A808" s="4">
        <v>250.00595999999999</v>
      </c>
      <c r="B808" s="4">
        <v>388.5</v>
      </c>
      <c r="C808" s="4">
        <v>82.729309999999998</v>
      </c>
      <c r="D808" s="1">
        <v>5</v>
      </c>
      <c r="E808" s="11">
        <f>($C$219-Table27[[#This Row],[Mass/%]])/$F$30</f>
        <v>0.19928530480561782</v>
      </c>
    </row>
    <row r="809" spans="1:5" x14ac:dyDescent="0.15">
      <c r="A809" s="4">
        <v>250.00400999999999</v>
      </c>
      <c r="B809" s="4">
        <v>389</v>
      </c>
      <c r="C809" s="4">
        <v>82.716030000000003</v>
      </c>
      <c r="D809" s="1">
        <v>5</v>
      </c>
      <c r="E809" s="11">
        <f>($C$219-Table27[[#This Row],[Mass/%]])/$F$30</f>
        <v>0.19949981900312888</v>
      </c>
    </row>
    <row r="810" spans="1:5" x14ac:dyDescent="0.15">
      <c r="A810" s="4">
        <v>250.00599</v>
      </c>
      <c r="B810" s="4">
        <v>389.5</v>
      </c>
      <c r="C810" s="4">
        <v>82.683210000000003</v>
      </c>
      <c r="D810" s="1">
        <v>5</v>
      </c>
      <c r="E810" s="11">
        <f>($C$219-Table27[[#This Row],[Mass/%]])/$F$30</f>
        <v>0.20002996628944789</v>
      </c>
    </row>
    <row r="811" spans="1:5" x14ac:dyDescent="0.15">
      <c r="A811" s="4">
        <v>250.00399999999999</v>
      </c>
      <c r="B811" s="4">
        <v>390</v>
      </c>
      <c r="C811" s="4">
        <v>82.67944</v>
      </c>
      <c r="D811" s="1">
        <v>5</v>
      </c>
      <c r="E811" s="11">
        <f>($C$219-Table27[[#This Row],[Mass/%]])/$F$30</f>
        <v>0.20009086376871127</v>
      </c>
    </row>
    <row r="812" spans="1:5" x14ac:dyDescent="0.15">
      <c r="A812" s="4">
        <v>250.00695999999999</v>
      </c>
      <c r="B812" s="4">
        <v>390.5</v>
      </c>
      <c r="C812" s="4">
        <v>82.675389999999993</v>
      </c>
      <c r="D812" s="1">
        <v>5</v>
      </c>
      <c r="E812" s="11">
        <f>($C$219-Table27[[#This Row],[Mass/%]])/$F$30</f>
        <v>0.20015628413768127</v>
      </c>
    </row>
    <row r="813" spans="1:5" x14ac:dyDescent="0.15">
      <c r="A813" s="4">
        <v>250.006</v>
      </c>
      <c r="B813" s="4">
        <v>391</v>
      </c>
      <c r="C813" s="4">
        <v>82.644760000000005</v>
      </c>
      <c r="D813" s="1">
        <v>5</v>
      </c>
      <c r="E813" s="11">
        <f>($C$219-Table27[[#This Row],[Mass/%]])/$F$30</f>
        <v>0.20065105596522376</v>
      </c>
    </row>
    <row r="814" spans="1:5" x14ac:dyDescent="0.15">
      <c r="A814" s="4">
        <v>250.00301999999999</v>
      </c>
      <c r="B814" s="4">
        <v>391.5</v>
      </c>
      <c r="C814" s="4">
        <v>82.625730000000004</v>
      </c>
      <c r="D814" s="1">
        <v>5</v>
      </c>
      <c r="E814" s="11">
        <f>($C$219-Table27[[#This Row],[Mass/%]])/$F$30</f>
        <v>0.20095845093349465</v>
      </c>
    </row>
    <row r="815" spans="1:5" x14ac:dyDescent="0.15">
      <c r="A815" s="4">
        <v>250.00299000000001</v>
      </c>
      <c r="B815" s="4">
        <v>392</v>
      </c>
      <c r="C815" s="4">
        <v>82.622129999999999</v>
      </c>
      <c r="D815" s="1">
        <v>5</v>
      </c>
      <c r="E815" s="11">
        <f>($C$219-Table27[[#This Row],[Mass/%]])/$F$30</f>
        <v>0.2010166023725791</v>
      </c>
    </row>
    <row r="816" spans="1:5" x14ac:dyDescent="0.15">
      <c r="A816" s="4">
        <v>250.00603000000001</v>
      </c>
      <c r="B816" s="4">
        <v>392.5</v>
      </c>
      <c r="C816" s="4">
        <v>82.606610000000003</v>
      </c>
      <c r="D816" s="1">
        <v>5</v>
      </c>
      <c r="E816" s="11">
        <f>($C$219-Table27[[#This Row],[Mass/%]])/$F$30</f>
        <v>0.20126729968774265</v>
      </c>
    </row>
    <row r="817" spans="1:5" x14ac:dyDescent="0.15">
      <c r="A817" s="4">
        <v>250.00698</v>
      </c>
      <c r="B817" s="4">
        <v>393</v>
      </c>
      <c r="C817" s="4">
        <v>82.596879999999999</v>
      </c>
      <c r="D817" s="1">
        <v>5</v>
      </c>
      <c r="E817" s="11">
        <f>($C$219-Table27[[#This Row],[Mass/%]])/$F$30</f>
        <v>0.20142447010504572</v>
      </c>
    </row>
    <row r="818" spans="1:5" x14ac:dyDescent="0.15">
      <c r="A818" s="4">
        <v>250.00303</v>
      </c>
      <c r="B818" s="4">
        <v>393.5</v>
      </c>
      <c r="C818" s="4">
        <v>82.587249999999997</v>
      </c>
      <c r="D818" s="1">
        <v>5</v>
      </c>
      <c r="E818" s="11">
        <f>($C$219-Table27[[#This Row],[Mass/%]])/$F$30</f>
        <v>0.20158002520459636</v>
      </c>
    </row>
    <row r="819" spans="1:5" x14ac:dyDescent="0.15">
      <c r="A819" s="4">
        <v>250.00601</v>
      </c>
      <c r="B819" s="4">
        <v>394</v>
      </c>
      <c r="C819" s="4">
        <v>82.570059999999998</v>
      </c>
      <c r="D819" s="1">
        <v>5</v>
      </c>
      <c r="E819" s="11">
        <f>($C$219-Table27[[#This Row],[Mass/%]])/$F$30</f>
        <v>0.20185769832622413</v>
      </c>
    </row>
    <row r="820" spans="1:5" x14ac:dyDescent="0.15">
      <c r="A820" s="4">
        <v>250.00699</v>
      </c>
      <c r="B820" s="4">
        <v>394.5</v>
      </c>
      <c r="C820" s="4">
        <v>82.54513</v>
      </c>
      <c r="D820" s="1">
        <v>5</v>
      </c>
      <c r="E820" s="11">
        <f>($C$219-Table27[[#This Row],[Mass/%]])/$F$30</f>
        <v>0.20226039704188323</v>
      </c>
    </row>
    <row r="821" spans="1:5" x14ac:dyDescent="0.15">
      <c r="A821" s="4">
        <v>250.00596999999999</v>
      </c>
      <c r="B821" s="4">
        <v>395</v>
      </c>
      <c r="C821" s="4">
        <v>82.535700000000006</v>
      </c>
      <c r="D821" s="1">
        <v>5</v>
      </c>
      <c r="E821" s="11">
        <f>($C$219-Table27[[#This Row],[Mass/%]])/$F$30</f>
        <v>0.20241272150592909</v>
      </c>
    </row>
    <row r="822" spans="1:5" x14ac:dyDescent="0.15">
      <c r="A822" s="4">
        <v>250.00596999999999</v>
      </c>
      <c r="B822" s="4">
        <v>395.5</v>
      </c>
      <c r="C822" s="4">
        <v>82.508740000000003</v>
      </c>
      <c r="D822" s="1">
        <v>5</v>
      </c>
      <c r="E822" s="11">
        <f>($C$219-Table27[[#This Row],[Mass/%]])/$F$30</f>
        <v>0.20284821117196081</v>
      </c>
    </row>
    <row r="823" spans="1:5" x14ac:dyDescent="0.15">
      <c r="A823" s="4">
        <v>250.00904</v>
      </c>
      <c r="B823" s="4">
        <v>396</v>
      </c>
      <c r="C823" s="4">
        <v>82.491510000000005</v>
      </c>
      <c r="D823" s="1">
        <v>5</v>
      </c>
      <c r="E823" s="11">
        <f>($C$219-Table27[[#This Row],[Mass/%]])/$F$30</f>
        <v>0.20312653042068948</v>
      </c>
    </row>
    <row r="824" spans="1:5" x14ac:dyDescent="0.15">
      <c r="A824" s="4">
        <v>250.00801000000001</v>
      </c>
      <c r="B824" s="4">
        <v>396.5</v>
      </c>
      <c r="C824" s="4">
        <v>82.493530000000007</v>
      </c>
      <c r="D824" s="1">
        <v>5</v>
      </c>
      <c r="E824" s="11">
        <f>($C$219-Table27[[#This Row],[Mass/%]])/$F$30</f>
        <v>0.20309390100209213</v>
      </c>
    </row>
    <row r="825" spans="1:5" x14ac:dyDescent="0.15">
      <c r="A825" s="4">
        <v>250.00702000000001</v>
      </c>
      <c r="B825" s="4">
        <v>397</v>
      </c>
      <c r="C825" s="4">
        <v>82.47627</v>
      </c>
      <c r="D825" s="1">
        <v>5</v>
      </c>
      <c r="E825" s="11">
        <f>($C$219-Table27[[#This Row],[Mass/%]])/$F$30</f>
        <v>0.20337270484614667</v>
      </c>
    </row>
    <row r="826" spans="1:5" x14ac:dyDescent="0.15">
      <c r="A826" s="4">
        <v>250.00199000000001</v>
      </c>
      <c r="B826" s="4">
        <v>397.5</v>
      </c>
      <c r="C826" s="4">
        <v>82.462909999999994</v>
      </c>
      <c r="D826" s="1">
        <v>5</v>
      </c>
      <c r="E826" s="11">
        <f>($C$219-Table27[[#This Row],[Mass/%]])/$F$30</f>
        <v>0.20358851129785979</v>
      </c>
    </row>
    <row r="827" spans="1:5" x14ac:dyDescent="0.15">
      <c r="A827" s="4">
        <v>250.00198</v>
      </c>
      <c r="B827" s="4">
        <v>398</v>
      </c>
      <c r="C827" s="4">
        <v>82.447429999999997</v>
      </c>
      <c r="D827" s="1">
        <v>5</v>
      </c>
      <c r="E827" s="11">
        <f>($C$219-Table27[[#This Row],[Mass/%]])/$F$30</f>
        <v>0.20383856248592244</v>
      </c>
    </row>
    <row r="828" spans="1:5" x14ac:dyDescent="0.15">
      <c r="A828" s="4">
        <v>250.00098</v>
      </c>
      <c r="B828" s="4">
        <v>398.5</v>
      </c>
      <c r="C828" s="4">
        <v>82.422569999999993</v>
      </c>
      <c r="D828" s="1">
        <v>5</v>
      </c>
      <c r="E828" s="11">
        <f>($C$219-Table27[[#This Row],[Mass/%]])/$F$30</f>
        <v>0.20424013047915499</v>
      </c>
    </row>
    <row r="829" spans="1:5" x14ac:dyDescent="0.15">
      <c r="A829" s="4">
        <v>250.00402</v>
      </c>
      <c r="B829" s="4">
        <v>399</v>
      </c>
      <c r="C829" s="4">
        <v>82.414900000000003</v>
      </c>
      <c r="D829" s="1">
        <v>5</v>
      </c>
      <c r="E829" s="11">
        <f>($C$219-Table27[[#This Row],[Mass/%]])/$F$30</f>
        <v>0.20436402535075954</v>
      </c>
    </row>
    <row r="830" spans="1:5" x14ac:dyDescent="0.15">
      <c r="A830" s="4">
        <v>250.00201999999999</v>
      </c>
      <c r="B830" s="4">
        <v>399.5</v>
      </c>
      <c r="C830" s="4">
        <v>82.405270000000002</v>
      </c>
      <c r="D830" s="1">
        <v>5</v>
      </c>
      <c r="E830" s="11">
        <f>($C$219-Table27[[#This Row],[Mass/%]])/$F$30</f>
        <v>0.20451958045031018</v>
      </c>
    </row>
    <row r="831" spans="1:5" x14ac:dyDescent="0.15">
      <c r="A831" s="4">
        <v>250.00201999999999</v>
      </c>
      <c r="B831" s="4">
        <v>400</v>
      </c>
      <c r="C831" s="4">
        <v>82.376519999999999</v>
      </c>
      <c r="D831" s="1">
        <v>5</v>
      </c>
      <c r="E831" s="11">
        <f>($C$219-Table27[[#This Row],[Mass/%]])/$F$30</f>
        <v>0.20498398430410886</v>
      </c>
    </row>
    <row r="832" spans="1:5" x14ac:dyDescent="0.15">
      <c r="A832" s="4">
        <v>250.00295</v>
      </c>
      <c r="B832" s="4">
        <v>400.5</v>
      </c>
      <c r="C832" s="4">
        <v>82.380160000000004</v>
      </c>
      <c r="D832" s="1">
        <v>5</v>
      </c>
      <c r="E832" s="11">
        <f>($C$219-Table27[[#This Row],[Mass/%]])/$F$30</f>
        <v>0.20492518673792351</v>
      </c>
    </row>
    <row r="833" spans="1:5" x14ac:dyDescent="0.15">
      <c r="A833" s="4">
        <v>250.00503</v>
      </c>
      <c r="B833" s="4">
        <v>401</v>
      </c>
      <c r="C833" s="4">
        <v>82.341920000000002</v>
      </c>
      <c r="D833" s="1">
        <v>5</v>
      </c>
      <c r="E833" s="11">
        <f>($C$219-Table27[[#This Row],[Mass/%]])/$F$30</f>
        <v>0.2055428842464195</v>
      </c>
    </row>
    <row r="834" spans="1:5" x14ac:dyDescent="0.15">
      <c r="A834" s="4">
        <v>250.00899999999999</v>
      </c>
      <c r="B834" s="4">
        <v>401.5</v>
      </c>
      <c r="C834" s="4">
        <v>82.326639999999998</v>
      </c>
      <c r="D834" s="1">
        <v>5</v>
      </c>
      <c r="E834" s="11">
        <f>($C$219-Table27[[#This Row],[Mass/%]])/$F$30</f>
        <v>0.2057897047989776</v>
      </c>
    </row>
    <row r="835" spans="1:5" x14ac:dyDescent="0.15">
      <c r="A835" s="4">
        <v>250.00801999999999</v>
      </c>
      <c r="B835" s="4">
        <v>402</v>
      </c>
      <c r="C835" s="4">
        <v>82.307509999999994</v>
      </c>
      <c r="D835" s="1">
        <v>5</v>
      </c>
      <c r="E835" s="11">
        <f>($C$219-Table27[[#This Row],[Mass/%]])/$F$30</f>
        <v>0.20609871508500088</v>
      </c>
    </row>
    <row r="836" spans="1:5" x14ac:dyDescent="0.15">
      <c r="A836" s="4">
        <v>250.00702000000001</v>
      </c>
      <c r="B836" s="4">
        <v>402.5</v>
      </c>
      <c r="C836" s="4">
        <v>82.3018</v>
      </c>
      <c r="D836" s="1">
        <v>5</v>
      </c>
      <c r="E836" s="11">
        <f>($C$219-Table27[[#This Row],[Mass/%]])/$F$30</f>
        <v>0.20619094972865959</v>
      </c>
    </row>
    <row r="837" spans="1:5" x14ac:dyDescent="0.15">
      <c r="A837" s="4">
        <v>250.00801000000001</v>
      </c>
      <c r="B837" s="4">
        <v>403</v>
      </c>
      <c r="C837" s="4">
        <v>82.290239999999997</v>
      </c>
      <c r="D837" s="1">
        <v>5</v>
      </c>
      <c r="E837" s="11">
        <f>($C$219-Table27[[#This Row],[Mass/%]])/$F$30</f>
        <v>0.20637768046083049</v>
      </c>
    </row>
    <row r="838" spans="1:5" x14ac:dyDescent="0.15">
      <c r="A838" s="4">
        <v>250.00797</v>
      </c>
      <c r="B838" s="4">
        <v>403.5</v>
      </c>
      <c r="C838" s="4">
        <v>82.263440000000003</v>
      </c>
      <c r="D838" s="1">
        <v>5</v>
      </c>
      <c r="E838" s="11">
        <f>($C$219-Table27[[#This Row],[Mass/%]])/$F$30</f>
        <v>0.20681058561845833</v>
      </c>
    </row>
    <row r="839" spans="1:5" x14ac:dyDescent="0.15">
      <c r="A839" s="4">
        <v>250.00505999999999</v>
      </c>
      <c r="B839" s="4">
        <v>404</v>
      </c>
      <c r="C839" s="4">
        <v>82.255880000000005</v>
      </c>
      <c r="D839" s="1">
        <v>5</v>
      </c>
      <c r="E839" s="11">
        <f>($C$219-Table27[[#This Row],[Mass/%]])/$F$30</f>
        <v>0.20693270364053543</v>
      </c>
    </row>
    <row r="840" spans="1:5" x14ac:dyDescent="0.15">
      <c r="A840" s="4">
        <v>250.00303</v>
      </c>
      <c r="B840" s="4">
        <v>404.5</v>
      </c>
      <c r="C840" s="4">
        <v>82.240309999999994</v>
      </c>
      <c r="D840" s="1">
        <v>5</v>
      </c>
      <c r="E840" s="11">
        <f>($C$219-Table27[[#This Row],[Mass/%]])/$F$30</f>
        <v>0.20718420861457543</v>
      </c>
    </row>
    <row r="841" spans="1:5" x14ac:dyDescent="0.15">
      <c r="A841" s="4">
        <v>250.00400999999999</v>
      </c>
      <c r="B841" s="4">
        <v>405</v>
      </c>
      <c r="C841" s="4">
        <v>82.225049999999996</v>
      </c>
      <c r="D841" s="1">
        <v>5</v>
      </c>
      <c r="E841" s="11">
        <f>($C$219-Table27[[#This Row],[Mass/%]])/$F$30</f>
        <v>0.20743070610358294</v>
      </c>
    </row>
    <row r="842" spans="1:5" x14ac:dyDescent="0.15">
      <c r="A842" s="4">
        <v>250.00399999999999</v>
      </c>
      <c r="B842" s="4">
        <v>405.5</v>
      </c>
      <c r="C842" s="4">
        <v>82.207970000000003</v>
      </c>
      <c r="D842" s="1">
        <v>5</v>
      </c>
      <c r="E842" s="11">
        <f>($C$219-Table27[[#This Row],[Mass/%]])/$F$30</f>
        <v>0.20770660237568303</v>
      </c>
    </row>
    <row r="843" spans="1:5" x14ac:dyDescent="0.15">
      <c r="A843" s="4">
        <v>250.00398000000001</v>
      </c>
      <c r="B843" s="4">
        <v>406</v>
      </c>
      <c r="C843" s="4">
        <v>82.209689999999995</v>
      </c>
      <c r="D843" s="1">
        <v>5</v>
      </c>
      <c r="E843" s="11">
        <f>($C$219-Table27[[#This Row],[Mass/%]])/$F$30</f>
        <v>0.20767881891034284</v>
      </c>
    </row>
    <row r="844" spans="1:5" x14ac:dyDescent="0.15">
      <c r="A844" s="4">
        <v>250.00700000000001</v>
      </c>
      <c r="B844" s="4">
        <v>406.5</v>
      </c>
      <c r="C844" s="4">
        <v>82.175129999999996</v>
      </c>
      <c r="D844" s="1">
        <v>5</v>
      </c>
      <c r="E844" s="11">
        <f>($C$219-Table27[[#This Row],[Mass/%]])/$F$30</f>
        <v>0.20823707272555259</v>
      </c>
    </row>
    <row r="845" spans="1:5" x14ac:dyDescent="0.15">
      <c r="A845" s="4">
        <v>250.00400999999999</v>
      </c>
      <c r="B845" s="4">
        <v>407</v>
      </c>
      <c r="C845" s="4">
        <v>82.171409999999995</v>
      </c>
      <c r="D845" s="1">
        <v>5</v>
      </c>
      <c r="E845" s="11">
        <f>($C$219-Table27[[#This Row],[Mass/%]])/$F$30</f>
        <v>0.20829716254593977</v>
      </c>
    </row>
    <row r="846" spans="1:5" x14ac:dyDescent="0.15">
      <c r="A846" s="4">
        <v>250.00794999999999</v>
      </c>
      <c r="B846" s="4">
        <v>407.5</v>
      </c>
      <c r="C846" s="4">
        <v>82.155889999999999</v>
      </c>
      <c r="D846" s="1">
        <v>5</v>
      </c>
      <c r="E846" s="11">
        <f>($C$219-Table27[[#This Row],[Mass/%]])/$F$30</f>
        <v>0.20854785986110333</v>
      </c>
    </row>
    <row r="847" spans="1:5" x14ac:dyDescent="0.15">
      <c r="A847" s="4">
        <v>250.00503</v>
      </c>
      <c r="B847" s="4">
        <v>408</v>
      </c>
      <c r="C847" s="4">
        <v>82.138739999999999</v>
      </c>
      <c r="D847" s="1">
        <v>5</v>
      </c>
      <c r="E847" s="11">
        <f>($C$219-Table27[[#This Row],[Mass/%]])/$F$30</f>
        <v>0.20882488685563019</v>
      </c>
    </row>
    <row r="848" spans="1:5" x14ac:dyDescent="0.15">
      <c r="A848" s="4">
        <v>250.01000999999999</v>
      </c>
      <c r="B848" s="4">
        <v>408.5</v>
      </c>
      <c r="C848" s="4">
        <v>82.132900000000006</v>
      </c>
      <c r="D848" s="1">
        <v>5</v>
      </c>
      <c r="E848" s="11">
        <f>($C$219-Table27[[#This Row],[Mass/%]])/$F$30</f>
        <v>0.20891922141236691</v>
      </c>
    </row>
    <row r="849" spans="1:5" x14ac:dyDescent="0.15">
      <c r="A849" s="4">
        <v>250.00496000000001</v>
      </c>
      <c r="B849" s="4">
        <v>409</v>
      </c>
      <c r="C849" s="4">
        <v>82.113950000000003</v>
      </c>
      <c r="D849" s="1">
        <v>5</v>
      </c>
      <c r="E849" s="11">
        <f>($C$219-Table27[[#This Row],[Mass/%]])/$F$30</f>
        <v>0.20922532412643596</v>
      </c>
    </row>
    <row r="850" spans="1:5" x14ac:dyDescent="0.15">
      <c r="A850" s="4">
        <v>250.00596999999999</v>
      </c>
      <c r="B850" s="4">
        <v>409.5</v>
      </c>
      <c r="C850" s="4">
        <v>82.098519999999994</v>
      </c>
      <c r="D850" s="1">
        <v>5</v>
      </c>
      <c r="E850" s="11">
        <f>($C$219-Table27[[#This Row],[Mass/%]])/$F$30</f>
        <v>0.20947456765562264</v>
      </c>
    </row>
    <row r="851" spans="1:5" x14ac:dyDescent="0.15">
      <c r="A851" s="4">
        <v>250.00198</v>
      </c>
      <c r="B851" s="4">
        <v>410</v>
      </c>
      <c r="C851" s="4">
        <v>82.075379999999996</v>
      </c>
      <c r="D851" s="1">
        <v>5</v>
      </c>
      <c r="E851" s="11">
        <f>($C$219-Table27[[#This Row],[Mass/%]])/$F$30</f>
        <v>0.2098483521835148</v>
      </c>
    </row>
    <row r="852" spans="1:5" x14ac:dyDescent="0.15">
      <c r="A852" s="4">
        <v>250.00703999999999</v>
      </c>
      <c r="B852" s="4">
        <v>410.5</v>
      </c>
      <c r="C852" s="4">
        <v>82.065929999999994</v>
      </c>
      <c r="D852" s="1">
        <v>5</v>
      </c>
      <c r="E852" s="11">
        <f>($C$219-Table27[[#This Row],[Mass/%]])/$F$30</f>
        <v>0.21000099971111122</v>
      </c>
    </row>
    <row r="853" spans="1:5" x14ac:dyDescent="0.15">
      <c r="A853" s="4">
        <v>250.00502</v>
      </c>
      <c r="B853" s="4">
        <v>411</v>
      </c>
      <c r="C853" s="4">
        <v>82.035210000000006</v>
      </c>
      <c r="D853" s="1">
        <v>5</v>
      </c>
      <c r="E853" s="11">
        <f>($C$219-Table27[[#This Row],[Mass/%]])/$F$30</f>
        <v>0.21049722532463083</v>
      </c>
    </row>
    <row r="854" spans="1:5" x14ac:dyDescent="0.15">
      <c r="A854" s="4">
        <v>250.00702000000001</v>
      </c>
      <c r="B854" s="4">
        <v>411.5</v>
      </c>
      <c r="C854" s="4">
        <v>82.031289999999998</v>
      </c>
      <c r="D854" s="1">
        <v>5</v>
      </c>
      <c r="E854" s="11">
        <f>($C$219-Table27[[#This Row],[Mass/%]])/$F$30</f>
        <v>0.2105605457805228</v>
      </c>
    </row>
    <row r="855" spans="1:5" x14ac:dyDescent="0.15">
      <c r="A855" s="4">
        <v>250.006</v>
      </c>
      <c r="B855" s="4">
        <v>412</v>
      </c>
      <c r="C855" s="4">
        <v>82.016019999999997</v>
      </c>
      <c r="D855" s="1">
        <v>5</v>
      </c>
      <c r="E855" s="11">
        <f>($C$219-Table27[[#This Row],[Mass/%]])/$F$30</f>
        <v>0.2108072048013056</v>
      </c>
    </row>
    <row r="856" spans="1:5" x14ac:dyDescent="0.15">
      <c r="A856" s="4">
        <v>250.00494</v>
      </c>
      <c r="B856" s="4">
        <v>412.5</v>
      </c>
      <c r="C856" s="4">
        <v>82.013959999999997</v>
      </c>
      <c r="D856" s="1">
        <v>5</v>
      </c>
      <c r="E856" s="11">
        <f>($C$219-Table27[[#This Row],[Mass/%]])/$F$30</f>
        <v>0.21084048034700387</v>
      </c>
    </row>
    <row r="857" spans="1:5" x14ac:dyDescent="0.15">
      <c r="A857" s="4">
        <v>250.00299000000001</v>
      </c>
      <c r="B857" s="4">
        <v>413</v>
      </c>
      <c r="C857" s="4">
        <v>81.979500000000002</v>
      </c>
      <c r="D857" s="1">
        <v>5</v>
      </c>
      <c r="E857" s="11">
        <f>($C$219-Table27[[#This Row],[Mass/%]])/$F$30</f>
        <v>0.21139711884446122</v>
      </c>
    </row>
    <row r="858" spans="1:5" x14ac:dyDescent="0.15">
      <c r="A858" s="4">
        <v>250.00301999999999</v>
      </c>
      <c r="B858" s="4">
        <v>413.5</v>
      </c>
      <c r="C858" s="4">
        <v>81.968029999999999</v>
      </c>
      <c r="D858" s="1">
        <v>5</v>
      </c>
      <c r="E858" s="11">
        <f>($C$219-Table27[[#This Row],[Mass/%]])/$F$30</f>
        <v>0.21158239579065502</v>
      </c>
    </row>
    <row r="859" spans="1:5" x14ac:dyDescent="0.15">
      <c r="A859" s="4">
        <v>250.00803999999999</v>
      </c>
      <c r="B859" s="4">
        <v>414</v>
      </c>
      <c r="C859" s="4">
        <v>81.962320000000005</v>
      </c>
      <c r="D859" s="1">
        <v>5</v>
      </c>
      <c r="E859" s="11">
        <f>($C$219-Table27[[#This Row],[Mass/%]])/$F$30</f>
        <v>0.2116746304343137</v>
      </c>
    </row>
    <row r="860" spans="1:5" x14ac:dyDescent="0.15">
      <c r="A860" s="4">
        <v>250.00503</v>
      </c>
      <c r="B860" s="4">
        <v>414.5</v>
      </c>
      <c r="C860" s="4">
        <v>81.935500000000005</v>
      </c>
      <c r="D860" s="1">
        <v>5</v>
      </c>
      <c r="E860" s="11">
        <f>($C$219-Table27[[#This Row],[Mass/%]])/$F$30</f>
        <v>0.21210785865549212</v>
      </c>
    </row>
    <row r="861" spans="1:5" x14ac:dyDescent="0.15">
      <c r="A861" s="4">
        <v>250.005</v>
      </c>
      <c r="B861" s="4">
        <v>415</v>
      </c>
      <c r="C861" s="4">
        <v>81.92953</v>
      </c>
      <c r="D861" s="1">
        <v>5</v>
      </c>
      <c r="E861" s="11">
        <f>($C$219-Table27[[#This Row],[Mass/%]])/$F$30</f>
        <v>0.21220429312530706</v>
      </c>
    </row>
    <row r="862" spans="1:5" x14ac:dyDescent="0.15">
      <c r="A862" s="4">
        <v>250.00599</v>
      </c>
      <c r="B862" s="4">
        <v>415.5</v>
      </c>
      <c r="C862" s="4">
        <v>81.918329999999997</v>
      </c>
      <c r="D862" s="1">
        <v>5</v>
      </c>
      <c r="E862" s="11">
        <f>($C$219-Table27[[#This Row],[Mass/%]])/$F$30</f>
        <v>0.21238520871356953</v>
      </c>
    </row>
    <row r="863" spans="1:5" x14ac:dyDescent="0.15">
      <c r="A863" s="4">
        <v>250.00398999999999</v>
      </c>
      <c r="B863" s="4">
        <v>416</v>
      </c>
      <c r="C863" s="4">
        <v>81.918120000000002</v>
      </c>
      <c r="D863" s="1">
        <v>5</v>
      </c>
      <c r="E863" s="11">
        <f>($C$219-Table27[[#This Row],[Mass/%]])/$F$30</f>
        <v>0.21238860088084938</v>
      </c>
    </row>
    <row r="864" spans="1:5" x14ac:dyDescent="0.15">
      <c r="A864" s="4">
        <v>250.00299000000001</v>
      </c>
      <c r="B864" s="4">
        <v>416.5</v>
      </c>
      <c r="C864" s="4">
        <v>81.893190000000004</v>
      </c>
      <c r="D864" s="1">
        <v>5</v>
      </c>
      <c r="E864" s="11">
        <f>($C$219-Table27[[#This Row],[Mass/%]])/$F$30</f>
        <v>0.21279129959650847</v>
      </c>
    </row>
    <row r="865" spans="1:5" x14ac:dyDescent="0.15">
      <c r="A865" s="4">
        <v>250.00299000000001</v>
      </c>
      <c r="B865" s="4">
        <v>417</v>
      </c>
      <c r="C865" s="4">
        <v>81.879760000000005</v>
      </c>
      <c r="D865" s="1">
        <v>5</v>
      </c>
      <c r="E865" s="11">
        <f>($C$219-Table27[[#This Row],[Mass/%]])/$F$30</f>
        <v>0.21300823677064815</v>
      </c>
    </row>
    <row r="866" spans="1:5" x14ac:dyDescent="0.15">
      <c r="A866" s="4">
        <v>250.00997000000001</v>
      </c>
      <c r="B866" s="4">
        <v>417.5</v>
      </c>
      <c r="C866" s="4">
        <v>81.862579999999994</v>
      </c>
      <c r="D866" s="1">
        <v>5</v>
      </c>
      <c r="E866" s="11">
        <f>($C$219-Table27[[#This Row],[Mass/%]])/$F$30</f>
        <v>0.21328574836050085</v>
      </c>
    </row>
    <row r="867" spans="1:5" x14ac:dyDescent="0.15">
      <c r="A867" s="4">
        <v>250.00899000000001</v>
      </c>
      <c r="B867" s="4">
        <v>418</v>
      </c>
      <c r="C867" s="4">
        <v>81.856880000000004</v>
      </c>
      <c r="D867" s="1">
        <v>5</v>
      </c>
      <c r="E867" s="11">
        <f>($C$219-Table27[[#This Row],[Mass/%]])/$F$30</f>
        <v>0.21337782147238424</v>
      </c>
    </row>
    <row r="868" spans="1:5" x14ac:dyDescent="0.15">
      <c r="A868" s="4">
        <v>250.00602000000001</v>
      </c>
      <c r="B868" s="4">
        <v>418.5</v>
      </c>
      <c r="C868" s="4">
        <v>81.837580000000003</v>
      </c>
      <c r="D868" s="1">
        <v>5</v>
      </c>
      <c r="E868" s="11">
        <f>($C$219-Table27[[#This Row],[Mass/%]])/$F$30</f>
        <v>0.21368957779858647</v>
      </c>
    </row>
    <row r="869" spans="1:5" x14ac:dyDescent="0.15">
      <c r="A869" s="4">
        <v>250.00497999999999</v>
      </c>
      <c r="B869" s="4">
        <v>419</v>
      </c>
      <c r="C869" s="4">
        <v>81.818520000000007</v>
      </c>
      <c r="D869" s="1">
        <v>5</v>
      </c>
      <c r="E869" s="11">
        <f>($C$219-Table27[[#This Row],[Mass/%]])/$F$30</f>
        <v>0.21399745736218298</v>
      </c>
    </row>
    <row r="870" spans="1:5" x14ac:dyDescent="0.15">
      <c r="A870" s="4">
        <v>250.00801000000001</v>
      </c>
      <c r="B870" s="4">
        <v>419.5</v>
      </c>
      <c r="C870" s="4">
        <v>81.810820000000007</v>
      </c>
      <c r="D870" s="1">
        <v>5</v>
      </c>
      <c r="E870" s="11">
        <f>($C$219-Table27[[#This Row],[Mass/%]])/$F$30</f>
        <v>0.2141218368291134</v>
      </c>
    </row>
    <row r="871" spans="1:5" x14ac:dyDescent="0.15">
      <c r="A871" s="4">
        <v>250.00403</v>
      </c>
      <c r="B871" s="4">
        <v>420</v>
      </c>
      <c r="C871" s="4">
        <v>81.789749999999998</v>
      </c>
      <c r="D871" s="1">
        <v>5</v>
      </c>
      <c r="E871" s="11">
        <f>($C$219-Table27[[#This Row],[Mass/%]])/$F$30</f>
        <v>0.21446218427953223</v>
      </c>
    </row>
    <row r="872" spans="1:5" x14ac:dyDescent="0.15">
      <c r="A872" s="4">
        <v>250.00899000000001</v>
      </c>
      <c r="B872" s="4">
        <v>420.5</v>
      </c>
      <c r="C872" s="4">
        <v>81.774270000000001</v>
      </c>
      <c r="D872" s="1">
        <v>5</v>
      </c>
      <c r="E872" s="11">
        <f>($C$219-Table27[[#This Row],[Mass/%]])/$F$30</f>
        <v>0.21471223546759488</v>
      </c>
    </row>
    <row r="873" spans="1:5" x14ac:dyDescent="0.15">
      <c r="A873" s="4">
        <v>250.00395</v>
      </c>
      <c r="B873" s="4">
        <v>421</v>
      </c>
      <c r="C873" s="4">
        <v>81.75506</v>
      </c>
      <c r="D873" s="1">
        <v>5</v>
      </c>
      <c r="E873" s="11">
        <f>($C$219-Table27[[#This Row],[Mass/%]])/$F$30</f>
        <v>0.21502253800781998</v>
      </c>
    </row>
    <row r="874" spans="1:5" x14ac:dyDescent="0.15">
      <c r="A874" s="4">
        <v>250.00502</v>
      </c>
      <c r="B874" s="4">
        <v>421.5</v>
      </c>
      <c r="C874" s="4">
        <v>81.745829999999998</v>
      </c>
      <c r="D874" s="1">
        <v>5</v>
      </c>
      <c r="E874" s="11">
        <f>($C$219-Table27[[#This Row],[Mass/%]])/$F$30</f>
        <v>0.21517163183636129</v>
      </c>
    </row>
    <row r="875" spans="1:5" x14ac:dyDescent="0.15">
      <c r="A875" s="4">
        <v>250.00601</v>
      </c>
      <c r="B875" s="4">
        <v>422</v>
      </c>
      <c r="C875" s="4">
        <v>81.722560000000001</v>
      </c>
      <c r="D875" s="1">
        <v>5</v>
      </c>
      <c r="E875" s="11">
        <f>($C$219-Table27[[#This Row],[Mass/%]])/$F$30</f>
        <v>0.21554751627733146</v>
      </c>
    </row>
    <row r="876" spans="1:5" x14ac:dyDescent="0.15">
      <c r="A876" s="4">
        <v>250.00404</v>
      </c>
      <c r="B876" s="4">
        <v>422.5</v>
      </c>
      <c r="C876" s="4">
        <v>81.699529999999996</v>
      </c>
      <c r="D876" s="1">
        <v>5</v>
      </c>
      <c r="E876" s="11">
        <f>($C$219-Table27[[#This Row],[Mass/%]])/$F$30</f>
        <v>0.21591952395569616</v>
      </c>
    </row>
    <row r="877" spans="1:5" x14ac:dyDescent="0.15">
      <c r="A877" s="4">
        <v>250.00596999999999</v>
      </c>
      <c r="B877" s="4">
        <v>423</v>
      </c>
      <c r="C877" s="4">
        <v>81.697710000000001</v>
      </c>
      <c r="D877" s="1">
        <v>5</v>
      </c>
      <c r="E877" s="11">
        <f>($C$219-Table27[[#This Row],[Mass/%]])/$F$30</f>
        <v>0.21594892273878871</v>
      </c>
    </row>
    <row r="878" spans="1:5" x14ac:dyDescent="0.15">
      <c r="A878" s="4">
        <v>250.00400999999999</v>
      </c>
      <c r="B878" s="4">
        <v>423.5</v>
      </c>
      <c r="C878" s="4">
        <v>81.686160000000001</v>
      </c>
      <c r="D878" s="1">
        <v>5</v>
      </c>
      <c r="E878" s="11">
        <f>($C$219-Table27[[#This Row],[Mass/%]])/$F$30</f>
        <v>0.21613549193918435</v>
      </c>
    </row>
    <row r="879" spans="1:5" x14ac:dyDescent="0.15">
      <c r="A879" s="4">
        <v>250.00397000000001</v>
      </c>
      <c r="B879" s="4">
        <v>424</v>
      </c>
      <c r="C879" s="4">
        <v>81.670829999999995</v>
      </c>
      <c r="D879" s="1">
        <v>5</v>
      </c>
      <c r="E879" s="11">
        <f>($C$219-Table27[[#This Row],[Mass/%]])/$F$30</f>
        <v>0.21638312015061864</v>
      </c>
    </row>
    <row r="880" spans="1:5" x14ac:dyDescent="0.15">
      <c r="A880" s="4">
        <v>250.00201000000001</v>
      </c>
      <c r="B880" s="4">
        <v>424.5</v>
      </c>
      <c r="C880" s="4">
        <v>81.661259999999999</v>
      </c>
      <c r="D880" s="1">
        <v>5</v>
      </c>
      <c r="E880" s="11">
        <f>($C$219-Table27[[#This Row],[Mass/%]])/$F$30</f>
        <v>0.2165377060595178</v>
      </c>
    </row>
    <row r="881" spans="1:5" x14ac:dyDescent="0.15">
      <c r="A881" s="4">
        <v>250.00099</v>
      </c>
      <c r="B881" s="4">
        <v>425</v>
      </c>
      <c r="C881" s="4">
        <v>81.640159999999995</v>
      </c>
      <c r="D881" s="1">
        <v>5</v>
      </c>
      <c r="E881" s="11">
        <f>($C$219-Table27[[#This Row],[Mass/%]])/$F$30</f>
        <v>0.21687853810526225</v>
      </c>
    </row>
    <row r="882" spans="1:5" x14ac:dyDescent="0.15">
      <c r="A882" s="4">
        <v>250.00702000000001</v>
      </c>
      <c r="B882" s="4">
        <v>425.5</v>
      </c>
      <c r="C882" s="4">
        <v>81.620900000000006</v>
      </c>
      <c r="D882" s="1">
        <v>5</v>
      </c>
      <c r="E882" s="11">
        <f>($C$219-Table27[[#This Row],[Mass/%]])/$F$30</f>
        <v>0.21718964830436335</v>
      </c>
    </row>
    <row r="883" spans="1:5" x14ac:dyDescent="0.15">
      <c r="A883" s="4">
        <v>250.00698</v>
      </c>
      <c r="B883" s="4">
        <v>426</v>
      </c>
      <c r="C883" s="4">
        <v>81.609440000000006</v>
      </c>
      <c r="D883" s="1">
        <v>5</v>
      </c>
      <c r="E883" s="11">
        <f>($C$219-Table27[[#This Row],[Mass/%]])/$F$30</f>
        <v>0.21737476371878184</v>
      </c>
    </row>
    <row r="884" spans="1:5" x14ac:dyDescent="0.15">
      <c r="A884" s="4">
        <v>250.00602000000001</v>
      </c>
      <c r="B884" s="4">
        <v>426.5</v>
      </c>
      <c r="C884" s="4">
        <v>81.582599999999999</v>
      </c>
      <c r="D884" s="1">
        <v>5</v>
      </c>
      <c r="E884" s="11">
        <f>($C$219-Table27[[#This Row],[Mass/%]])/$F$30</f>
        <v>0.21780831500351083</v>
      </c>
    </row>
    <row r="885" spans="1:5" x14ac:dyDescent="0.15">
      <c r="A885" s="4">
        <v>250.00300999999999</v>
      </c>
      <c r="B885" s="4">
        <v>427</v>
      </c>
      <c r="C885" s="4">
        <v>81.573139999999995</v>
      </c>
      <c r="D885" s="1">
        <v>5</v>
      </c>
      <c r="E885" s="11">
        <f>($C$219-Table27[[#This Row],[Mass/%]])/$F$30</f>
        <v>0.21796112406288257</v>
      </c>
    </row>
    <row r="886" spans="1:5" x14ac:dyDescent="0.15">
      <c r="A886" s="4">
        <v>250.00298000000001</v>
      </c>
      <c r="B886" s="4">
        <v>427.5</v>
      </c>
      <c r="C886" s="4">
        <v>81.557839999999999</v>
      </c>
      <c r="D886" s="1">
        <v>5</v>
      </c>
      <c r="E886" s="11">
        <f>($C$219-Table27[[#This Row],[Mass/%]])/$F$30</f>
        <v>0.21820826767899099</v>
      </c>
    </row>
    <row r="887" spans="1:5" x14ac:dyDescent="0.15">
      <c r="A887" s="4">
        <v>250.00602000000001</v>
      </c>
      <c r="B887" s="4">
        <v>428</v>
      </c>
      <c r="C887" s="4">
        <v>81.532769999999999</v>
      </c>
      <c r="D887" s="1">
        <v>5</v>
      </c>
      <c r="E887" s="11">
        <f>($C$219-Table27[[#This Row],[Mass/%]])/$F$30</f>
        <v>0.21861322783950338</v>
      </c>
    </row>
    <row r="888" spans="1:5" x14ac:dyDescent="0.15">
      <c r="A888" s="4">
        <v>250.00791000000001</v>
      </c>
      <c r="B888" s="4">
        <v>428.5</v>
      </c>
      <c r="C888" s="4">
        <v>81.525090000000006</v>
      </c>
      <c r="D888" s="1">
        <v>5</v>
      </c>
      <c r="E888" s="11">
        <f>($C$219-Table27[[#This Row],[Mass/%]])/$F$30</f>
        <v>0.21873728424288322</v>
      </c>
    </row>
    <row r="889" spans="1:5" x14ac:dyDescent="0.15">
      <c r="A889" s="4">
        <v>250.00904</v>
      </c>
      <c r="B889" s="4">
        <v>429</v>
      </c>
      <c r="C889" s="4">
        <v>81.511719999999997</v>
      </c>
      <c r="D889" s="1">
        <v>5</v>
      </c>
      <c r="E889" s="11">
        <f>($C$219-Table27[[#This Row],[Mass/%]])/$F$30</f>
        <v>0.21895325222637163</v>
      </c>
    </row>
    <row r="890" spans="1:5" x14ac:dyDescent="0.15">
      <c r="A890" s="4">
        <v>250.00299000000001</v>
      </c>
      <c r="B890" s="4">
        <v>429.5</v>
      </c>
      <c r="C890" s="4">
        <v>81.492519999999999</v>
      </c>
      <c r="D890" s="1">
        <v>5</v>
      </c>
      <c r="E890" s="11">
        <f>($C$219-Table27[[#This Row],[Mass/%]])/$F$30</f>
        <v>0.21926339323482147</v>
      </c>
    </row>
    <row r="891" spans="1:5" x14ac:dyDescent="0.15">
      <c r="A891" s="4">
        <v>250.00497999999999</v>
      </c>
      <c r="B891" s="4">
        <v>430</v>
      </c>
      <c r="C891" s="4">
        <v>81.488690000000005</v>
      </c>
      <c r="D891" s="1">
        <v>5</v>
      </c>
      <c r="E891" s="11">
        <f>($C$219-Table27[[#This Row],[Mass/%]])/$F$30</f>
        <v>0.21932525990473611</v>
      </c>
    </row>
    <row r="892" spans="1:5" x14ac:dyDescent="0.15">
      <c r="A892" s="4">
        <v>250.005</v>
      </c>
      <c r="B892" s="4">
        <v>430.5</v>
      </c>
      <c r="C892" s="4">
        <v>81.46575</v>
      </c>
      <c r="D892" s="1">
        <v>5</v>
      </c>
      <c r="E892" s="11">
        <f>($C$219-Table27[[#This Row],[Mass/%]])/$F$30</f>
        <v>0.21969581379712369</v>
      </c>
    </row>
    <row r="893" spans="1:5" x14ac:dyDescent="0.15">
      <c r="A893" s="4">
        <v>250.00603000000001</v>
      </c>
      <c r="B893" s="4">
        <v>431</v>
      </c>
      <c r="C893" s="4">
        <v>81.448580000000007</v>
      </c>
      <c r="D893" s="1">
        <v>5</v>
      </c>
      <c r="E893" s="11">
        <f>($C$219-Table27[[#This Row],[Mass/%]])/$F$30</f>
        <v>0.21997316385520088</v>
      </c>
    </row>
    <row r="894" spans="1:5" x14ac:dyDescent="0.15">
      <c r="A894" s="4">
        <v>250.00400999999999</v>
      </c>
      <c r="B894" s="4">
        <v>431.5</v>
      </c>
      <c r="C894" s="4">
        <v>81.435119999999998</v>
      </c>
      <c r="D894" s="1">
        <v>5</v>
      </c>
      <c r="E894" s="11">
        <f>($C$219-Table27[[#This Row],[Mass/%]])/$F$30</f>
        <v>0.2201905856246664</v>
      </c>
    </row>
    <row r="895" spans="1:5" x14ac:dyDescent="0.15">
      <c r="A895" s="4">
        <v>250.006</v>
      </c>
      <c r="B895" s="4">
        <v>432</v>
      </c>
      <c r="C895" s="4">
        <v>81.419510000000002</v>
      </c>
      <c r="D895" s="1">
        <v>5</v>
      </c>
      <c r="E895" s="11">
        <f>($C$219-Table27[[#This Row],[Mass/%]])/$F$30</f>
        <v>0.22044273672580708</v>
      </c>
    </row>
    <row r="896" spans="1:5" x14ac:dyDescent="0.15">
      <c r="A896" s="4">
        <v>249.99800999999999</v>
      </c>
      <c r="B896" s="4">
        <v>432.5</v>
      </c>
      <c r="C896" s="4">
        <v>81.400509999999997</v>
      </c>
      <c r="D896" s="1">
        <v>5</v>
      </c>
      <c r="E896" s="11">
        <f>($C$219-Table27[[#This Row],[Mass/%]])/$F$30</f>
        <v>0.22074964709875233</v>
      </c>
    </row>
    <row r="897" spans="1:5" x14ac:dyDescent="0.15">
      <c r="A897" s="4">
        <v>249.99993000000001</v>
      </c>
      <c r="B897" s="4">
        <v>433</v>
      </c>
      <c r="C897" s="4">
        <v>81.390870000000007</v>
      </c>
      <c r="D897" s="1">
        <v>5</v>
      </c>
      <c r="E897" s="11">
        <f>($C$219-Table27[[#This Row],[Mass/%]])/$F$30</f>
        <v>0.22090536373007805</v>
      </c>
    </row>
    <row r="898" spans="1:5" x14ac:dyDescent="0.15">
      <c r="A898" s="4">
        <v>250.00602000000001</v>
      </c>
      <c r="B898" s="4">
        <v>433.5</v>
      </c>
      <c r="C898" s="4">
        <v>81.379409999999993</v>
      </c>
      <c r="D898" s="1">
        <v>5</v>
      </c>
      <c r="E898" s="11">
        <f>($C$219-Table27[[#This Row],[Mass/%]])/$F$30</f>
        <v>0.22109047914449678</v>
      </c>
    </row>
    <row r="899" spans="1:5" x14ac:dyDescent="0.15">
      <c r="A899" s="4">
        <v>250.00899999999999</v>
      </c>
      <c r="B899" s="4">
        <v>434</v>
      </c>
      <c r="C899" s="4">
        <v>81.37182</v>
      </c>
      <c r="D899" s="1">
        <v>5</v>
      </c>
      <c r="E899" s="11">
        <f>($C$219-Table27[[#This Row],[Mass/%]])/$F$30</f>
        <v>0.22121308176189952</v>
      </c>
    </row>
    <row r="900" spans="1:5" x14ac:dyDescent="0.15">
      <c r="A900" s="4">
        <v>250.00404</v>
      </c>
      <c r="B900" s="4">
        <v>434.5</v>
      </c>
      <c r="C900" s="4">
        <v>81.360240000000005</v>
      </c>
      <c r="D900" s="1">
        <v>5</v>
      </c>
      <c r="E900" s="11">
        <f>($C$219-Table27[[#This Row],[Mass/%]])/$F$30</f>
        <v>0.22140013555762078</v>
      </c>
    </row>
    <row r="901" spans="1:5" x14ac:dyDescent="0.15">
      <c r="A901" s="4">
        <v>250.00701000000001</v>
      </c>
      <c r="B901" s="4">
        <v>435</v>
      </c>
      <c r="C901" s="4">
        <v>81.356430000000003</v>
      </c>
      <c r="D901" s="1">
        <v>5</v>
      </c>
      <c r="E901" s="11">
        <f>($C$219-Table27[[#This Row],[Mass/%]])/$F$30</f>
        <v>0.22146167916398507</v>
      </c>
    </row>
    <row r="902" spans="1:5" x14ac:dyDescent="0.15">
      <c r="A902" s="4">
        <v>250.00397000000001</v>
      </c>
      <c r="B902" s="4">
        <v>435.5</v>
      </c>
      <c r="C902" s="4">
        <v>81.337180000000004</v>
      </c>
      <c r="D902" s="1">
        <v>5</v>
      </c>
      <c r="E902" s="11">
        <f>($C$219-Table27[[#This Row],[Mass/%]])/$F$30</f>
        <v>0.2217726278313111</v>
      </c>
    </row>
    <row r="903" spans="1:5" x14ac:dyDescent="0.15">
      <c r="A903" s="4">
        <v>250.00198</v>
      </c>
      <c r="B903" s="4">
        <v>436</v>
      </c>
      <c r="C903" s="4">
        <v>81.319919999999996</v>
      </c>
      <c r="D903" s="1">
        <v>5</v>
      </c>
      <c r="E903" s="11">
        <f>($C$219-Table27[[#This Row],[Mass/%]])/$F$30</f>
        <v>0.22205143167536562</v>
      </c>
    </row>
    <row r="904" spans="1:5" x14ac:dyDescent="0.15">
      <c r="A904" s="4">
        <v>250.00498999999999</v>
      </c>
      <c r="B904" s="4">
        <v>436.5</v>
      </c>
      <c r="C904" s="4">
        <v>81.306610000000006</v>
      </c>
      <c r="D904" s="1">
        <v>5</v>
      </c>
      <c r="E904" s="11">
        <f>($C$219-Table27[[#This Row],[Mass/%]])/$F$30</f>
        <v>0.22226643046820233</v>
      </c>
    </row>
    <row r="905" spans="1:5" x14ac:dyDescent="0.15">
      <c r="A905" s="4">
        <v>250.006</v>
      </c>
      <c r="B905" s="4">
        <v>437</v>
      </c>
      <c r="C905" s="4">
        <v>81.302670000000006</v>
      </c>
      <c r="D905" s="1">
        <v>5</v>
      </c>
      <c r="E905" s="11">
        <f>($C$219-Table27[[#This Row],[Mass/%]])/$F$30</f>
        <v>0.22233007398764465</v>
      </c>
    </row>
    <row r="906" spans="1:5" x14ac:dyDescent="0.15">
      <c r="A906" s="4">
        <v>250.00303</v>
      </c>
      <c r="B906" s="4">
        <v>437.5</v>
      </c>
      <c r="C906" s="4">
        <v>81.273799999999994</v>
      </c>
      <c r="D906" s="1">
        <v>5</v>
      </c>
      <c r="E906" s="11">
        <f>($C$219-Table27[[#This Row],[Mass/%]])/$F$30</f>
        <v>0.22279641622274626</v>
      </c>
    </row>
    <row r="907" spans="1:5" x14ac:dyDescent="0.15">
      <c r="A907" s="4">
        <v>250.01102</v>
      </c>
      <c r="B907" s="4">
        <v>438</v>
      </c>
      <c r="C907" s="4">
        <v>81.272090000000006</v>
      </c>
      <c r="D907" s="1">
        <v>5</v>
      </c>
      <c r="E907" s="11">
        <f>($C$219-Table27[[#This Row],[Mass/%]])/$F$30</f>
        <v>0.22282403815631116</v>
      </c>
    </row>
    <row r="908" spans="1:5" x14ac:dyDescent="0.15">
      <c r="A908" s="4">
        <v>250.00801000000001</v>
      </c>
      <c r="B908" s="4">
        <v>438.5</v>
      </c>
      <c r="C908" s="4">
        <v>81.245069999999998</v>
      </c>
      <c r="D908" s="1">
        <v>5</v>
      </c>
      <c r="E908" s="11">
        <f>($C$219-Table27[[#This Row],[Mass/%]])/$F$30</f>
        <v>0.22326049701299436</v>
      </c>
    </row>
    <row r="909" spans="1:5" x14ac:dyDescent="0.15">
      <c r="A909" s="4">
        <v>250.00599</v>
      </c>
      <c r="B909" s="4">
        <v>439</v>
      </c>
      <c r="C909" s="4">
        <v>81.227890000000002</v>
      </c>
      <c r="D909" s="1">
        <v>5</v>
      </c>
      <c r="E909" s="11">
        <f>($C$219-Table27[[#This Row],[Mass/%]])/$F$30</f>
        <v>0.22353800860284684</v>
      </c>
    </row>
    <row r="910" spans="1:5" x14ac:dyDescent="0.15">
      <c r="A910" s="4">
        <v>250.005</v>
      </c>
      <c r="B910" s="4">
        <v>439.5</v>
      </c>
      <c r="C910" s="4">
        <v>81.222110000000001</v>
      </c>
      <c r="D910" s="1">
        <v>5</v>
      </c>
      <c r="E910" s="11">
        <f>($C$219-Table27[[#This Row],[Mass/%]])/$F$30</f>
        <v>0.22363137396893229</v>
      </c>
    </row>
    <row r="911" spans="1:5" x14ac:dyDescent="0.15">
      <c r="A911" s="4">
        <v>250.00706</v>
      </c>
      <c r="B911" s="4">
        <v>440</v>
      </c>
      <c r="C911" s="4">
        <v>81.19726</v>
      </c>
      <c r="D911" s="1">
        <v>5</v>
      </c>
      <c r="E911" s="11">
        <f>($C$219-Table27[[#This Row],[Mass/%]])/$F$30</f>
        <v>0.22403278043038954</v>
      </c>
    </row>
    <row r="912" spans="1:5" x14ac:dyDescent="0.15">
      <c r="A912" s="4">
        <v>250.00595000000001</v>
      </c>
      <c r="B912" s="4">
        <v>440.5</v>
      </c>
      <c r="C912" s="4">
        <v>81.180000000000007</v>
      </c>
      <c r="D912" s="1">
        <v>5</v>
      </c>
      <c r="E912" s="11">
        <f>($C$219-Table27[[#This Row],[Mass/%]])/$F$30</f>
        <v>0.22431158427444386</v>
      </c>
    </row>
    <row r="913" spans="1:5" x14ac:dyDescent="0.15">
      <c r="A913" s="4">
        <v>250.00103999999999</v>
      </c>
      <c r="B913" s="4">
        <v>441</v>
      </c>
      <c r="C913" s="4">
        <v>81.168379999999999</v>
      </c>
      <c r="D913" s="1">
        <v>5</v>
      </c>
      <c r="E913" s="11">
        <f>($C$219-Table27[[#This Row],[Mass/%]])/$F$30</f>
        <v>0.22449928419726625</v>
      </c>
    </row>
    <row r="914" spans="1:5" x14ac:dyDescent="0.15">
      <c r="A914" s="4">
        <v>250.00201999999999</v>
      </c>
      <c r="B914" s="4">
        <v>441.5</v>
      </c>
      <c r="C914" s="4">
        <v>81.157139999999998</v>
      </c>
      <c r="D914" s="1">
        <v>5</v>
      </c>
      <c r="E914" s="11">
        <f>($C$219-Table27[[#This Row],[Mass/%]])/$F$30</f>
        <v>0.2246808459126296</v>
      </c>
    </row>
    <row r="915" spans="1:5" x14ac:dyDescent="0.15">
      <c r="A915" s="4">
        <v>250.00498999999999</v>
      </c>
      <c r="B915" s="4">
        <v>442</v>
      </c>
      <c r="C915" s="4">
        <v>81.13785</v>
      </c>
      <c r="D915" s="1">
        <v>5</v>
      </c>
      <c r="E915" s="11">
        <f>($C$219-Table27[[#This Row],[Mass/%]])/$F$30</f>
        <v>0.22499244070705657</v>
      </c>
    </row>
    <row r="916" spans="1:5" x14ac:dyDescent="0.15">
      <c r="A916" s="4">
        <v>250.00298000000001</v>
      </c>
      <c r="B916" s="4">
        <v>442.5</v>
      </c>
      <c r="C916" s="4">
        <v>81.122479999999996</v>
      </c>
      <c r="D916" s="1">
        <v>5</v>
      </c>
      <c r="E916" s="11">
        <f>($C$219-Table27[[#This Row],[Mass/%]])/$F$30</f>
        <v>0.22524071504559176</v>
      </c>
    </row>
    <row r="917" spans="1:5" x14ac:dyDescent="0.15">
      <c r="A917" s="4">
        <v>250.00796</v>
      </c>
      <c r="B917" s="4">
        <v>443</v>
      </c>
      <c r="C917" s="4">
        <v>81.128339999999994</v>
      </c>
      <c r="D917" s="1">
        <v>5</v>
      </c>
      <c r="E917" s="11">
        <f>($C$219-Table27[[#This Row],[Mass/%]])/$F$30</f>
        <v>0.22514605742530447</v>
      </c>
    </row>
    <row r="918" spans="1:5" x14ac:dyDescent="0.15">
      <c r="A918" s="4">
        <v>250.00497999999999</v>
      </c>
      <c r="B918" s="4">
        <v>443.5</v>
      </c>
      <c r="C918" s="4">
        <v>81.120540000000005</v>
      </c>
      <c r="D918" s="1">
        <v>5</v>
      </c>
      <c r="E918" s="11">
        <f>($C$219-Table27[[#This Row],[Mass/%]])/$F$30</f>
        <v>0.22527205220998706</v>
      </c>
    </row>
    <row r="919" spans="1:5" x14ac:dyDescent="0.15">
      <c r="A919" s="4">
        <v>250.00305</v>
      </c>
      <c r="B919" s="4">
        <v>444</v>
      </c>
      <c r="C919" s="4">
        <v>81.101349999999996</v>
      </c>
      <c r="D919" s="1">
        <v>5</v>
      </c>
      <c r="E919" s="11">
        <f>($C$219-Table27[[#This Row],[Mass/%]])/$F$30</f>
        <v>0.22558203168666183</v>
      </c>
    </row>
    <row r="920" spans="1:5" x14ac:dyDescent="0.15">
      <c r="A920" s="4">
        <v>250.00694999999999</v>
      </c>
      <c r="B920" s="4">
        <v>444.5</v>
      </c>
      <c r="C920" s="4">
        <v>81.070970000000003</v>
      </c>
      <c r="D920" s="1">
        <v>5</v>
      </c>
      <c r="E920" s="11">
        <f>($C$219-Table27[[#This Row],[Mass/%]])/$F$30</f>
        <v>0.22607276521982356</v>
      </c>
    </row>
    <row r="921" spans="1:5" x14ac:dyDescent="0.15">
      <c r="A921" s="4">
        <v>250.00294</v>
      </c>
      <c r="B921" s="4">
        <v>445</v>
      </c>
      <c r="C921" s="4">
        <v>81.064920000000001</v>
      </c>
      <c r="D921" s="1">
        <v>5</v>
      </c>
      <c r="E921" s="11">
        <f>($C$219-Table27[[#This Row],[Mass/%]])/$F$30</f>
        <v>0.22617049194384034</v>
      </c>
    </row>
    <row r="922" spans="1:5" x14ac:dyDescent="0.15">
      <c r="A922" s="4">
        <v>250.00498999999999</v>
      </c>
      <c r="B922" s="4">
        <v>445.5</v>
      </c>
      <c r="C922" s="4">
        <v>81.034199999999998</v>
      </c>
      <c r="D922" s="1">
        <v>5</v>
      </c>
      <c r="E922" s="11">
        <f>($C$219-Table27[[#This Row],[Mass/%]])/$F$30</f>
        <v>0.22666671755736018</v>
      </c>
    </row>
    <row r="923" spans="1:5" x14ac:dyDescent="0.15">
      <c r="A923" s="4">
        <v>250.00701000000001</v>
      </c>
      <c r="B923" s="4">
        <v>446</v>
      </c>
      <c r="C923" s="4">
        <v>81.020939999999996</v>
      </c>
      <c r="D923" s="1">
        <v>5</v>
      </c>
      <c r="E923" s="11">
        <f>($C$219-Table27[[#This Row],[Mass/%]])/$F$30</f>
        <v>0.22688090869132088</v>
      </c>
    </row>
    <row r="924" spans="1:5" x14ac:dyDescent="0.15">
      <c r="A924" s="4">
        <v>250.01</v>
      </c>
      <c r="B924" s="4">
        <v>446.5</v>
      </c>
      <c r="C924" s="4">
        <v>81.014840000000007</v>
      </c>
      <c r="D924" s="1">
        <v>5</v>
      </c>
      <c r="E924" s="11">
        <f>($C$219-Table27[[#This Row],[Mass/%]])/$F$30</f>
        <v>0.22697944307421364</v>
      </c>
    </row>
    <row r="925" spans="1:5" x14ac:dyDescent="0.15">
      <c r="A925" s="4">
        <v>250.00701000000001</v>
      </c>
      <c r="B925" s="4">
        <v>447</v>
      </c>
      <c r="C925" s="4">
        <v>80.990139999999997</v>
      </c>
      <c r="D925" s="1">
        <v>5</v>
      </c>
      <c r="E925" s="11">
        <f>($C$219-Table27[[#This Row],[Mass/%]])/$F$30</f>
        <v>0.22737842655904253</v>
      </c>
    </row>
    <row r="926" spans="1:5" x14ac:dyDescent="0.15">
      <c r="A926" s="4">
        <v>250.00801000000001</v>
      </c>
      <c r="B926" s="4">
        <v>447.5</v>
      </c>
      <c r="C926" s="4">
        <v>80.984380000000002</v>
      </c>
      <c r="D926" s="1">
        <v>5</v>
      </c>
      <c r="E926" s="11">
        <f>($C$219-Table27[[#This Row],[Mass/%]])/$F$30</f>
        <v>0.22747146886157743</v>
      </c>
    </row>
    <row r="927" spans="1:5" x14ac:dyDescent="0.15">
      <c r="A927" s="4">
        <v>250.01094000000001</v>
      </c>
      <c r="B927" s="4">
        <v>448</v>
      </c>
      <c r="C927" s="4">
        <v>80.974930000000001</v>
      </c>
      <c r="D927" s="1">
        <v>5</v>
      </c>
      <c r="E927" s="11">
        <f>($C$219-Table27[[#This Row],[Mass/%]])/$F$30</f>
        <v>0.22762411638917385</v>
      </c>
    </row>
    <row r="928" spans="1:5" x14ac:dyDescent="0.15">
      <c r="A928" s="4">
        <v>250.00597999999999</v>
      </c>
      <c r="B928" s="4">
        <v>448.5</v>
      </c>
      <c r="C928" s="4">
        <v>80.967190000000002</v>
      </c>
      <c r="D928" s="1">
        <v>5</v>
      </c>
      <c r="E928" s="11">
        <f>($C$219-Table27[[#This Row],[Mass/%]])/$F$30</f>
        <v>0.22774914198320517</v>
      </c>
    </row>
    <row r="929" spans="1:5" x14ac:dyDescent="0.15">
      <c r="A929" s="4">
        <v>249.99895000000001</v>
      </c>
      <c r="B929" s="4">
        <v>449</v>
      </c>
      <c r="C929" s="4">
        <v>80.934370000000001</v>
      </c>
      <c r="D929" s="1">
        <v>5</v>
      </c>
      <c r="E929" s="11">
        <f>($C$219-Table27[[#This Row],[Mass/%]])/$F$30</f>
        <v>0.22827928926952418</v>
      </c>
    </row>
    <row r="930" spans="1:5" x14ac:dyDescent="0.15">
      <c r="A930" s="4">
        <v>250.00503</v>
      </c>
      <c r="B930" s="4">
        <v>449.5</v>
      </c>
      <c r="C930" s="4">
        <v>80.932630000000003</v>
      </c>
      <c r="D930" s="1">
        <v>5</v>
      </c>
      <c r="E930" s="11">
        <f>($C$219-Table27[[#This Row],[Mass/%]])/$F$30</f>
        <v>0.22830739579841491</v>
      </c>
    </row>
    <row r="931" spans="1:5" x14ac:dyDescent="0.15">
      <c r="A931" s="4">
        <v>250.00801000000001</v>
      </c>
      <c r="B931" s="4">
        <v>450</v>
      </c>
      <c r="C931" s="4">
        <v>80.911519999999996</v>
      </c>
      <c r="D931" s="1">
        <v>5</v>
      </c>
      <c r="E931" s="11">
        <f>($C$219-Table27[[#This Row],[Mass/%]])/$F$30</f>
        <v>0.22864838937593465</v>
      </c>
    </row>
    <row r="932" spans="1:5" x14ac:dyDescent="0.15">
      <c r="A932" s="4">
        <v>250.00102999999999</v>
      </c>
      <c r="B932" s="4">
        <v>450.5</v>
      </c>
      <c r="C932" s="4">
        <v>80.896090000000001</v>
      </c>
      <c r="D932" s="1">
        <v>5</v>
      </c>
      <c r="E932" s="11">
        <f>($C$219-Table27[[#This Row],[Mass/%]])/$F$30</f>
        <v>0.22889763290512111</v>
      </c>
    </row>
    <row r="933" spans="1:5" x14ac:dyDescent="0.15">
      <c r="A933" s="4">
        <v>250.00102000000001</v>
      </c>
      <c r="B933" s="4">
        <v>451</v>
      </c>
      <c r="C933" s="4">
        <v>80.861770000000007</v>
      </c>
      <c r="D933" s="1">
        <v>5</v>
      </c>
      <c r="E933" s="11">
        <f>($C$219-Table27[[#This Row],[Mass/%]])/$F$30</f>
        <v>0.22945200995772516</v>
      </c>
    </row>
    <row r="934" spans="1:5" x14ac:dyDescent="0.15">
      <c r="A934" s="4">
        <v>249.99901</v>
      </c>
      <c r="B934" s="4">
        <v>451.5</v>
      </c>
      <c r="C934" s="4">
        <v>80.861710000000002</v>
      </c>
      <c r="D934" s="1">
        <v>5</v>
      </c>
      <c r="E934" s="11">
        <f>($C$219-Table27[[#This Row],[Mass/%]])/$F$30</f>
        <v>0.22945297914837665</v>
      </c>
    </row>
    <row r="935" spans="1:5" x14ac:dyDescent="0.15">
      <c r="A935" s="4">
        <v>250.00708</v>
      </c>
      <c r="B935" s="4">
        <v>452</v>
      </c>
      <c r="C935" s="4">
        <v>80.842770000000002</v>
      </c>
      <c r="D935" s="1">
        <v>5</v>
      </c>
      <c r="E935" s="11">
        <f>($C$219-Table27[[#This Row],[Mass/%]])/$F$30</f>
        <v>0.22975892033067041</v>
      </c>
    </row>
    <row r="936" spans="1:5" x14ac:dyDescent="0.15">
      <c r="A936" s="4">
        <v>250.00502</v>
      </c>
      <c r="B936" s="4">
        <v>452.5</v>
      </c>
      <c r="C936" s="4">
        <v>80.800250000000005</v>
      </c>
      <c r="D936" s="1">
        <v>5</v>
      </c>
      <c r="E936" s="11">
        <f>($C$219-Table27[[#This Row],[Mass/%]])/$F$30</f>
        <v>0.23044575343896662</v>
      </c>
    </row>
    <row r="937" spans="1:5" x14ac:dyDescent="0.15">
      <c r="A937" s="4">
        <v>250.00596999999999</v>
      </c>
      <c r="B937" s="4">
        <v>453</v>
      </c>
      <c r="C937" s="4">
        <v>80.815529999999995</v>
      </c>
      <c r="D937" s="1">
        <v>5</v>
      </c>
      <c r="E937" s="11">
        <f>($C$219-Table27[[#This Row],[Mass/%]])/$F$30</f>
        <v>0.23019893288640877</v>
      </c>
    </row>
    <row r="938" spans="1:5" x14ac:dyDescent="0.15">
      <c r="A938" s="4">
        <v>250.00796</v>
      </c>
      <c r="B938" s="4">
        <v>453.5</v>
      </c>
      <c r="C938" s="4">
        <v>80.804159999999996</v>
      </c>
      <c r="D938" s="1">
        <v>5</v>
      </c>
      <c r="E938" s="11">
        <f>($C$219-Table27[[#This Row],[Mass/%]])/$F$30</f>
        <v>0.23038259451485016</v>
      </c>
    </row>
    <row r="939" spans="1:5" x14ac:dyDescent="0.15">
      <c r="A939" s="4">
        <v>250.00398999999999</v>
      </c>
      <c r="B939" s="4">
        <v>454</v>
      </c>
      <c r="C939" s="4">
        <v>80.779309999999995</v>
      </c>
      <c r="D939" s="1">
        <v>5</v>
      </c>
      <c r="E939" s="11">
        <f>($C$219-Table27[[#This Row],[Mass/%]])/$F$30</f>
        <v>0.23078400097630741</v>
      </c>
    </row>
    <row r="940" spans="1:5" x14ac:dyDescent="0.15">
      <c r="A940" s="4">
        <v>250.00597999999999</v>
      </c>
      <c r="B940" s="4">
        <v>454.5</v>
      </c>
      <c r="C940" s="4">
        <v>80.765789999999996</v>
      </c>
      <c r="D940" s="1">
        <v>5</v>
      </c>
      <c r="E940" s="11">
        <f>($C$219-Table27[[#This Row],[Mass/%]])/$F$30</f>
        <v>0.23100239193642419</v>
      </c>
    </row>
    <row r="941" spans="1:5" x14ac:dyDescent="0.15">
      <c r="A941" s="4">
        <v>250.00604999999999</v>
      </c>
      <c r="B941" s="4">
        <v>455</v>
      </c>
      <c r="C941" s="4">
        <v>80.758200000000002</v>
      </c>
      <c r="D941" s="1">
        <v>5</v>
      </c>
      <c r="E941" s="11">
        <f>($C$219-Table27[[#This Row],[Mass/%]])/$F$30</f>
        <v>0.23112499455382693</v>
      </c>
    </row>
    <row r="942" spans="1:5" x14ac:dyDescent="0.15">
      <c r="A942" s="4">
        <v>250.00398000000001</v>
      </c>
      <c r="B942" s="4">
        <v>455.5</v>
      </c>
      <c r="C942" s="4">
        <v>80.744770000000003</v>
      </c>
      <c r="D942" s="1">
        <v>5</v>
      </c>
      <c r="E942" s="11">
        <f>($C$219-Table27[[#This Row],[Mass/%]])/$F$30</f>
        <v>0.2313419317279666</v>
      </c>
    </row>
    <row r="943" spans="1:5" x14ac:dyDescent="0.15">
      <c r="A943" s="4">
        <v>250.00700000000001</v>
      </c>
      <c r="B943" s="4">
        <v>456</v>
      </c>
      <c r="C943" s="4">
        <v>80.72748</v>
      </c>
      <c r="D943" s="1">
        <v>5</v>
      </c>
      <c r="E943" s="11">
        <f>($C$219-Table27[[#This Row],[Mass/%]])/$F$30</f>
        <v>0.23162122016734676</v>
      </c>
    </row>
    <row r="944" spans="1:5" x14ac:dyDescent="0.15">
      <c r="A944" s="4">
        <v>250.00301999999999</v>
      </c>
      <c r="B944" s="4">
        <v>456.5</v>
      </c>
      <c r="C944" s="4">
        <v>80.708349999999996</v>
      </c>
      <c r="D944" s="1">
        <v>5</v>
      </c>
      <c r="E944" s="11">
        <f>($C$219-Table27[[#This Row],[Mass/%]])/$F$30</f>
        <v>0.23193023045337005</v>
      </c>
    </row>
    <row r="945" spans="1:5" x14ac:dyDescent="0.15">
      <c r="A945" s="4">
        <v>250.00700000000001</v>
      </c>
      <c r="B945" s="4">
        <v>457</v>
      </c>
      <c r="C945" s="4">
        <v>80.700659999999999</v>
      </c>
      <c r="D945" s="1">
        <v>5</v>
      </c>
      <c r="E945" s="11">
        <f>($C$219-Table27[[#This Row],[Mass/%]])/$F$30</f>
        <v>0.23205444838852518</v>
      </c>
    </row>
    <row r="946" spans="1:5" x14ac:dyDescent="0.15">
      <c r="A946" s="4">
        <v>250.00495000000001</v>
      </c>
      <c r="B946" s="4">
        <v>457.5</v>
      </c>
      <c r="C946" s="4">
        <v>80.685299999999998</v>
      </c>
      <c r="D946" s="1">
        <v>5</v>
      </c>
      <c r="E946" s="11">
        <f>($C$219-Table27[[#This Row],[Mass/%]])/$F$30</f>
        <v>0.23230256119528508</v>
      </c>
    </row>
    <row r="947" spans="1:5" x14ac:dyDescent="0.15">
      <c r="A947" s="4">
        <v>250.00397000000001</v>
      </c>
      <c r="B947" s="4">
        <v>458</v>
      </c>
      <c r="C947" s="4">
        <v>80.66995</v>
      </c>
      <c r="D947" s="1">
        <v>5</v>
      </c>
      <c r="E947" s="11">
        <f>($C$219-Table27[[#This Row],[Mass/%]])/$F$30</f>
        <v>0.2325505124702697</v>
      </c>
    </row>
    <row r="948" spans="1:5" x14ac:dyDescent="0.15">
      <c r="A948" s="4">
        <v>250.00899000000001</v>
      </c>
      <c r="B948" s="4">
        <v>458.5</v>
      </c>
      <c r="C948" s="4">
        <v>80.660430000000005</v>
      </c>
      <c r="D948" s="1">
        <v>5</v>
      </c>
      <c r="E948" s="11">
        <f>($C$219-Table27[[#This Row],[Mass/%]])/$F$30</f>
        <v>0.23270429072029269</v>
      </c>
    </row>
    <row r="949" spans="1:5" x14ac:dyDescent="0.15">
      <c r="A949" s="4">
        <v>250.01002</v>
      </c>
      <c r="B949" s="4">
        <v>459</v>
      </c>
      <c r="C949" s="4">
        <v>80.644990000000007</v>
      </c>
      <c r="D949" s="1">
        <v>5</v>
      </c>
      <c r="E949" s="11">
        <f>($C$219-Table27[[#This Row],[Mass/%]])/$F$30</f>
        <v>0.23295369578125444</v>
      </c>
    </row>
    <row r="950" spans="1:5" x14ac:dyDescent="0.15">
      <c r="A950" s="4">
        <v>250.00599</v>
      </c>
      <c r="B950" s="4">
        <v>459.5</v>
      </c>
      <c r="C950" s="4">
        <v>80.646829999999994</v>
      </c>
      <c r="D950" s="1">
        <v>5</v>
      </c>
      <c r="E950" s="11">
        <f>($C$219-Table27[[#This Row],[Mass/%]])/$F$30</f>
        <v>0.23292397393461153</v>
      </c>
    </row>
    <row r="951" spans="1:5" x14ac:dyDescent="0.15">
      <c r="A951" s="4">
        <v>250.00197</v>
      </c>
      <c r="B951" s="4">
        <v>460</v>
      </c>
      <c r="C951" s="4">
        <v>80.620220000000003</v>
      </c>
      <c r="D951" s="1">
        <v>5</v>
      </c>
      <c r="E951" s="11">
        <f>($C$219-Table27[[#This Row],[Mass/%]])/$F$30</f>
        <v>0.23335380998850985</v>
      </c>
    </row>
    <row r="952" spans="1:5" x14ac:dyDescent="0.15">
      <c r="A952" s="4">
        <v>250.00002000000001</v>
      </c>
      <c r="B952" s="4">
        <v>460.5</v>
      </c>
      <c r="C952" s="4">
        <v>80.604749999999996</v>
      </c>
      <c r="D952" s="1">
        <v>5</v>
      </c>
      <c r="E952" s="11">
        <f>($C$219-Table27[[#This Row],[Mass/%]])/$F$30</f>
        <v>0.23360369964479746</v>
      </c>
    </row>
    <row r="953" spans="1:5" x14ac:dyDescent="0.15">
      <c r="A953" s="4">
        <v>250.001</v>
      </c>
      <c r="B953" s="4">
        <v>461</v>
      </c>
      <c r="C953" s="4">
        <v>80.597049999999996</v>
      </c>
      <c r="D953" s="1">
        <v>5</v>
      </c>
      <c r="E953" s="11">
        <f>($C$219-Table27[[#This Row],[Mass/%]])/$F$30</f>
        <v>0.23372807911172785</v>
      </c>
    </row>
    <row r="954" spans="1:5" x14ac:dyDescent="0.15">
      <c r="A954" s="4">
        <v>250.00402</v>
      </c>
      <c r="B954" s="4">
        <v>461.5</v>
      </c>
      <c r="C954" s="4">
        <v>80.581919999999997</v>
      </c>
      <c r="D954" s="1">
        <v>5</v>
      </c>
      <c r="E954" s="11">
        <f>($C$219-Table27[[#This Row],[Mass/%]])/$F$30</f>
        <v>0.23397247668765736</v>
      </c>
    </row>
    <row r="955" spans="1:5" x14ac:dyDescent="0.15">
      <c r="A955" s="4">
        <v>250.00997000000001</v>
      </c>
      <c r="B955" s="4">
        <v>462</v>
      </c>
      <c r="C955" s="4">
        <v>80.574060000000003</v>
      </c>
      <c r="D955" s="1">
        <v>5</v>
      </c>
      <c r="E955" s="11">
        <f>($C$219-Table27[[#This Row],[Mass/%]])/$F$30</f>
        <v>0.23409944066299143</v>
      </c>
    </row>
    <row r="956" spans="1:5" x14ac:dyDescent="0.15">
      <c r="A956" s="4">
        <v>250.00398000000001</v>
      </c>
      <c r="B956" s="4">
        <v>462.5</v>
      </c>
      <c r="C956" s="4">
        <v>80.560580000000002</v>
      </c>
      <c r="D956" s="1">
        <v>5</v>
      </c>
      <c r="E956" s="11">
        <f>($C$219-Table27[[#This Row],[Mass/%]])/$F$30</f>
        <v>0.23431718549600727</v>
      </c>
    </row>
    <row r="957" spans="1:5" x14ac:dyDescent="0.15">
      <c r="A957" s="4">
        <v>250.00704999999999</v>
      </c>
      <c r="B957" s="4">
        <v>463</v>
      </c>
      <c r="C957" s="4">
        <v>80.551060000000007</v>
      </c>
      <c r="D957" s="1">
        <v>5</v>
      </c>
      <c r="E957" s="11">
        <f>($C$219-Table27[[#This Row],[Mass/%]])/$F$30</f>
        <v>0.23447096374603027</v>
      </c>
    </row>
    <row r="958" spans="1:5" x14ac:dyDescent="0.15">
      <c r="A958" s="4">
        <v>250.01602</v>
      </c>
      <c r="B958" s="4">
        <v>463.5</v>
      </c>
      <c r="C958" s="4">
        <v>80.529920000000004</v>
      </c>
      <c r="D958" s="1">
        <v>5</v>
      </c>
      <c r="E958" s="11">
        <f>($C$219-Table27[[#This Row],[Mass/%]])/$F$30</f>
        <v>0.23481244191887563</v>
      </c>
    </row>
    <row r="959" spans="1:5" x14ac:dyDescent="0.15">
      <c r="A959" s="4">
        <v>250.01301000000001</v>
      </c>
      <c r="B959" s="4">
        <v>464</v>
      </c>
      <c r="C959" s="4">
        <v>80.512789999999995</v>
      </c>
      <c r="D959" s="1">
        <v>5</v>
      </c>
      <c r="E959" s="11">
        <f>($C$219-Table27[[#This Row],[Mass/%]])/$F$30</f>
        <v>0.23508914584985213</v>
      </c>
    </row>
    <row r="960" spans="1:5" x14ac:dyDescent="0.15">
      <c r="A960" s="4">
        <v>250.00496999999999</v>
      </c>
      <c r="B960" s="4">
        <v>464.5</v>
      </c>
      <c r="C960" s="4">
        <v>80.493489999999994</v>
      </c>
      <c r="D960" s="1">
        <v>5</v>
      </c>
      <c r="E960" s="11">
        <f>($C$219-Table27[[#This Row],[Mass/%]])/$F$30</f>
        <v>0.23540090217605436</v>
      </c>
    </row>
    <row r="961" spans="1:5" x14ac:dyDescent="0.15">
      <c r="A961" s="4">
        <v>249.99897000000001</v>
      </c>
      <c r="B961" s="4">
        <v>465</v>
      </c>
      <c r="C961" s="4">
        <v>80.485919999999993</v>
      </c>
      <c r="D961" s="1">
        <v>5</v>
      </c>
      <c r="E961" s="11">
        <f>($C$219-Table27[[#This Row],[Mass/%]])/$F$30</f>
        <v>0.23552318172990674</v>
      </c>
    </row>
    <row r="962" spans="1:5" x14ac:dyDescent="0.15">
      <c r="A962" s="4">
        <v>250.00102000000001</v>
      </c>
      <c r="B962" s="4">
        <v>465.5</v>
      </c>
      <c r="C962" s="4">
        <v>80.466809999999995</v>
      </c>
      <c r="D962" s="1">
        <v>5</v>
      </c>
      <c r="E962" s="11">
        <f>($C$219-Table27[[#This Row],[Mass/%]])/$F$30</f>
        <v>0.23583186895237948</v>
      </c>
    </row>
    <row r="963" spans="1:5" x14ac:dyDescent="0.15">
      <c r="A963" s="4">
        <v>250.00603000000001</v>
      </c>
      <c r="B963" s="4">
        <v>466</v>
      </c>
      <c r="C963" s="4">
        <v>80.434150000000002</v>
      </c>
      <c r="D963" s="1">
        <v>5</v>
      </c>
      <c r="E963" s="11">
        <f>($C$219-Table27[[#This Row],[Mass/%]])/$F$30</f>
        <v>0.23635943173029458</v>
      </c>
    </row>
    <row r="964" spans="1:5" x14ac:dyDescent="0.15">
      <c r="A964" s="4">
        <v>250.00801999999999</v>
      </c>
      <c r="B964" s="4">
        <v>466.5</v>
      </c>
      <c r="C964" s="4">
        <v>80.430260000000004</v>
      </c>
      <c r="D964" s="1">
        <v>5</v>
      </c>
      <c r="E964" s="11">
        <f>($C$219-Table27[[#This Row],[Mass/%]])/$F$30</f>
        <v>0.23642226759086071</v>
      </c>
    </row>
    <row r="965" spans="1:5" x14ac:dyDescent="0.15">
      <c r="A965" s="4">
        <v>250.00400999999999</v>
      </c>
      <c r="B965" s="4">
        <v>467</v>
      </c>
      <c r="C965" s="4">
        <v>80.430350000000004</v>
      </c>
      <c r="D965" s="1">
        <v>5</v>
      </c>
      <c r="E965" s="11">
        <f>($C$219-Table27[[#This Row],[Mass/%]])/$F$30</f>
        <v>0.23642081380488361</v>
      </c>
    </row>
    <row r="966" spans="1:5" x14ac:dyDescent="0.15">
      <c r="A966" s="4">
        <v>250.00503</v>
      </c>
      <c r="B966" s="4">
        <v>467.5</v>
      </c>
      <c r="C966" s="4">
        <v>80.405410000000003</v>
      </c>
      <c r="D966" s="1">
        <v>5</v>
      </c>
      <c r="E966" s="11">
        <f>($C$219-Table27[[#This Row],[Mass/%]])/$F$30</f>
        <v>0.23682367405231797</v>
      </c>
    </row>
    <row r="967" spans="1:5" x14ac:dyDescent="0.15">
      <c r="A967" s="4">
        <v>250.00497999999999</v>
      </c>
      <c r="B967" s="4">
        <v>468</v>
      </c>
      <c r="C967" s="4">
        <v>80.395859999999999</v>
      </c>
      <c r="D967" s="1">
        <v>5</v>
      </c>
      <c r="E967" s="11">
        <f>($C$219-Table27[[#This Row],[Mass/%]])/$F$30</f>
        <v>0.2369779368976668</v>
      </c>
    </row>
    <row r="968" spans="1:5" x14ac:dyDescent="0.15">
      <c r="A968" s="4">
        <v>250.00103999999999</v>
      </c>
      <c r="B968" s="4">
        <v>468.5</v>
      </c>
      <c r="C968" s="4">
        <v>80.399789999999996</v>
      </c>
      <c r="D968" s="1">
        <v>5</v>
      </c>
      <c r="E968" s="11">
        <f>($C$219-Table27[[#This Row],[Mass/%]])/$F$30</f>
        <v>0.23691445490999977</v>
      </c>
    </row>
    <row r="969" spans="1:5" x14ac:dyDescent="0.15">
      <c r="A969" s="4">
        <v>250.00595000000001</v>
      </c>
      <c r="B969" s="4">
        <v>469</v>
      </c>
      <c r="C969" s="4">
        <v>80.380439999999993</v>
      </c>
      <c r="D969" s="1">
        <v>5</v>
      </c>
      <c r="E969" s="11">
        <f>($C$219-Table27[[#This Row],[Mass/%]])/$F$30</f>
        <v>0.23722701889507819</v>
      </c>
    </row>
    <row r="970" spans="1:5" x14ac:dyDescent="0.15">
      <c r="A970" s="4">
        <v>250.00601</v>
      </c>
      <c r="B970" s="4">
        <v>469.5</v>
      </c>
      <c r="C970" s="4">
        <v>80.346029999999999</v>
      </c>
      <c r="D970" s="1">
        <v>5</v>
      </c>
      <c r="E970" s="11">
        <f>($C$219-Table27[[#This Row],[Mass/%]])/$F$30</f>
        <v>0.23778284973365935</v>
      </c>
    </row>
    <row r="971" spans="1:5" x14ac:dyDescent="0.15">
      <c r="A971" s="4">
        <v>250.00700000000001</v>
      </c>
      <c r="B971" s="4">
        <v>470</v>
      </c>
      <c r="C971" s="4">
        <v>80.332620000000006</v>
      </c>
      <c r="D971" s="1">
        <v>5</v>
      </c>
      <c r="E971" s="11">
        <f>($C$219-Table27[[#This Row],[Mass/%]])/$F$30</f>
        <v>0.23799946384424844</v>
      </c>
    </row>
    <row r="972" spans="1:5" x14ac:dyDescent="0.15">
      <c r="A972" s="4">
        <v>250.00697</v>
      </c>
      <c r="B972" s="4">
        <v>470.5</v>
      </c>
      <c r="C972" s="4">
        <v>80.309380000000004</v>
      </c>
      <c r="D972" s="1">
        <v>5</v>
      </c>
      <c r="E972" s="11">
        <f>($C$219-Table27[[#This Row],[Mass/%]])/$F$30</f>
        <v>0.238374863689893</v>
      </c>
    </row>
    <row r="973" spans="1:5" x14ac:dyDescent="0.15">
      <c r="A973" s="4">
        <v>250.00494</v>
      </c>
      <c r="B973" s="4">
        <v>471</v>
      </c>
      <c r="C973" s="4">
        <v>80.288380000000004</v>
      </c>
      <c r="D973" s="1">
        <v>5</v>
      </c>
      <c r="E973" s="11">
        <f>($C$219-Table27[[#This Row],[Mass/%]])/$F$30</f>
        <v>0.23871408041788506</v>
      </c>
    </row>
    <row r="974" spans="1:5" x14ac:dyDescent="0.15">
      <c r="A974" s="4">
        <v>250.00496000000001</v>
      </c>
      <c r="B974" s="4">
        <v>471.5</v>
      </c>
      <c r="C974" s="4">
        <v>80.282480000000007</v>
      </c>
      <c r="D974" s="1">
        <v>5</v>
      </c>
      <c r="E974" s="11">
        <f>($C$219-Table27[[#This Row],[Mass/%]])/$F$30</f>
        <v>0.23880938416527323</v>
      </c>
    </row>
    <row r="975" spans="1:5" x14ac:dyDescent="0.15">
      <c r="A975" s="4">
        <v>250.00698</v>
      </c>
      <c r="B975" s="4">
        <v>472</v>
      </c>
      <c r="C975" s="4">
        <v>80.271029999999996</v>
      </c>
      <c r="D975" s="1">
        <v>5</v>
      </c>
      <c r="E975" s="11">
        <f>($C$219-Table27[[#This Row],[Mass/%]])/$F$30</f>
        <v>0.2389943380479167</v>
      </c>
    </row>
    <row r="976" spans="1:5" x14ac:dyDescent="0.15">
      <c r="A976" s="4">
        <v>250.00694999999999</v>
      </c>
      <c r="B976" s="4">
        <v>472.5</v>
      </c>
      <c r="C976" s="4">
        <v>80.259450000000001</v>
      </c>
      <c r="D976" s="1">
        <v>5</v>
      </c>
      <c r="E976" s="11">
        <f>($C$219-Table27[[#This Row],[Mass/%]])/$F$30</f>
        <v>0.23918139184363793</v>
      </c>
    </row>
    <row r="977" spans="1:5" x14ac:dyDescent="0.15">
      <c r="A977" s="4">
        <v>250.00294</v>
      </c>
      <c r="B977" s="4">
        <v>473</v>
      </c>
      <c r="C977" s="4">
        <v>80.244029999999995</v>
      </c>
      <c r="D977" s="1">
        <v>5</v>
      </c>
      <c r="E977" s="11">
        <f>($C$219-Table27[[#This Row],[Mass/%]])/$F$30</f>
        <v>0.23943047384104932</v>
      </c>
    </row>
    <row r="978" spans="1:5" x14ac:dyDescent="0.15">
      <c r="A978" s="4">
        <v>250.00801999999999</v>
      </c>
      <c r="B978" s="4">
        <v>473.5</v>
      </c>
      <c r="C978" s="4">
        <v>80.238699999999994</v>
      </c>
      <c r="D978" s="1">
        <v>5</v>
      </c>
      <c r="E978" s="11">
        <f>($C$219-Table27[[#This Row],[Mass/%]])/$F$30</f>
        <v>0.23951657027724924</v>
      </c>
    </row>
    <row r="979" spans="1:5" x14ac:dyDescent="0.15">
      <c r="A979" s="4">
        <v>250.00201000000001</v>
      </c>
      <c r="B979" s="4">
        <v>474</v>
      </c>
      <c r="C979" s="4">
        <v>80.217349999999996</v>
      </c>
      <c r="D979" s="1">
        <v>5</v>
      </c>
      <c r="E979" s="11">
        <f>($C$219-Table27[[#This Row],[Mass/%]])/$F$30</f>
        <v>0.23986144061737444</v>
      </c>
    </row>
    <row r="980" spans="1:5" x14ac:dyDescent="0.15">
      <c r="A980" s="4">
        <v>250.00101000000001</v>
      </c>
      <c r="B980" s="4">
        <v>474.5</v>
      </c>
      <c r="C980" s="4">
        <v>80.203940000000003</v>
      </c>
      <c r="D980" s="1">
        <v>5</v>
      </c>
      <c r="E980" s="11">
        <f>($C$219-Table27[[#This Row],[Mass/%]])/$F$30</f>
        <v>0.24007805472796354</v>
      </c>
    </row>
    <row r="981" spans="1:5" x14ac:dyDescent="0.15">
      <c r="A981" s="4">
        <v>250.00300999999999</v>
      </c>
      <c r="B981" s="4">
        <v>475</v>
      </c>
      <c r="C981" s="4">
        <v>80.188680000000005</v>
      </c>
      <c r="D981" s="1">
        <v>5</v>
      </c>
      <c r="E981" s="11">
        <f>($C$219-Table27[[#This Row],[Mass/%]])/$F$30</f>
        <v>0.24032455221697105</v>
      </c>
    </row>
    <row r="982" spans="1:5" x14ac:dyDescent="0.15">
      <c r="A982" s="4">
        <v>250.00299999999999</v>
      </c>
      <c r="B982" s="4">
        <v>475.5</v>
      </c>
      <c r="C982" s="4">
        <v>80.173320000000004</v>
      </c>
      <c r="D982" s="1">
        <v>5</v>
      </c>
      <c r="E982" s="11">
        <f>($C$219-Table27[[#This Row],[Mass/%]])/$F$30</f>
        <v>0.24057266502373095</v>
      </c>
    </row>
    <row r="983" spans="1:5" x14ac:dyDescent="0.15">
      <c r="A983" s="4">
        <v>250.00303</v>
      </c>
      <c r="B983" s="4">
        <v>476</v>
      </c>
      <c r="C983" s="4">
        <v>80.161810000000003</v>
      </c>
      <c r="D983" s="1">
        <v>5</v>
      </c>
      <c r="E983" s="11">
        <f>($C$219-Table27[[#This Row],[Mass/%]])/$F$30</f>
        <v>0.24075858809702566</v>
      </c>
    </row>
    <row r="984" spans="1:5" x14ac:dyDescent="0.15">
      <c r="A984" s="4">
        <v>250.00502</v>
      </c>
      <c r="B984" s="4">
        <v>476.5</v>
      </c>
      <c r="C984" s="4">
        <v>80.150310000000005</v>
      </c>
      <c r="D984" s="1">
        <v>5</v>
      </c>
      <c r="E984" s="11">
        <f>($C$219-Table27[[#This Row],[Mass/%]])/$F$30</f>
        <v>0.24094434963854508</v>
      </c>
    </row>
    <row r="985" spans="1:5" x14ac:dyDescent="0.15">
      <c r="A985" s="4">
        <v>250.00700000000001</v>
      </c>
      <c r="B985" s="4">
        <v>477</v>
      </c>
      <c r="C985" s="4">
        <v>80.135009999999994</v>
      </c>
      <c r="D985" s="1">
        <v>5</v>
      </c>
      <c r="E985" s="11">
        <f>($C$219-Table27[[#This Row],[Mass/%]])/$F$30</f>
        <v>0.24119149325465375</v>
      </c>
    </row>
    <row r="986" spans="1:5" x14ac:dyDescent="0.15">
      <c r="A986" s="4">
        <v>250.00399999999999</v>
      </c>
      <c r="B986" s="4">
        <v>477.5</v>
      </c>
      <c r="C986" s="4">
        <v>80.131240000000005</v>
      </c>
      <c r="D986" s="1">
        <v>5</v>
      </c>
      <c r="E986" s="11">
        <f>($C$219-Table27[[#This Row],[Mass/%]])/$F$30</f>
        <v>0.24125239073391688</v>
      </c>
    </row>
    <row r="987" spans="1:5" x14ac:dyDescent="0.15">
      <c r="A987" s="4">
        <v>250.00398000000001</v>
      </c>
      <c r="B987" s="4">
        <v>478</v>
      </c>
      <c r="C987" s="4">
        <v>80.117800000000003</v>
      </c>
      <c r="D987" s="1">
        <v>5</v>
      </c>
      <c r="E987" s="11">
        <f>($C$219-Table27[[#This Row],[Mass/%]])/$F$30</f>
        <v>0.24146948943983185</v>
      </c>
    </row>
    <row r="988" spans="1:5" x14ac:dyDescent="0.15">
      <c r="A988" s="4">
        <v>250.011</v>
      </c>
      <c r="B988" s="4">
        <v>478.5</v>
      </c>
      <c r="C988" s="4">
        <v>80.100570000000005</v>
      </c>
      <c r="D988" s="1">
        <v>5</v>
      </c>
      <c r="E988" s="11">
        <f>($C$219-Table27[[#This Row],[Mass/%]])/$F$30</f>
        <v>0.24174780868856052</v>
      </c>
    </row>
    <row r="989" spans="1:5" x14ac:dyDescent="0.15">
      <c r="A989" s="4">
        <v>250.00801000000001</v>
      </c>
      <c r="B989" s="4">
        <v>479</v>
      </c>
      <c r="C989" s="4">
        <v>80.09487</v>
      </c>
      <c r="D989" s="1">
        <v>5</v>
      </c>
      <c r="E989" s="11">
        <f>($C$219-Table27[[#This Row],[Mass/%]])/$F$30</f>
        <v>0.24183988180044413</v>
      </c>
    </row>
    <row r="990" spans="1:5" x14ac:dyDescent="0.15">
      <c r="A990" s="4">
        <v>250.00801999999999</v>
      </c>
      <c r="B990" s="4">
        <v>479.5</v>
      </c>
      <c r="C990" s="4">
        <v>80.083150000000003</v>
      </c>
      <c r="D990" s="1">
        <v>5</v>
      </c>
      <c r="E990" s="11">
        <f>($C$219-Table27[[#This Row],[Mass/%]])/$F$30</f>
        <v>0.24202919704101869</v>
      </c>
    </row>
    <row r="991" spans="1:5" x14ac:dyDescent="0.15">
      <c r="A991" s="4">
        <v>250.00698</v>
      </c>
      <c r="B991" s="4">
        <v>480</v>
      </c>
      <c r="C991" s="4">
        <v>80.058210000000003</v>
      </c>
      <c r="D991" s="1">
        <v>5</v>
      </c>
      <c r="E991" s="11">
        <f>($C$219-Table27[[#This Row],[Mass/%]])/$F$30</f>
        <v>0.24243205728845307</v>
      </c>
    </row>
    <row r="992" spans="1:5" x14ac:dyDescent="0.15">
      <c r="A992" s="4">
        <v>250.00403</v>
      </c>
      <c r="B992" s="4">
        <v>480.5</v>
      </c>
      <c r="C992" s="4">
        <v>80.043049999999994</v>
      </c>
      <c r="D992" s="1">
        <v>5</v>
      </c>
      <c r="E992" s="11">
        <f>($C$219-Table27[[#This Row],[Mass/%]])/$F$30</f>
        <v>0.24267693945970842</v>
      </c>
    </row>
    <row r="993" spans="1:5" x14ac:dyDescent="0.15">
      <c r="A993" s="4">
        <v>250.00407000000001</v>
      </c>
      <c r="B993" s="4">
        <v>481</v>
      </c>
      <c r="C993" s="4">
        <v>80.021879999999996</v>
      </c>
      <c r="D993" s="1">
        <v>5</v>
      </c>
      <c r="E993" s="11">
        <f>($C$219-Table27[[#This Row],[Mass/%]])/$F$30</f>
        <v>0.24301890222787942</v>
      </c>
    </row>
    <row r="994" spans="1:5" x14ac:dyDescent="0.15">
      <c r="A994" s="4">
        <v>250.00800000000001</v>
      </c>
      <c r="B994" s="4">
        <v>481.5</v>
      </c>
      <c r="C994" s="4">
        <v>80.012420000000006</v>
      </c>
      <c r="D994" s="1">
        <v>5</v>
      </c>
      <c r="E994" s="11">
        <f>($C$219-Table27[[#This Row],[Mass/%]])/$F$30</f>
        <v>0.2431717112872509</v>
      </c>
    </row>
    <row r="995" spans="1:5" x14ac:dyDescent="0.15">
      <c r="A995" s="4">
        <v>250.00503</v>
      </c>
      <c r="B995" s="4">
        <v>482</v>
      </c>
      <c r="C995" s="4">
        <v>79.993070000000003</v>
      </c>
      <c r="D995" s="1">
        <v>5</v>
      </c>
      <c r="E995" s="11">
        <f>($C$219-Table27[[#This Row],[Mass/%]])/$F$30</f>
        <v>0.24348427527232933</v>
      </c>
    </row>
    <row r="996" spans="1:5" x14ac:dyDescent="0.15">
      <c r="A996" s="4">
        <v>250.01096999999999</v>
      </c>
      <c r="B996" s="4">
        <v>482.5</v>
      </c>
      <c r="C996" s="4">
        <v>80.000900000000001</v>
      </c>
      <c r="D996" s="1">
        <v>5</v>
      </c>
      <c r="E996" s="11">
        <f>($C$219-Table27[[#This Row],[Mass/%]])/$F$30</f>
        <v>0.2433577958923209</v>
      </c>
    </row>
    <row r="997" spans="1:5" x14ac:dyDescent="0.15">
      <c r="A997" s="4">
        <v>250.00899999999999</v>
      </c>
      <c r="B997" s="4">
        <v>483</v>
      </c>
      <c r="C997" s="4">
        <v>79.985429999999994</v>
      </c>
      <c r="D997" s="1">
        <v>5</v>
      </c>
      <c r="E997" s="11">
        <f>($C$219-Table27[[#This Row],[Mass/%]])/$F$30</f>
        <v>0.24360768554860848</v>
      </c>
    </row>
    <row r="998" spans="1:5" x14ac:dyDescent="0.15">
      <c r="A998" s="4">
        <v>250.00496999999999</v>
      </c>
      <c r="B998" s="4">
        <v>483.5</v>
      </c>
      <c r="C998" s="4">
        <v>79.979709999999997</v>
      </c>
      <c r="D998" s="1">
        <v>5</v>
      </c>
      <c r="E998" s="11">
        <f>($C$219-Table27[[#This Row],[Mass/%]])/$F$30</f>
        <v>0.24370008172404245</v>
      </c>
    </row>
    <row r="999" spans="1:5" x14ac:dyDescent="0.15">
      <c r="A999" s="4">
        <v>250.00300999999999</v>
      </c>
      <c r="B999" s="4">
        <v>484</v>
      </c>
      <c r="C999" s="4">
        <v>79.960440000000006</v>
      </c>
      <c r="D999" s="1">
        <v>5</v>
      </c>
      <c r="E999" s="11">
        <f>($C$219-Table27[[#This Row],[Mass/%]])/$F$30</f>
        <v>0.24401135345491884</v>
      </c>
    </row>
    <row r="1000" spans="1:5" x14ac:dyDescent="0.15">
      <c r="A1000" s="4">
        <v>250.00704999999999</v>
      </c>
      <c r="B1000" s="4">
        <v>484.5</v>
      </c>
      <c r="C1000" s="4">
        <v>79.954930000000004</v>
      </c>
      <c r="D1000" s="1">
        <v>5</v>
      </c>
      <c r="E1000" s="11">
        <f>($C$219-Table27[[#This Row],[Mass/%]])/$F$30</f>
        <v>0.24410035746307296</v>
      </c>
    </row>
    <row r="1001" spans="1:5" x14ac:dyDescent="0.15">
      <c r="A1001" s="4">
        <v>250.00201000000001</v>
      </c>
      <c r="B1001" s="4">
        <v>485</v>
      </c>
      <c r="C1001" s="4">
        <v>79.931669999999997</v>
      </c>
      <c r="D1001" s="1">
        <v>5</v>
      </c>
      <c r="E1001" s="11">
        <f>($C$219-Table27[[#This Row],[Mass/%]])/$F$30</f>
        <v>0.24447608037226806</v>
      </c>
    </row>
    <row r="1002" spans="1:5" x14ac:dyDescent="0.15">
      <c r="A1002" s="4">
        <v>249.99793</v>
      </c>
      <c r="B1002" s="4">
        <v>485.5</v>
      </c>
      <c r="C1002" s="4">
        <v>79.920029999999997</v>
      </c>
      <c r="D1002" s="1">
        <v>5</v>
      </c>
      <c r="E1002" s="11">
        <f>($C$219-Table27[[#This Row],[Mass/%]])/$F$30</f>
        <v>0.24466410335864081</v>
      </c>
    </row>
    <row r="1003" spans="1:5" x14ac:dyDescent="0.15">
      <c r="A1003" s="4">
        <v>250.00200000000001</v>
      </c>
      <c r="B1003" s="4">
        <v>486</v>
      </c>
      <c r="C1003" s="4">
        <v>79.893299999999996</v>
      </c>
      <c r="D1003" s="1">
        <v>5</v>
      </c>
      <c r="E1003" s="11">
        <f>($C$219-Table27[[#This Row],[Mass/%]])/$F$30</f>
        <v>0.24509587779384209</v>
      </c>
    </row>
    <row r="1004" spans="1:5" x14ac:dyDescent="0.15">
      <c r="A1004" s="4">
        <v>250.00299999999999</v>
      </c>
      <c r="B1004" s="4">
        <v>486.5</v>
      </c>
      <c r="C1004" s="4">
        <v>79.87433</v>
      </c>
      <c r="D1004" s="1">
        <v>5</v>
      </c>
      <c r="E1004" s="11">
        <f>($C$219-Table27[[#This Row],[Mass/%]])/$F$30</f>
        <v>0.24540230357146151</v>
      </c>
    </row>
    <row r="1005" spans="1:5" x14ac:dyDescent="0.15">
      <c r="A1005" s="4">
        <v>250.00398999999999</v>
      </c>
      <c r="B1005" s="4">
        <v>487</v>
      </c>
      <c r="C1005" s="4">
        <v>79.866590000000002</v>
      </c>
      <c r="D1005" s="1">
        <v>5</v>
      </c>
      <c r="E1005" s="11">
        <f>($C$219-Table27[[#This Row],[Mass/%]])/$F$30</f>
        <v>0.24552732916549283</v>
      </c>
    </row>
    <row r="1006" spans="1:5" x14ac:dyDescent="0.15">
      <c r="A1006" s="4">
        <v>250.00497999999999</v>
      </c>
      <c r="B1006" s="4">
        <v>487.5</v>
      </c>
      <c r="C1006" s="4">
        <v>79.864660000000001</v>
      </c>
      <c r="D1006" s="1">
        <v>5</v>
      </c>
      <c r="E1006" s="11">
        <f>($C$219-Table27[[#This Row],[Mass/%]])/$F$30</f>
        <v>0.24555850479811309</v>
      </c>
    </row>
    <row r="1007" spans="1:5" x14ac:dyDescent="0.15">
      <c r="A1007" s="4">
        <v>250.01202000000001</v>
      </c>
      <c r="B1007" s="4">
        <v>488</v>
      </c>
      <c r="C1007" s="4">
        <v>79.845370000000003</v>
      </c>
      <c r="D1007" s="1">
        <v>5</v>
      </c>
      <c r="E1007" s="11">
        <f>($C$219-Table27[[#This Row],[Mass/%]])/$F$30</f>
        <v>0.24587009959254003</v>
      </c>
    </row>
    <row r="1008" spans="1:5" x14ac:dyDescent="0.15">
      <c r="A1008" s="4">
        <v>250.00998999999999</v>
      </c>
      <c r="B1008" s="4">
        <v>488.5</v>
      </c>
      <c r="C1008" s="4">
        <v>79.849320000000006</v>
      </c>
      <c r="D1008" s="1">
        <v>5</v>
      </c>
      <c r="E1008" s="11">
        <f>($C$219-Table27[[#This Row],[Mass/%]])/$F$30</f>
        <v>0.24580629454132244</v>
      </c>
    </row>
    <row r="1009" spans="1:5" x14ac:dyDescent="0.15">
      <c r="A1009" s="4">
        <v>250.00699</v>
      </c>
      <c r="B1009" s="4">
        <v>489</v>
      </c>
      <c r="C1009" s="4">
        <v>79.822460000000007</v>
      </c>
      <c r="D1009" s="1">
        <v>5</v>
      </c>
      <c r="E1009" s="11">
        <f>($C$219-Table27[[#This Row],[Mass/%]])/$F$30</f>
        <v>0.24624016888960176</v>
      </c>
    </row>
    <row r="1010" spans="1:5" x14ac:dyDescent="0.15">
      <c r="A1010" s="4">
        <v>250.00397000000001</v>
      </c>
      <c r="B1010" s="4">
        <v>489.5</v>
      </c>
      <c r="C1010" s="4">
        <v>79.818539999999999</v>
      </c>
      <c r="D1010" s="1">
        <v>5</v>
      </c>
      <c r="E1010" s="11">
        <f>($C$219-Table27[[#This Row],[Mass/%]])/$F$30</f>
        <v>0.24630348934549373</v>
      </c>
    </row>
    <row r="1011" spans="1:5" x14ac:dyDescent="0.15">
      <c r="A1011" s="4">
        <v>250.00799000000001</v>
      </c>
      <c r="B1011" s="4">
        <v>490</v>
      </c>
      <c r="C1011" s="4">
        <v>79.795659999999998</v>
      </c>
      <c r="D1011" s="1">
        <v>5</v>
      </c>
      <c r="E1011" s="11">
        <f>($C$219-Table27[[#This Row],[Mass/%]])/$F$30</f>
        <v>0.24667307404722982</v>
      </c>
    </row>
    <row r="1012" spans="1:5" x14ac:dyDescent="0.15">
      <c r="A1012" s="4">
        <v>250.00095999999999</v>
      </c>
      <c r="B1012" s="4">
        <v>490.5</v>
      </c>
      <c r="C1012" s="4">
        <v>79.782219999999995</v>
      </c>
      <c r="D1012" s="1">
        <v>5</v>
      </c>
      <c r="E1012" s="11">
        <f>($C$219-Table27[[#This Row],[Mass/%]])/$F$30</f>
        <v>0.24689017275314479</v>
      </c>
    </row>
    <row r="1013" spans="1:5" x14ac:dyDescent="0.15">
      <c r="A1013" s="4">
        <v>250.00900999999999</v>
      </c>
      <c r="B1013" s="4">
        <v>491</v>
      </c>
      <c r="C1013" s="4">
        <v>79.776409999999998</v>
      </c>
      <c r="D1013" s="1">
        <v>5</v>
      </c>
      <c r="E1013" s="11">
        <f>($C$219-Table27[[#This Row],[Mass/%]])/$F$30</f>
        <v>0.24698402271455586</v>
      </c>
    </row>
    <row r="1014" spans="1:5" x14ac:dyDescent="0.15">
      <c r="A1014" s="4">
        <v>250.00396000000001</v>
      </c>
      <c r="B1014" s="4">
        <v>491.5</v>
      </c>
      <c r="C1014" s="4">
        <v>79.762919999999994</v>
      </c>
      <c r="D1014" s="1">
        <v>5</v>
      </c>
      <c r="E1014" s="11">
        <f>($C$219-Table27[[#This Row],[Mass/%]])/$F$30</f>
        <v>0.24720192907934702</v>
      </c>
    </row>
    <row r="1015" spans="1:5" x14ac:dyDescent="0.15">
      <c r="A1015" s="4">
        <v>249.99798000000001</v>
      </c>
      <c r="B1015" s="4">
        <v>492</v>
      </c>
      <c r="C1015" s="4">
        <v>79.747829999999993</v>
      </c>
      <c r="D1015" s="1">
        <v>5</v>
      </c>
      <c r="E1015" s="11">
        <f>($C$219-Table27[[#This Row],[Mass/%]])/$F$30</f>
        <v>0.24744568052817559</v>
      </c>
    </row>
    <row r="1016" spans="1:5" x14ac:dyDescent="0.15">
      <c r="A1016" s="4">
        <v>250.00700000000001</v>
      </c>
      <c r="B1016" s="4">
        <v>492.5</v>
      </c>
      <c r="C1016" s="4">
        <v>79.726619999999997</v>
      </c>
      <c r="D1016" s="1">
        <v>5</v>
      </c>
      <c r="E1016" s="11">
        <f>($C$219-Table27[[#This Row],[Mass/%]])/$F$30</f>
        <v>0.24778828942344749</v>
      </c>
    </row>
    <row r="1017" spans="1:5" x14ac:dyDescent="0.15">
      <c r="A1017" s="4">
        <v>250.00403</v>
      </c>
      <c r="B1017" s="4">
        <v>493</v>
      </c>
      <c r="C1017" s="4">
        <v>79.703440000000001</v>
      </c>
      <c r="D1017" s="1">
        <v>5</v>
      </c>
      <c r="E1017" s="11">
        <f>($C$219-Table27[[#This Row],[Mass/%]])/$F$30</f>
        <v>0.24816272007844056</v>
      </c>
    </row>
    <row r="1018" spans="1:5" x14ac:dyDescent="0.15">
      <c r="A1018" s="4">
        <v>250.00603000000001</v>
      </c>
      <c r="B1018" s="4">
        <v>493.5</v>
      </c>
      <c r="C1018" s="4">
        <v>79.703469999999996</v>
      </c>
      <c r="D1018" s="1">
        <v>5</v>
      </c>
      <c r="E1018" s="11">
        <f>($C$219-Table27[[#This Row],[Mass/%]])/$F$30</f>
        <v>0.24816223548311495</v>
      </c>
    </row>
    <row r="1019" spans="1:5" x14ac:dyDescent="0.15">
      <c r="A1019" s="4">
        <v>250.00601</v>
      </c>
      <c r="B1019" s="4">
        <v>494</v>
      </c>
      <c r="C1019" s="4">
        <v>79.686300000000003</v>
      </c>
      <c r="D1019" s="1">
        <v>5</v>
      </c>
      <c r="E1019" s="11">
        <f>($C$219-Table27[[#This Row],[Mass/%]])/$F$30</f>
        <v>0.24843958554119214</v>
      </c>
    </row>
    <row r="1020" spans="1:5" x14ac:dyDescent="0.15">
      <c r="A1020" s="4">
        <v>250.00399999999999</v>
      </c>
      <c r="B1020" s="4">
        <v>494.5</v>
      </c>
      <c r="C1020" s="4">
        <v>79.680629999999994</v>
      </c>
      <c r="D1020" s="1">
        <v>5</v>
      </c>
      <c r="E1020" s="11">
        <f>($C$219-Table27[[#This Row],[Mass/%]])/$F$30</f>
        <v>0.24853117405775013</v>
      </c>
    </row>
    <row r="1021" spans="1:5" x14ac:dyDescent="0.15">
      <c r="A1021" s="4">
        <v>250.00398999999999</v>
      </c>
      <c r="B1021" s="4">
        <v>495</v>
      </c>
      <c r="C1021" s="4">
        <v>79.674790000000002</v>
      </c>
      <c r="D1021" s="1">
        <v>5</v>
      </c>
      <c r="E1021" s="11">
        <f>($C$219-Table27[[#This Row],[Mass/%]])/$F$30</f>
        <v>0.24862550861448682</v>
      </c>
    </row>
    <row r="1022" spans="1:5" x14ac:dyDescent="0.15">
      <c r="A1022" s="4">
        <v>250.00299999999999</v>
      </c>
      <c r="B1022" s="4">
        <v>495.5</v>
      </c>
      <c r="C1022" s="4">
        <v>79.665099999999995</v>
      </c>
      <c r="D1022" s="1">
        <v>5</v>
      </c>
      <c r="E1022" s="11">
        <f>($C$219-Table27[[#This Row],[Mass/%]])/$F$30</f>
        <v>0.24878203290468898</v>
      </c>
    </row>
    <row r="1023" spans="1:5" x14ac:dyDescent="0.15">
      <c r="A1023" s="4">
        <v>250.00702000000001</v>
      </c>
      <c r="B1023" s="4">
        <v>496</v>
      </c>
      <c r="C1023" s="4">
        <v>79.671009999999995</v>
      </c>
      <c r="D1023" s="1">
        <v>5</v>
      </c>
      <c r="E1023" s="11">
        <f>($C$219-Table27[[#This Row],[Mass/%]])/$F$30</f>
        <v>0.24868656762552549</v>
      </c>
    </row>
    <row r="1024" spans="1:5" x14ac:dyDescent="0.15">
      <c r="A1024" s="4">
        <v>250.00701000000001</v>
      </c>
      <c r="B1024" s="4">
        <v>496.5</v>
      </c>
      <c r="C1024" s="4">
        <v>79.638369999999995</v>
      </c>
      <c r="D1024" s="1">
        <v>5</v>
      </c>
      <c r="E1024" s="11">
        <f>($C$219-Table27[[#This Row],[Mass/%]])/$F$30</f>
        <v>0.24921380733989029</v>
      </c>
    </row>
    <row r="1025" spans="1:5" x14ac:dyDescent="0.15">
      <c r="A1025" s="4">
        <v>250.00396000000001</v>
      </c>
      <c r="B1025" s="4">
        <v>497</v>
      </c>
      <c r="C1025" s="4">
        <v>79.632689999999997</v>
      </c>
      <c r="D1025" s="1">
        <v>5</v>
      </c>
      <c r="E1025" s="11">
        <f>($C$219-Table27[[#This Row],[Mass/%]])/$F$30</f>
        <v>0.24930555738822333</v>
      </c>
    </row>
    <row r="1026" spans="1:5" x14ac:dyDescent="0.15">
      <c r="A1026" s="4">
        <v>250.00299999999999</v>
      </c>
      <c r="B1026" s="4">
        <v>497.5</v>
      </c>
      <c r="C1026" s="4">
        <v>79.605699999999999</v>
      </c>
      <c r="D1026" s="1">
        <v>5</v>
      </c>
      <c r="E1026" s="11">
        <f>($C$219-Table27[[#This Row],[Mass/%]])/$F$30</f>
        <v>0.24974153164958068</v>
      </c>
    </row>
    <row r="1027" spans="1:5" x14ac:dyDescent="0.15">
      <c r="A1027" s="4">
        <v>250.00303</v>
      </c>
      <c r="B1027" s="4">
        <v>498</v>
      </c>
      <c r="C1027" s="4">
        <v>79.622950000000003</v>
      </c>
      <c r="D1027" s="1">
        <v>5</v>
      </c>
      <c r="E1027" s="11">
        <f>($C$219-Table27[[#This Row],[Mass/%]])/$F$30</f>
        <v>0.24946288933730146</v>
      </c>
    </row>
    <row r="1028" spans="1:5" x14ac:dyDescent="0.15">
      <c r="A1028" s="4">
        <v>250.00304</v>
      </c>
      <c r="B1028" s="4">
        <v>498.5</v>
      </c>
      <c r="C1028" s="4">
        <v>79.596369999999993</v>
      </c>
      <c r="D1028" s="1">
        <v>5</v>
      </c>
      <c r="E1028" s="11">
        <f>($C$219-Table27[[#This Row],[Mass/%]])/$F$30</f>
        <v>0.24989224079587438</v>
      </c>
    </row>
    <row r="1029" spans="1:5" x14ac:dyDescent="0.15">
      <c r="A1029" s="4">
        <v>250.00599</v>
      </c>
      <c r="B1029" s="4">
        <v>499</v>
      </c>
      <c r="C1029" s="4">
        <v>79.577010000000001</v>
      </c>
      <c r="D1029" s="1">
        <v>5</v>
      </c>
      <c r="E1029" s="11">
        <f>($C$219-Table27[[#This Row],[Mass/%]])/$F$30</f>
        <v>0.25020496631272787</v>
      </c>
    </row>
    <row r="1030" spans="1:5" x14ac:dyDescent="0.15">
      <c r="A1030" s="4">
        <v>250.01104000000001</v>
      </c>
      <c r="B1030" s="4">
        <v>499.5</v>
      </c>
      <c r="C1030" s="4">
        <v>79.567480000000003</v>
      </c>
      <c r="D1030" s="1">
        <v>5</v>
      </c>
      <c r="E1030" s="11">
        <f>($C$219-Table27[[#This Row],[Mass/%]])/$F$30</f>
        <v>0.25035890609452616</v>
      </c>
    </row>
    <row r="1031" spans="1:5" x14ac:dyDescent="0.15">
      <c r="A1031" s="4">
        <v>250.01298</v>
      </c>
      <c r="B1031" s="4">
        <v>500</v>
      </c>
      <c r="C1031" s="4">
        <v>79.5732</v>
      </c>
      <c r="D1031" s="1">
        <v>5</v>
      </c>
      <c r="E1031" s="11">
        <f>($C$219-Table27[[#This Row],[Mass/%]])/$F$30</f>
        <v>0.25026650991909216</v>
      </c>
    </row>
    <row r="1032" spans="1:5" x14ac:dyDescent="0.15">
      <c r="A1032" s="4">
        <v>250.00903</v>
      </c>
      <c r="B1032" s="4">
        <v>500.5</v>
      </c>
      <c r="C1032" s="4">
        <v>79.550089999999997</v>
      </c>
      <c r="D1032" s="1">
        <v>5</v>
      </c>
      <c r="E1032" s="11">
        <f>($C$219-Table27[[#This Row],[Mass/%]])/$F$30</f>
        <v>0.25063980985165868</v>
      </c>
    </row>
    <row r="1033" spans="1:5" x14ac:dyDescent="0.15">
      <c r="A1033" s="4">
        <v>250.00700000000001</v>
      </c>
      <c r="B1033" s="4">
        <v>501</v>
      </c>
      <c r="C1033" s="4">
        <v>79.538650000000004</v>
      </c>
      <c r="D1033" s="1">
        <v>5</v>
      </c>
      <c r="E1033" s="11">
        <f>($C$219-Table27[[#This Row],[Mass/%]])/$F$30</f>
        <v>0.25082460220252661</v>
      </c>
    </row>
    <row r="1034" spans="1:5" x14ac:dyDescent="0.15">
      <c r="A1034" s="4">
        <v>250.00397000000001</v>
      </c>
      <c r="B1034" s="4">
        <v>501.5</v>
      </c>
      <c r="C1034" s="4">
        <v>79.52731</v>
      </c>
      <c r="D1034" s="1">
        <v>5</v>
      </c>
      <c r="E1034" s="11">
        <f>($C$219-Table27[[#This Row],[Mass/%]])/$F$30</f>
        <v>0.25100777923564238</v>
      </c>
    </row>
    <row r="1035" spans="1:5" x14ac:dyDescent="0.15">
      <c r="A1035" s="4">
        <v>250.00402</v>
      </c>
      <c r="B1035" s="4">
        <v>502</v>
      </c>
      <c r="C1035" s="4">
        <v>79.536630000000002</v>
      </c>
      <c r="D1035" s="1">
        <v>5</v>
      </c>
      <c r="E1035" s="11">
        <f>($C$219-Table27[[#This Row],[Mass/%]])/$F$30</f>
        <v>0.250857231621124</v>
      </c>
    </row>
    <row r="1036" spans="1:5" x14ac:dyDescent="0.15">
      <c r="A1036" s="4">
        <v>250.006</v>
      </c>
      <c r="B1036" s="4">
        <v>502.5</v>
      </c>
      <c r="C1036" s="4">
        <v>79.500389999999996</v>
      </c>
      <c r="D1036" s="1">
        <v>5</v>
      </c>
      <c r="E1036" s="11">
        <f>($C$219-Table27[[#This Row],[Mass/%]])/$F$30</f>
        <v>0.25144262277457319</v>
      </c>
    </row>
    <row r="1037" spans="1:5" x14ac:dyDescent="0.15">
      <c r="A1037" s="4">
        <v>250.00498999999999</v>
      </c>
      <c r="B1037" s="4">
        <v>503</v>
      </c>
      <c r="C1037" s="4">
        <v>79.483170000000001</v>
      </c>
      <c r="D1037" s="1">
        <v>5</v>
      </c>
      <c r="E1037" s="11">
        <f>($C$219-Table27[[#This Row],[Mass/%]])/$F$30</f>
        <v>0.25172078049152657</v>
      </c>
    </row>
    <row r="1038" spans="1:5" x14ac:dyDescent="0.15">
      <c r="A1038" s="4">
        <v>250.011</v>
      </c>
      <c r="B1038" s="4">
        <v>503.5</v>
      </c>
      <c r="C1038" s="4">
        <v>79.500510000000006</v>
      </c>
      <c r="D1038" s="1">
        <v>5</v>
      </c>
      <c r="E1038" s="11">
        <f>($C$219-Table27[[#This Row],[Mass/%]])/$F$30</f>
        <v>0.25144068439327022</v>
      </c>
    </row>
    <row r="1039" spans="1:5" x14ac:dyDescent="0.15">
      <c r="A1039" s="4">
        <v>250.00601</v>
      </c>
      <c r="B1039" s="4">
        <v>504</v>
      </c>
      <c r="C1039" s="4">
        <v>79.463920000000002</v>
      </c>
      <c r="D1039" s="1">
        <v>5</v>
      </c>
      <c r="E1039" s="11">
        <f>($C$219-Table27[[#This Row],[Mass/%]])/$F$30</f>
        <v>0.25203172915885264</v>
      </c>
    </row>
    <row r="1040" spans="1:5" x14ac:dyDescent="0.15">
      <c r="A1040" s="4">
        <v>250.00797</v>
      </c>
      <c r="B1040" s="4">
        <v>504.5</v>
      </c>
      <c r="C1040" s="4">
        <v>79.456280000000007</v>
      </c>
      <c r="D1040" s="1">
        <v>5</v>
      </c>
      <c r="E1040" s="11">
        <f>($C$219-Table27[[#This Row],[Mass/%]])/$F$30</f>
        <v>0.25215513943513157</v>
      </c>
    </row>
    <row r="1041" spans="1:5" x14ac:dyDescent="0.15">
      <c r="A1041" s="4">
        <v>250.00697</v>
      </c>
      <c r="B1041" s="4">
        <v>505</v>
      </c>
      <c r="C1041" s="4">
        <v>79.435190000000006</v>
      </c>
      <c r="D1041" s="1">
        <v>5</v>
      </c>
      <c r="E1041" s="11">
        <f>($C$219-Table27[[#This Row],[Mass/%]])/$F$30</f>
        <v>0.2524958099491007</v>
      </c>
    </row>
    <row r="1042" spans="1:5" x14ac:dyDescent="0.15">
      <c r="A1042" s="4">
        <v>250.00198</v>
      </c>
      <c r="B1042" s="4">
        <v>505.5</v>
      </c>
      <c r="C1042" s="4">
        <v>79.433189999999996</v>
      </c>
      <c r="D1042" s="1">
        <v>5</v>
      </c>
      <c r="E1042" s="11">
        <f>($C$219-Table27[[#This Row],[Mass/%]])/$F$30</f>
        <v>0.25252811630414773</v>
      </c>
    </row>
    <row r="1043" spans="1:5" x14ac:dyDescent="0.15">
      <c r="A1043" s="4">
        <v>249.99995999999999</v>
      </c>
      <c r="B1043" s="4">
        <v>506</v>
      </c>
      <c r="C1043" s="4">
        <v>79.417770000000004</v>
      </c>
      <c r="D1043" s="1">
        <v>5</v>
      </c>
      <c r="E1043" s="11">
        <f>($C$219-Table27[[#This Row],[Mass/%]])/$F$30</f>
        <v>0.25277719830155893</v>
      </c>
    </row>
    <row r="1044" spans="1:5" x14ac:dyDescent="0.15">
      <c r="A1044" s="4">
        <v>250.00002000000001</v>
      </c>
      <c r="B1044" s="4">
        <v>506.5</v>
      </c>
      <c r="C1044" s="4">
        <v>79.385220000000004</v>
      </c>
      <c r="D1044" s="1">
        <v>5</v>
      </c>
      <c r="E1044" s="11">
        <f>($C$219-Table27[[#This Row],[Mass/%]])/$F$30</f>
        <v>0.25330298422994657</v>
      </c>
    </row>
    <row r="1045" spans="1:5" x14ac:dyDescent="0.15">
      <c r="A1045" s="4">
        <v>250.00698</v>
      </c>
      <c r="B1045" s="4">
        <v>507</v>
      </c>
      <c r="C1045" s="4">
        <v>79.383369999999999</v>
      </c>
      <c r="D1045" s="1">
        <v>5</v>
      </c>
      <c r="E1045" s="11">
        <f>($C$219-Table27[[#This Row],[Mass/%]])/$F$30</f>
        <v>0.25333286760836499</v>
      </c>
    </row>
    <row r="1046" spans="1:5" x14ac:dyDescent="0.15">
      <c r="A1046" s="4">
        <v>250.00300999999999</v>
      </c>
      <c r="B1046" s="4">
        <v>507.5</v>
      </c>
      <c r="C1046" s="4">
        <v>79.375699999999995</v>
      </c>
      <c r="D1046" s="1">
        <v>5</v>
      </c>
      <c r="E1046" s="11">
        <f>($C$219-Table27[[#This Row],[Mass/%]])/$F$30</f>
        <v>0.25345676247996979</v>
      </c>
    </row>
    <row r="1047" spans="1:5" x14ac:dyDescent="0.15">
      <c r="A1047" s="4">
        <v>250.001</v>
      </c>
      <c r="B1047" s="4">
        <v>508</v>
      </c>
      <c r="C1047" s="4">
        <v>79.348889999999997</v>
      </c>
      <c r="D1047" s="1">
        <v>5</v>
      </c>
      <c r="E1047" s="11">
        <f>($C$219-Table27[[#This Row],[Mass/%]])/$F$30</f>
        <v>0.25388982916937292</v>
      </c>
    </row>
    <row r="1048" spans="1:5" x14ac:dyDescent="0.15">
      <c r="A1048" s="4">
        <v>250.00395</v>
      </c>
      <c r="B1048" s="4">
        <v>508.5</v>
      </c>
      <c r="C1048" s="4">
        <v>79.352500000000006</v>
      </c>
      <c r="D1048" s="1">
        <v>5</v>
      </c>
      <c r="E1048" s="11">
        <f>($C$219-Table27[[#This Row],[Mass/%]])/$F$30</f>
        <v>0.25383151619851319</v>
      </c>
    </row>
    <row r="1049" spans="1:5" x14ac:dyDescent="0.15">
      <c r="A1049" s="4">
        <v>250.00702999999999</v>
      </c>
      <c r="B1049" s="4">
        <v>509</v>
      </c>
      <c r="C1049" s="4">
        <v>79.339110000000005</v>
      </c>
      <c r="D1049" s="1">
        <v>5</v>
      </c>
      <c r="E1049" s="11">
        <f>($C$219-Table27[[#This Row],[Mass/%]])/$F$30</f>
        <v>0.25404780724555193</v>
      </c>
    </row>
    <row r="1050" spans="1:5" x14ac:dyDescent="0.15">
      <c r="A1050" s="4">
        <v>250.00701000000001</v>
      </c>
      <c r="B1050" s="4">
        <v>509.5</v>
      </c>
      <c r="C1050" s="4">
        <v>79.327680000000001</v>
      </c>
      <c r="D1050" s="1">
        <v>5</v>
      </c>
      <c r="E1050" s="11">
        <f>($C$219-Table27[[#This Row],[Mass/%]])/$F$30</f>
        <v>0.25423243806464479</v>
      </c>
    </row>
    <row r="1051" spans="1:5" x14ac:dyDescent="0.15">
      <c r="A1051" s="4">
        <v>250.006</v>
      </c>
      <c r="B1051" s="4">
        <v>510</v>
      </c>
      <c r="C1051" s="4">
        <v>79.319900000000004</v>
      </c>
      <c r="D1051" s="1">
        <v>5</v>
      </c>
      <c r="E1051" s="11">
        <f>($C$219-Table27[[#This Row],[Mass/%]])/$F$30</f>
        <v>0.25435810978577705</v>
      </c>
    </row>
    <row r="1052" spans="1:5" x14ac:dyDescent="0.15">
      <c r="A1052" s="4">
        <v>250.00398000000001</v>
      </c>
      <c r="B1052" s="4">
        <v>510.5</v>
      </c>
      <c r="C1052" s="4">
        <v>79.316069999999996</v>
      </c>
      <c r="D1052" s="1">
        <v>5</v>
      </c>
      <c r="E1052" s="11">
        <f>($C$219-Table27[[#This Row],[Mass/%]])/$F$30</f>
        <v>0.25441997645569192</v>
      </c>
    </row>
    <row r="1053" spans="1:5" x14ac:dyDescent="0.15">
      <c r="A1053" s="4">
        <v>250.00799000000001</v>
      </c>
      <c r="B1053" s="4">
        <v>511</v>
      </c>
      <c r="C1053" s="4">
        <v>79.291210000000007</v>
      </c>
      <c r="D1053" s="1">
        <v>5</v>
      </c>
      <c r="E1053" s="11">
        <f>($C$219-Table27[[#This Row],[Mass/%]])/$F$30</f>
        <v>0.25482154444892424</v>
      </c>
    </row>
    <row r="1054" spans="1:5" x14ac:dyDescent="0.15">
      <c r="A1054" s="4">
        <v>250.00796</v>
      </c>
      <c r="B1054" s="4">
        <v>511.5</v>
      </c>
      <c r="C1054" s="4">
        <v>79.26643</v>
      </c>
      <c r="D1054" s="1">
        <v>5</v>
      </c>
      <c r="E1054" s="11">
        <f>($C$219-Table27[[#This Row],[Mass/%]])/$F$30</f>
        <v>0.25522182018795497</v>
      </c>
    </row>
    <row r="1055" spans="1:5" x14ac:dyDescent="0.15">
      <c r="A1055" s="4">
        <v>250.00595000000001</v>
      </c>
      <c r="B1055" s="4">
        <v>512</v>
      </c>
      <c r="C1055" s="4">
        <v>79.266310000000004</v>
      </c>
      <c r="D1055" s="1">
        <v>5</v>
      </c>
      <c r="E1055" s="11">
        <f>($C$219-Table27[[#This Row],[Mass/%]])/$F$30</f>
        <v>0.25522375856925772</v>
      </c>
    </row>
    <row r="1056" spans="1:5" x14ac:dyDescent="0.15">
      <c r="A1056" s="4">
        <v>249.99997999999999</v>
      </c>
      <c r="B1056" s="4">
        <v>512.5</v>
      </c>
      <c r="C1056" s="4">
        <v>79.245220000000003</v>
      </c>
      <c r="D1056" s="1">
        <v>5</v>
      </c>
      <c r="E1056" s="11">
        <f>($C$219-Table27[[#This Row],[Mass/%]])/$F$30</f>
        <v>0.25556442908322685</v>
      </c>
    </row>
    <row r="1057" spans="1:5" x14ac:dyDescent="0.15">
      <c r="A1057" s="4">
        <v>250.00400999999999</v>
      </c>
      <c r="B1057" s="4">
        <v>513</v>
      </c>
      <c r="C1057" s="4">
        <v>79.235780000000005</v>
      </c>
      <c r="D1057" s="1">
        <v>5</v>
      </c>
      <c r="E1057" s="11">
        <f>($C$219-Table27[[#This Row],[Mass/%]])/$F$30</f>
        <v>0.25571691507904803</v>
      </c>
    </row>
    <row r="1058" spans="1:5" x14ac:dyDescent="0.15">
      <c r="A1058" s="4">
        <v>250.00599</v>
      </c>
      <c r="B1058" s="4">
        <v>513.5</v>
      </c>
      <c r="C1058" s="4">
        <v>79.222219999999993</v>
      </c>
      <c r="D1058" s="1">
        <v>5</v>
      </c>
      <c r="E1058" s="11">
        <f>($C$219-Table27[[#This Row],[Mass/%]])/$F$30</f>
        <v>0.25593595216626591</v>
      </c>
    </row>
    <row r="1059" spans="1:5" x14ac:dyDescent="0.15">
      <c r="A1059" s="4">
        <v>250.01102</v>
      </c>
      <c r="B1059" s="4">
        <v>514</v>
      </c>
      <c r="C1059" s="4">
        <v>79.222329999999999</v>
      </c>
      <c r="D1059" s="1">
        <v>5</v>
      </c>
      <c r="E1059" s="11">
        <f>($C$219-Table27[[#This Row],[Mass/%]])/$F$30</f>
        <v>0.25593417531673823</v>
      </c>
    </row>
    <row r="1060" spans="1:5" x14ac:dyDescent="0.15">
      <c r="A1060" s="4">
        <v>250.01400000000001</v>
      </c>
      <c r="B1060" s="4">
        <v>514.5</v>
      </c>
      <c r="C1060" s="4">
        <v>79.210849999999994</v>
      </c>
      <c r="D1060" s="1">
        <v>5</v>
      </c>
      <c r="E1060" s="11">
        <f>($C$219-Table27[[#This Row],[Mass/%]])/$F$30</f>
        <v>0.25611961379470732</v>
      </c>
    </row>
    <row r="1061" spans="1:5" x14ac:dyDescent="0.15">
      <c r="A1061" s="4">
        <v>250.00698</v>
      </c>
      <c r="B1061" s="4">
        <v>515</v>
      </c>
      <c r="C1061" s="4">
        <v>79.210729999999998</v>
      </c>
      <c r="D1061" s="1">
        <v>5</v>
      </c>
      <c r="E1061" s="11">
        <f>($C$219-Table27[[#This Row],[Mass/%]])/$F$30</f>
        <v>0.25612155217601007</v>
      </c>
    </row>
    <row r="1062" spans="1:5" x14ac:dyDescent="0.15">
      <c r="A1062" s="4">
        <v>250.00601</v>
      </c>
      <c r="B1062" s="4">
        <v>515.5</v>
      </c>
      <c r="C1062" s="4">
        <v>79.178120000000007</v>
      </c>
      <c r="D1062" s="1">
        <v>5</v>
      </c>
      <c r="E1062" s="11">
        <f>($C$219-Table27[[#This Row],[Mass/%]])/$F$30</f>
        <v>0.25664830729504901</v>
      </c>
    </row>
    <row r="1063" spans="1:5" x14ac:dyDescent="0.15">
      <c r="A1063" s="4">
        <v>250.00901999999999</v>
      </c>
      <c r="B1063" s="4">
        <v>516</v>
      </c>
      <c r="C1063" s="4">
        <v>79.191779999999994</v>
      </c>
      <c r="D1063" s="1">
        <v>5</v>
      </c>
      <c r="E1063" s="11">
        <f>($C$219-Table27[[#This Row],[Mass/%]])/$F$30</f>
        <v>0.25642765489007913</v>
      </c>
    </row>
    <row r="1064" spans="1:5" x14ac:dyDescent="0.15">
      <c r="A1064" s="4">
        <v>250.00200000000001</v>
      </c>
      <c r="B1064" s="4">
        <v>516.5</v>
      </c>
      <c r="C1064" s="4">
        <v>79.176280000000006</v>
      </c>
      <c r="D1064" s="1">
        <v>5</v>
      </c>
      <c r="E1064" s="11">
        <f>($C$219-Table27[[#This Row],[Mass/%]])/$F$30</f>
        <v>0.25667802914169213</v>
      </c>
    </row>
    <row r="1065" spans="1:5" x14ac:dyDescent="0.15">
      <c r="A1065" s="4">
        <v>250.00201000000001</v>
      </c>
      <c r="B1065" s="4">
        <v>517</v>
      </c>
      <c r="C1065" s="4">
        <v>79.149429999999995</v>
      </c>
      <c r="D1065" s="1">
        <v>5</v>
      </c>
      <c r="E1065" s="11">
        <f>($C$219-Table27[[#This Row],[Mass/%]])/$F$30</f>
        <v>0.25711174195819642</v>
      </c>
    </row>
    <row r="1066" spans="1:5" x14ac:dyDescent="0.15">
      <c r="A1066" s="4">
        <v>250.00301999999999</v>
      </c>
      <c r="B1066" s="4">
        <v>517.5</v>
      </c>
      <c r="C1066" s="4">
        <v>79.153300000000002</v>
      </c>
      <c r="D1066" s="1">
        <v>5</v>
      </c>
      <c r="E1066" s="11">
        <f>($C$219-Table27[[#This Row],[Mass/%]])/$F$30</f>
        <v>0.25704922916118061</v>
      </c>
    </row>
    <row r="1067" spans="1:5" x14ac:dyDescent="0.15">
      <c r="A1067" s="4">
        <v>250.001</v>
      </c>
      <c r="B1067" s="4">
        <v>518</v>
      </c>
      <c r="C1067" s="4">
        <v>79.132159999999999</v>
      </c>
      <c r="D1067" s="1">
        <v>5</v>
      </c>
      <c r="E1067" s="11">
        <f>($C$219-Table27[[#This Row],[Mass/%]])/$F$30</f>
        <v>0.25739070733402597</v>
      </c>
    </row>
    <row r="1068" spans="1:5" x14ac:dyDescent="0.15">
      <c r="A1068" s="4">
        <v>250.00400999999999</v>
      </c>
      <c r="B1068" s="4">
        <v>518.5</v>
      </c>
      <c r="C1068" s="4">
        <v>79.133989999999997</v>
      </c>
      <c r="D1068" s="1">
        <v>5</v>
      </c>
      <c r="E1068" s="11">
        <f>($C$219-Table27[[#This Row],[Mass/%]])/$F$30</f>
        <v>0.25736114701915813</v>
      </c>
    </row>
    <row r="1069" spans="1:5" x14ac:dyDescent="0.15">
      <c r="A1069" s="4">
        <v>250.00398999999999</v>
      </c>
      <c r="B1069" s="4">
        <v>519</v>
      </c>
      <c r="C1069" s="4">
        <v>79.111019999999996</v>
      </c>
      <c r="D1069" s="1">
        <v>5</v>
      </c>
      <c r="E1069" s="11">
        <f>($C$219-Table27[[#This Row],[Mass/%]])/$F$30</f>
        <v>0.25773218550687133</v>
      </c>
    </row>
    <row r="1070" spans="1:5" x14ac:dyDescent="0.15">
      <c r="A1070" s="4">
        <v>250.00703999999999</v>
      </c>
      <c r="B1070" s="4">
        <v>519.5</v>
      </c>
      <c r="C1070" s="4">
        <v>79.10351</v>
      </c>
      <c r="D1070" s="1">
        <v>5</v>
      </c>
      <c r="E1070" s="11">
        <f>($C$219-Table27[[#This Row],[Mass/%]])/$F$30</f>
        <v>0.25785349587007228</v>
      </c>
    </row>
    <row r="1071" spans="1:5" x14ac:dyDescent="0.15">
      <c r="A1071" s="4">
        <v>250.00301999999999</v>
      </c>
      <c r="B1071" s="4">
        <v>520</v>
      </c>
      <c r="C1071" s="4">
        <v>79.08417</v>
      </c>
      <c r="D1071" s="1">
        <v>5</v>
      </c>
      <c r="E1071" s="11">
        <f>($C$219-Table27[[#This Row],[Mass/%]])/$F$30</f>
        <v>0.25816589832337539</v>
      </c>
    </row>
    <row r="1072" spans="1:5" x14ac:dyDescent="0.15">
      <c r="A1072" s="4">
        <v>250.00505999999999</v>
      </c>
      <c r="B1072" s="4">
        <v>520.5</v>
      </c>
      <c r="C1072" s="4">
        <v>79.097560000000001</v>
      </c>
      <c r="D1072" s="1">
        <v>5</v>
      </c>
      <c r="E1072" s="11">
        <f>($C$219-Table27[[#This Row],[Mass/%]])/$F$30</f>
        <v>0.25794960727633665</v>
      </c>
    </row>
    <row r="1073" spans="1:5" x14ac:dyDescent="0.15">
      <c r="A1073" s="4">
        <v>250.00703999999999</v>
      </c>
      <c r="B1073" s="4">
        <v>521</v>
      </c>
      <c r="C1073" s="4">
        <v>79.069040000000001</v>
      </c>
      <c r="D1073" s="1">
        <v>5</v>
      </c>
      <c r="E1073" s="11">
        <f>($C$219-Table27[[#This Row],[Mass/%]])/$F$30</f>
        <v>0.25841029589930486</v>
      </c>
    </row>
    <row r="1074" spans="1:5" x14ac:dyDescent="0.15">
      <c r="A1074" s="4">
        <v>250.00695999999999</v>
      </c>
      <c r="B1074" s="4">
        <v>521.5</v>
      </c>
      <c r="C1074" s="4">
        <v>79.059200000000004</v>
      </c>
      <c r="D1074" s="1">
        <v>5</v>
      </c>
      <c r="E1074" s="11">
        <f>($C$219-Table27[[#This Row],[Mass/%]])/$F$30</f>
        <v>0.25856924316613539</v>
      </c>
    </row>
    <row r="1075" spans="1:5" x14ac:dyDescent="0.15">
      <c r="A1075" s="4">
        <v>250.00603000000001</v>
      </c>
      <c r="B1075" s="4">
        <v>522</v>
      </c>
      <c r="C1075" s="4">
        <v>79.043819999999997</v>
      </c>
      <c r="D1075" s="1">
        <v>5</v>
      </c>
      <c r="E1075" s="11">
        <f>($C$219-Table27[[#This Row],[Mass/%]])/$F$30</f>
        <v>0.25881767903644587</v>
      </c>
    </row>
    <row r="1076" spans="1:5" x14ac:dyDescent="0.15">
      <c r="A1076" s="4">
        <v>250.01399000000001</v>
      </c>
      <c r="B1076" s="4">
        <v>522.5</v>
      </c>
      <c r="C1076" s="4">
        <v>79.047700000000006</v>
      </c>
      <c r="D1076" s="1">
        <v>5</v>
      </c>
      <c r="E1076" s="11">
        <f>($C$219-Table27[[#This Row],[Mass/%]])/$F$30</f>
        <v>0.25875500470765483</v>
      </c>
    </row>
    <row r="1077" spans="1:5" x14ac:dyDescent="0.15">
      <c r="A1077" s="4">
        <v>250.00700000000001</v>
      </c>
      <c r="B1077" s="4">
        <v>523</v>
      </c>
      <c r="C1077" s="4">
        <v>79.018979999999999</v>
      </c>
      <c r="D1077" s="1">
        <v>5</v>
      </c>
      <c r="E1077" s="11">
        <f>($C$219-Table27[[#This Row],[Mass/%]])/$F$30</f>
        <v>0.25921892396612783</v>
      </c>
    </row>
    <row r="1078" spans="1:5" x14ac:dyDescent="0.15">
      <c r="A1078" s="4">
        <v>250.00298000000001</v>
      </c>
      <c r="B1078" s="4">
        <v>523.5</v>
      </c>
      <c r="C1078" s="4">
        <v>79.013379999999998</v>
      </c>
      <c r="D1078" s="1">
        <v>5</v>
      </c>
      <c r="E1078" s="11">
        <f>($C$219-Table27[[#This Row],[Mass/%]])/$F$30</f>
        <v>0.25930938176025908</v>
      </c>
    </row>
    <row r="1079" spans="1:5" x14ac:dyDescent="0.15">
      <c r="A1079" s="4">
        <v>249.99995999999999</v>
      </c>
      <c r="B1079" s="4">
        <v>524</v>
      </c>
      <c r="C1079" s="4">
        <v>79.011219999999994</v>
      </c>
      <c r="D1079" s="1">
        <v>5</v>
      </c>
      <c r="E1079" s="11">
        <f>($C$219-Table27[[#This Row],[Mass/%]])/$F$30</f>
        <v>0.25934427262370974</v>
      </c>
    </row>
    <row r="1080" spans="1:5" x14ac:dyDescent="0.15">
      <c r="A1080" s="4">
        <v>249.99700999999999</v>
      </c>
      <c r="B1080" s="4">
        <v>524.5</v>
      </c>
      <c r="C1080" s="4">
        <v>78.986379999999997</v>
      </c>
      <c r="D1080" s="1">
        <v>5</v>
      </c>
      <c r="E1080" s="11">
        <f>($C$219-Table27[[#This Row],[Mass/%]])/$F$30</f>
        <v>0.2597455175533917</v>
      </c>
    </row>
    <row r="1081" spans="1:5" x14ac:dyDescent="0.15">
      <c r="A1081" s="4">
        <v>249.99902</v>
      </c>
      <c r="B1081" s="4">
        <v>525</v>
      </c>
      <c r="C1081" s="4">
        <v>78.961560000000006</v>
      </c>
      <c r="D1081" s="1">
        <v>5</v>
      </c>
      <c r="E1081" s="11">
        <f>($C$219-Table27[[#This Row],[Mass/%]])/$F$30</f>
        <v>0.26014643941952315</v>
      </c>
    </row>
    <row r="1082" spans="1:5" x14ac:dyDescent="0.15">
      <c r="A1082" s="4">
        <v>250.00404</v>
      </c>
      <c r="B1082" s="4">
        <v>525.5</v>
      </c>
      <c r="C1082" s="4">
        <v>78.963430000000002</v>
      </c>
      <c r="D1082" s="1">
        <v>5</v>
      </c>
      <c r="E1082" s="11">
        <f>($C$219-Table27[[#This Row],[Mass/%]])/$F$30</f>
        <v>0.26011623297755437</v>
      </c>
    </row>
    <row r="1083" spans="1:5" x14ac:dyDescent="0.15">
      <c r="A1083" s="4">
        <v>250.00396000000001</v>
      </c>
      <c r="B1083" s="4">
        <v>526</v>
      </c>
      <c r="C1083" s="4">
        <v>78.948089999999993</v>
      </c>
      <c r="D1083" s="1">
        <v>5</v>
      </c>
      <c r="E1083" s="11">
        <f>($C$219-Table27[[#This Row],[Mass/%]])/$F$30</f>
        <v>0.26036402272076392</v>
      </c>
    </row>
    <row r="1084" spans="1:5" x14ac:dyDescent="0.15">
      <c r="A1084" s="4">
        <v>250.00603000000001</v>
      </c>
      <c r="B1084" s="4">
        <v>526.5</v>
      </c>
      <c r="C1084" s="4">
        <v>78.930710000000005</v>
      </c>
      <c r="D1084" s="1">
        <v>5</v>
      </c>
      <c r="E1084" s="11">
        <f>($C$219-Table27[[#This Row],[Mass/%]])/$F$30</f>
        <v>0.26064476494612099</v>
      </c>
    </row>
    <row r="1085" spans="1:5" x14ac:dyDescent="0.15">
      <c r="A1085" s="4">
        <v>250.00599</v>
      </c>
      <c r="B1085" s="4">
        <v>527</v>
      </c>
      <c r="C1085" s="4">
        <v>78.928849999999997</v>
      </c>
      <c r="D1085" s="1">
        <v>5</v>
      </c>
      <c r="E1085" s="11">
        <f>($C$219-Table27[[#This Row],[Mass/%]])/$F$30</f>
        <v>0.26067480985631469</v>
      </c>
    </row>
    <row r="1086" spans="1:5" x14ac:dyDescent="0.15">
      <c r="A1086" s="4">
        <v>250.00798</v>
      </c>
      <c r="B1086" s="4">
        <v>527.5</v>
      </c>
      <c r="C1086" s="4">
        <v>78.919300000000007</v>
      </c>
      <c r="D1086" s="1">
        <v>5</v>
      </c>
      <c r="E1086" s="11">
        <f>($C$219-Table27[[#This Row],[Mass/%]])/$F$30</f>
        <v>0.26082907270166328</v>
      </c>
    </row>
    <row r="1087" spans="1:5" x14ac:dyDescent="0.15">
      <c r="A1087" s="4">
        <v>250.00803999999999</v>
      </c>
      <c r="B1087" s="4">
        <v>528</v>
      </c>
      <c r="C1087" s="4">
        <v>78.930859999999996</v>
      </c>
      <c r="D1087" s="1">
        <v>5</v>
      </c>
      <c r="E1087" s="11">
        <f>($C$219-Table27[[#This Row],[Mass/%]])/$F$30</f>
        <v>0.2606423419694926</v>
      </c>
    </row>
    <row r="1088" spans="1:5" x14ac:dyDescent="0.15">
      <c r="A1088" s="4">
        <v>250.00595999999999</v>
      </c>
      <c r="B1088" s="4">
        <v>528.5</v>
      </c>
      <c r="C1088" s="4">
        <v>78.909869999999998</v>
      </c>
      <c r="D1088" s="1">
        <v>5</v>
      </c>
      <c r="E1088" s="11">
        <f>($C$219-Table27[[#This Row],[Mass/%]])/$F$30</f>
        <v>0.26098139716570939</v>
      </c>
    </row>
    <row r="1089" spans="1:5" x14ac:dyDescent="0.15">
      <c r="A1089" s="4">
        <v>250.00398999999999</v>
      </c>
      <c r="B1089" s="4">
        <v>529</v>
      </c>
      <c r="C1089" s="4">
        <v>78.904020000000003</v>
      </c>
      <c r="D1089" s="1">
        <v>5</v>
      </c>
      <c r="E1089" s="11">
        <f>($C$219-Table27[[#This Row],[Mass/%]])/$F$30</f>
        <v>0.26107589325422137</v>
      </c>
    </row>
    <row r="1090" spans="1:5" x14ac:dyDescent="0.15">
      <c r="A1090" s="4">
        <v>250.00596999999999</v>
      </c>
      <c r="B1090" s="4">
        <v>529.5</v>
      </c>
      <c r="C1090" s="4">
        <v>78.880889999999994</v>
      </c>
      <c r="D1090" s="1">
        <v>5</v>
      </c>
      <c r="E1090" s="11">
        <f>($C$219-Table27[[#This Row],[Mass/%]])/$F$30</f>
        <v>0.26144951625033847</v>
      </c>
    </row>
    <row r="1091" spans="1:5" x14ac:dyDescent="0.15">
      <c r="A1091" s="4">
        <v>250.00497999999999</v>
      </c>
      <c r="B1091" s="4">
        <v>530</v>
      </c>
      <c r="C1091" s="4">
        <v>78.877139999999997</v>
      </c>
      <c r="D1091" s="1">
        <v>5</v>
      </c>
      <c r="E1091" s="11">
        <f>($C$219-Table27[[#This Row],[Mass/%]])/$F$30</f>
        <v>0.2615100906660513</v>
      </c>
    </row>
    <row r="1092" spans="1:5" x14ac:dyDescent="0.15">
      <c r="A1092" s="4">
        <v>249.99602999999999</v>
      </c>
      <c r="B1092" s="4">
        <v>530.5</v>
      </c>
      <c r="C1092" s="4">
        <v>78.858009999999993</v>
      </c>
      <c r="D1092" s="1">
        <v>5</v>
      </c>
      <c r="E1092" s="11">
        <f>($C$219-Table27[[#This Row],[Mass/%]])/$F$30</f>
        <v>0.26181910095207456</v>
      </c>
    </row>
    <row r="1093" spans="1:5" x14ac:dyDescent="0.15">
      <c r="A1093" s="4">
        <v>249.99901</v>
      </c>
      <c r="B1093" s="4">
        <v>531</v>
      </c>
      <c r="C1093" s="4">
        <v>78.861990000000006</v>
      </c>
      <c r="D1093" s="1">
        <v>5</v>
      </c>
      <c r="E1093" s="11">
        <f>($C$219-Table27[[#This Row],[Mass/%]])/$F$30</f>
        <v>0.26175481130553113</v>
      </c>
    </row>
    <row r="1094" spans="1:5" x14ac:dyDescent="0.15">
      <c r="A1094" s="4">
        <v>250.00501</v>
      </c>
      <c r="B1094" s="4">
        <v>531.5</v>
      </c>
      <c r="C1094" s="4">
        <v>78.84836</v>
      </c>
      <c r="D1094" s="1">
        <v>5</v>
      </c>
      <c r="E1094" s="11">
        <f>($C$219-Table27[[#This Row],[Mass/%]])/$F$30</f>
        <v>0.26197497911517559</v>
      </c>
    </row>
    <row r="1095" spans="1:5" x14ac:dyDescent="0.15">
      <c r="A1095" s="4">
        <v>250.00699</v>
      </c>
      <c r="B1095" s="4">
        <v>532</v>
      </c>
      <c r="C1095" s="4">
        <v>78.831149999999994</v>
      </c>
      <c r="D1095" s="1">
        <v>5</v>
      </c>
      <c r="E1095" s="11">
        <f>($C$219-Table27[[#This Row],[Mass/%]])/$F$30</f>
        <v>0.26225297530035391</v>
      </c>
    </row>
    <row r="1096" spans="1:5" x14ac:dyDescent="0.15">
      <c r="A1096" s="4">
        <v>250.00995</v>
      </c>
      <c r="B1096" s="4">
        <v>532.5</v>
      </c>
      <c r="C1096" s="4">
        <v>78.811989999999994</v>
      </c>
      <c r="D1096" s="1">
        <v>5</v>
      </c>
      <c r="E1096" s="11">
        <f>($C$219-Table27[[#This Row],[Mass/%]])/$F$30</f>
        <v>0.26256247018170281</v>
      </c>
    </row>
    <row r="1097" spans="1:5" x14ac:dyDescent="0.15">
      <c r="A1097" s="4">
        <v>250.00700000000001</v>
      </c>
      <c r="B1097" s="4">
        <v>533</v>
      </c>
      <c r="C1097" s="4">
        <v>78.802480000000003</v>
      </c>
      <c r="D1097" s="1">
        <v>5</v>
      </c>
      <c r="E1097" s="11">
        <f>($C$219-Table27[[#This Row],[Mass/%]])/$F$30</f>
        <v>0.26271608689995052</v>
      </c>
    </row>
    <row r="1098" spans="1:5" x14ac:dyDescent="0.15">
      <c r="A1098" s="4">
        <v>250.01302000000001</v>
      </c>
      <c r="B1098" s="4">
        <v>533.5</v>
      </c>
      <c r="C1098" s="4">
        <v>78.786810000000003</v>
      </c>
      <c r="D1098" s="1">
        <v>5</v>
      </c>
      <c r="E1098" s="11">
        <f>($C$219-Table27[[#This Row],[Mass/%]])/$F$30</f>
        <v>0.26296920719174266</v>
      </c>
    </row>
    <row r="1099" spans="1:5" x14ac:dyDescent="0.15">
      <c r="A1099" s="4">
        <v>250.00595999999999</v>
      </c>
      <c r="B1099" s="4">
        <v>534</v>
      </c>
      <c r="C1099" s="4">
        <v>78.758420000000001</v>
      </c>
      <c r="D1099" s="1">
        <v>5</v>
      </c>
      <c r="E1099" s="11">
        <f>($C$219-Table27[[#This Row],[Mass/%]])/$F$30</f>
        <v>0.2634277959016329</v>
      </c>
    </row>
    <row r="1100" spans="1:5" x14ac:dyDescent="0.15">
      <c r="A1100" s="4">
        <v>250.00502</v>
      </c>
      <c r="B1100" s="4">
        <v>534.5</v>
      </c>
      <c r="C1100" s="4">
        <v>78.74494</v>
      </c>
      <c r="D1100" s="1">
        <v>5</v>
      </c>
      <c r="E1100" s="11">
        <f>($C$219-Table27[[#This Row],[Mass/%]])/$F$30</f>
        <v>0.26364554073464874</v>
      </c>
    </row>
    <row r="1101" spans="1:5" x14ac:dyDescent="0.15">
      <c r="A1101" s="4">
        <v>250.00201999999999</v>
      </c>
      <c r="B1101" s="4">
        <v>535</v>
      </c>
      <c r="C1101" s="4">
        <v>78.744929999999997</v>
      </c>
      <c r="D1101" s="1">
        <v>5</v>
      </c>
      <c r="E1101" s="11">
        <f>($C$219-Table27[[#This Row],[Mass/%]])/$F$30</f>
        <v>0.26364570226642403</v>
      </c>
    </row>
    <row r="1102" spans="1:5" x14ac:dyDescent="0.15">
      <c r="A1102" s="4">
        <v>250.00097</v>
      </c>
      <c r="B1102" s="4">
        <v>535.5</v>
      </c>
      <c r="C1102" s="4">
        <v>78.742850000000004</v>
      </c>
      <c r="D1102" s="1">
        <v>5</v>
      </c>
      <c r="E1102" s="11">
        <f>($C$219-Table27[[#This Row],[Mass/%]])/$F$30</f>
        <v>0.26367930087567265</v>
      </c>
    </row>
    <row r="1103" spans="1:5" x14ac:dyDescent="0.15">
      <c r="A1103" s="4">
        <v>250.00104999999999</v>
      </c>
      <c r="B1103" s="4">
        <v>536</v>
      </c>
      <c r="C1103" s="4">
        <v>78.740880000000004</v>
      </c>
      <c r="D1103" s="1">
        <v>5</v>
      </c>
      <c r="E1103" s="11">
        <f>($C$219-Table27[[#This Row],[Mass/%]])/$F$30</f>
        <v>0.26371112263539381</v>
      </c>
    </row>
    <row r="1104" spans="1:5" x14ac:dyDescent="0.15">
      <c r="A1104" s="4">
        <v>250.00399999999999</v>
      </c>
      <c r="B1104" s="4">
        <v>536.5</v>
      </c>
      <c r="C1104" s="4">
        <v>78.729590000000002</v>
      </c>
      <c r="D1104" s="1">
        <v>5</v>
      </c>
      <c r="E1104" s="11">
        <f>($C$219-Table27[[#This Row],[Mass/%]])/$F$30</f>
        <v>0.26389349200963336</v>
      </c>
    </row>
    <row r="1105" spans="1:5" x14ac:dyDescent="0.15">
      <c r="A1105" s="4">
        <v>250.00801000000001</v>
      </c>
      <c r="B1105" s="4">
        <v>537</v>
      </c>
      <c r="C1105" s="4">
        <v>78.704639999999998</v>
      </c>
      <c r="D1105" s="1">
        <v>5</v>
      </c>
      <c r="E1105" s="11">
        <f>($C$219-Table27[[#This Row],[Mass/%]])/$F$30</f>
        <v>0.26429651378884306</v>
      </c>
    </row>
    <row r="1106" spans="1:5" x14ac:dyDescent="0.15">
      <c r="A1106" s="4">
        <v>250.00796</v>
      </c>
      <c r="B1106" s="4">
        <v>537.5</v>
      </c>
      <c r="C1106" s="4">
        <v>78.698710000000005</v>
      </c>
      <c r="D1106" s="1">
        <v>5</v>
      </c>
      <c r="E1106" s="11">
        <f>($C$219-Table27[[#This Row],[Mass/%]])/$F$30</f>
        <v>0.26439230213155684</v>
      </c>
    </row>
    <row r="1107" spans="1:5" x14ac:dyDescent="0.15">
      <c r="A1107" s="4">
        <v>250.00599</v>
      </c>
      <c r="B1107" s="4">
        <v>538</v>
      </c>
      <c r="C1107" s="4">
        <v>78.691310000000001</v>
      </c>
      <c r="D1107" s="1">
        <v>5</v>
      </c>
      <c r="E1107" s="11">
        <f>($C$219-Table27[[#This Row],[Mass/%]])/$F$30</f>
        <v>0.26451183564523029</v>
      </c>
    </row>
    <row r="1108" spans="1:5" x14ac:dyDescent="0.15">
      <c r="A1108" s="4">
        <v>250.00495000000001</v>
      </c>
      <c r="B1108" s="4">
        <v>538.5</v>
      </c>
      <c r="C1108" s="4">
        <v>78.687269999999998</v>
      </c>
      <c r="D1108" s="1">
        <v>5</v>
      </c>
      <c r="E1108" s="11">
        <f>($C$219-Table27[[#This Row],[Mass/%]])/$F$30</f>
        <v>0.264577094482425</v>
      </c>
    </row>
    <row r="1109" spans="1:5" x14ac:dyDescent="0.15">
      <c r="A1109" s="4">
        <v>250.00198</v>
      </c>
      <c r="B1109" s="4">
        <v>539</v>
      </c>
      <c r="C1109" s="4">
        <v>78.669970000000006</v>
      </c>
      <c r="D1109" s="1">
        <v>5</v>
      </c>
      <c r="E1109" s="11">
        <f>($C$219-Table27[[#This Row],[Mass/%]])/$F$30</f>
        <v>0.26485654445358026</v>
      </c>
    </row>
    <row r="1110" spans="1:5" x14ac:dyDescent="0.15">
      <c r="A1110" s="4">
        <v>250.00497999999999</v>
      </c>
      <c r="B1110" s="4">
        <v>539.5</v>
      </c>
      <c r="C1110" s="4">
        <v>78.652670000000001</v>
      </c>
      <c r="D1110" s="1">
        <v>5</v>
      </c>
      <c r="E1110" s="11">
        <f>($C$219-Table27[[#This Row],[Mass/%]])/$F$30</f>
        <v>0.26513599442473568</v>
      </c>
    </row>
    <row r="1111" spans="1:5" x14ac:dyDescent="0.15">
      <c r="A1111" s="4">
        <v>250.00703999999999</v>
      </c>
      <c r="B1111" s="4">
        <v>540</v>
      </c>
      <c r="C1111" s="4">
        <v>78.652919999999995</v>
      </c>
      <c r="D1111" s="1">
        <v>5</v>
      </c>
      <c r="E1111" s="11">
        <f>($C$219-Table27[[#This Row],[Mass/%]])/$F$30</f>
        <v>0.2651319561303549</v>
      </c>
    </row>
    <row r="1112" spans="1:5" x14ac:dyDescent="0.15">
      <c r="A1112" s="4">
        <v>250.00398999999999</v>
      </c>
      <c r="B1112" s="4">
        <v>540.5</v>
      </c>
      <c r="C1112" s="4">
        <v>78.623840000000001</v>
      </c>
      <c r="D1112" s="1">
        <v>5</v>
      </c>
      <c r="E1112" s="11">
        <f>($C$219-Table27[[#This Row],[Mass/%]])/$F$30</f>
        <v>0.26560169053273619</v>
      </c>
    </row>
    <row r="1113" spans="1:5" x14ac:dyDescent="0.15">
      <c r="A1113" s="4">
        <v>250.00707</v>
      </c>
      <c r="B1113" s="4">
        <v>541</v>
      </c>
      <c r="C1113" s="4">
        <v>78.629739999999998</v>
      </c>
      <c r="D1113" s="1">
        <v>5</v>
      </c>
      <c r="E1113" s="11">
        <f>($C$219-Table27[[#This Row],[Mass/%]])/$F$30</f>
        <v>0.26550638678534799</v>
      </c>
    </row>
    <row r="1114" spans="1:5" x14ac:dyDescent="0.15">
      <c r="A1114" s="4">
        <v>250.00995</v>
      </c>
      <c r="B1114" s="4">
        <v>541.5</v>
      </c>
      <c r="C1114" s="4">
        <v>78.604749999999996</v>
      </c>
      <c r="D1114" s="1">
        <v>5</v>
      </c>
      <c r="E1114" s="11">
        <f>($C$219-Table27[[#This Row],[Mass/%]])/$F$30</f>
        <v>0.26591005469165857</v>
      </c>
    </row>
    <row r="1115" spans="1:5" x14ac:dyDescent="0.15">
      <c r="A1115" s="4">
        <v>250.01097999999999</v>
      </c>
      <c r="B1115" s="4">
        <v>542</v>
      </c>
      <c r="C1115" s="4">
        <v>78.589420000000004</v>
      </c>
      <c r="D1115" s="1">
        <v>5</v>
      </c>
      <c r="E1115" s="11">
        <f>($C$219-Table27[[#This Row],[Mass/%]])/$F$30</f>
        <v>0.26615768290309261</v>
      </c>
    </row>
    <row r="1116" spans="1:5" x14ac:dyDescent="0.15">
      <c r="A1116" s="4">
        <v>250.00700000000001</v>
      </c>
      <c r="B1116" s="4">
        <v>542.5</v>
      </c>
      <c r="C1116" s="4">
        <v>78.58954</v>
      </c>
      <c r="D1116" s="1">
        <v>5</v>
      </c>
      <c r="E1116" s="11">
        <f>($C$219-Table27[[#This Row],[Mass/%]])/$F$30</f>
        <v>0.26615574452178986</v>
      </c>
    </row>
    <row r="1117" spans="1:5" x14ac:dyDescent="0.15">
      <c r="A1117" s="4">
        <v>250.006</v>
      </c>
      <c r="B1117" s="4">
        <v>543</v>
      </c>
      <c r="C1117" s="4">
        <v>78.587429999999998</v>
      </c>
      <c r="D1117" s="1">
        <v>5</v>
      </c>
      <c r="E1117" s="11">
        <f>($C$219-Table27[[#This Row],[Mass/%]])/$F$30</f>
        <v>0.26618982772636435</v>
      </c>
    </row>
    <row r="1118" spans="1:5" x14ac:dyDescent="0.15">
      <c r="A1118" s="4">
        <v>250.00801999999999</v>
      </c>
      <c r="B1118" s="4">
        <v>543.5</v>
      </c>
      <c r="C1118" s="4">
        <v>78.575990000000004</v>
      </c>
      <c r="D1118" s="1">
        <v>5</v>
      </c>
      <c r="E1118" s="11">
        <f>($C$219-Table27[[#This Row],[Mass/%]])/$F$30</f>
        <v>0.26637462007723228</v>
      </c>
    </row>
    <row r="1119" spans="1:5" x14ac:dyDescent="0.15">
      <c r="A1119" s="4">
        <v>250.00796</v>
      </c>
      <c r="B1119" s="4">
        <v>544</v>
      </c>
      <c r="C1119" s="4">
        <v>78.558890000000005</v>
      </c>
      <c r="D1119" s="1">
        <v>5</v>
      </c>
      <c r="E1119" s="11">
        <f>($C$219-Table27[[#This Row],[Mass/%]])/$F$30</f>
        <v>0.26665083941288292</v>
      </c>
    </row>
    <row r="1120" spans="1:5" x14ac:dyDescent="0.15">
      <c r="A1120" s="4">
        <v>250.00397000000001</v>
      </c>
      <c r="B1120" s="4">
        <v>544.5</v>
      </c>
      <c r="C1120" s="4">
        <v>78.547349999999994</v>
      </c>
      <c r="D1120" s="1">
        <v>5</v>
      </c>
      <c r="E1120" s="11">
        <f>($C$219-Table27[[#This Row],[Mass/%]])/$F$30</f>
        <v>0.26683724708150347</v>
      </c>
    </row>
    <row r="1121" spans="1:5" x14ac:dyDescent="0.15">
      <c r="A1121" s="4">
        <v>250.00702999999999</v>
      </c>
      <c r="B1121" s="4">
        <v>545</v>
      </c>
      <c r="C1121" s="4">
        <v>78.547319999999999</v>
      </c>
      <c r="D1121" s="1">
        <v>5</v>
      </c>
      <c r="E1121" s="11">
        <f>($C$219-Table27[[#This Row],[Mass/%]])/$F$30</f>
        <v>0.26683773167682912</v>
      </c>
    </row>
    <row r="1122" spans="1:5" x14ac:dyDescent="0.15">
      <c r="A1122" s="4">
        <v>250.00603000000001</v>
      </c>
      <c r="B1122" s="4">
        <v>545.5</v>
      </c>
      <c r="C1122" s="4">
        <v>78.530270000000002</v>
      </c>
      <c r="D1122" s="1">
        <v>5</v>
      </c>
      <c r="E1122" s="11">
        <f>($C$219-Table27[[#This Row],[Mass/%]])/$F$30</f>
        <v>0.26711314335360353</v>
      </c>
    </row>
    <row r="1123" spans="1:5" x14ac:dyDescent="0.15">
      <c r="A1123" s="4">
        <v>250.00595999999999</v>
      </c>
      <c r="B1123" s="4">
        <v>546</v>
      </c>
      <c r="C1123" s="4">
        <v>78.50694</v>
      </c>
      <c r="D1123" s="1">
        <v>5</v>
      </c>
      <c r="E1123" s="11">
        <f>($C$219-Table27[[#This Row],[Mass/%]])/$F$30</f>
        <v>0.26748999698522519</v>
      </c>
    </row>
    <row r="1124" spans="1:5" x14ac:dyDescent="0.15">
      <c r="A1124" s="4">
        <v>250.00792999999999</v>
      </c>
      <c r="B1124" s="4">
        <v>546.5</v>
      </c>
      <c r="C1124" s="4">
        <v>78.51482</v>
      </c>
      <c r="D1124" s="1">
        <v>5</v>
      </c>
      <c r="E1124" s="11">
        <f>($C$219-Table27[[#This Row],[Mass/%]])/$F$30</f>
        <v>0.26736270994634059</v>
      </c>
    </row>
    <row r="1125" spans="1:5" x14ac:dyDescent="0.15">
      <c r="A1125" s="4">
        <v>250.00503</v>
      </c>
      <c r="B1125" s="4">
        <v>547</v>
      </c>
      <c r="C1125" s="4">
        <v>78.493510000000001</v>
      </c>
      <c r="D1125" s="1">
        <v>5</v>
      </c>
      <c r="E1125" s="11">
        <f>($C$219-Table27[[#This Row],[Mass/%]])/$F$30</f>
        <v>0.26770693415936486</v>
      </c>
    </row>
    <row r="1126" spans="1:5" x14ac:dyDescent="0.15">
      <c r="A1126" s="4">
        <v>250.00794999999999</v>
      </c>
      <c r="B1126" s="4">
        <v>547.5</v>
      </c>
      <c r="C1126" s="4">
        <v>78.501239999999996</v>
      </c>
      <c r="D1126" s="1">
        <v>5</v>
      </c>
      <c r="E1126" s="11">
        <f>($C$219-Table27[[#This Row],[Mass/%]])/$F$30</f>
        <v>0.26758207009710883</v>
      </c>
    </row>
    <row r="1127" spans="1:5" x14ac:dyDescent="0.15">
      <c r="A1127" s="4">
        <v>250.00799000000001</v>
      </c>
      <c r="B1127" s="4">
        <v>548</v>
      </c>
      <c r="C1127" s="4">
        <v>78.489779999999996</v>
      </c>
      <c r="D1127" s="1">
        <v>5</v>
      </c>
      <c r="E1127" s="11">
        <f>($C$219-Table27[[#This Row],[Mass/%]])/$F$30</f>
        <v>0.26776718551152734</v>
      </c>
    </row>
    <row r="1128" spans="1:5" x14ac:dyDescent="0.15">
      <c r="A1128" s="4">
        <v>250.00306</v>
      </c>
      <c r="B1128" s="4">
        <v>548.5</v>
      </c>
      <c r="C1128" s="4">
        <v>78.470619999999997</v>
      </c>
      <c r="D1128" s="1">
        <v>5</v>
      </c>
      <c r="E1128" s="11">
        <f>($C$219-Table27[[#This Row],[Mass/%]])/$F$30</f>
        <v>0.26807668039287624</v>
      </c>
    </row>
    <row r="1129" spans="1:5" x14ac:dyDescent="0.15">
      <c r="A1129" s="4">
        <v>250.00700000000001</v>
      </c>
      <c r="B1129" s="4">
        <v>549</v>
      </c>
      <c r="C1129" s="4">
        <v>78.453590000000005</v>
      </c>
      <c r="D1129" s="1">
        <v>5</v>
      </c>
      <c r="E1129" s="11">
        <f>($C$219-Table27[[#This Row],[Mass/%]])/$F$30</f>
        <v>0.26835176900610014</v>
      </c>
    </row>
    <row r="1130" spans="1:5" x14ac:dyDescent="0.15">
      <c r="A1130" s="4">
        <v>250.00602000000001</v>
      </c>
      <c r="B1130" s="4">
        <v>549.5</v>
      </c>
      <c r="C1130" s="4">
        <v>78.460980000000006</v>
      </c>
      <c r="D1130" s="1">
        <v>5</v>
      </c>
      <c r="E1130" s="11">
        <f>($C$219-Table27[[#This Row],[Mass/%]])/$F$30</f>
        <v>0.26823239702420199</v>
      </c>
    </row>
    <row r="1131" spans="1:5" x14ac:dyDescent="0.15">
      <c r="A1131" s="4">
        <v>250.00595000000001</v>
      </c>
      <c r="B1131" s="4">
        <v>550</v>
      </c>
      <c r="C1131" s="4">
        <v>78.430350000000004</v>
      </c>
      <c r="D1131" s="1">
        <v>5</v>
      </c>
      <c r="E1131" s="11">
        <f>($C$219-Table27[[#This Row],[Mass/%]])/$F$30</f>
        <v>0.26872716885174469</v>
      </c>
    </row>
    <row r="1132" spans="1:5" x14ac:dyDescent="0.15">
      <c r="A1132" s="4">
        <v>250.00400999999999</v>
      </c>
      <c r="B1132" s="4">
        <v>550.5</v>
      </c>
      <c r="C1132" s="4">
        <v>78.432100000000005</v>
      </c>
      <c r="D1132" s="1">
        <v>5</v>
      </c>
      <c r="E1132" s="11">
        <f>($C$219-Table27[[#This Row],[Mass/%]])/$F$30</f>
        <v>0.26869890079107867</v>
      </c>
    </row>
    <row r="1133" spans="1:5" x14ac:dyDescent="0.15">
      <c r="A1133" s="4">
        <v>250.00200000000001</v>
      </c>
      <c r="B1133" s="4">
        <v>551</v>
      </c>
      <c r="C1133" s="4">
        <v>78.405529999999999</v>
      </c>
      <c r="D1133" s="1">
        <v>5</v>
      </c>
      <c r="E1133" s="11">
        <f>($C$219-Table27[[#This Row],[Mass/%]])/$F$30</f>
        <v>0.2691280907178763</v>
      </c>
    </row>
    <row r="1134" spans="1:5" x14ac:dyDescent="0.15">
      <c r="A1134" s="4">
        <v>250.00396000000001</v>
      </c>
      <c r="B1134" s="4">
        <v>551.5</v>
      </c>
      <c r="C1134" s="4">
        <v>78.403559999999999</v>
      </c>
      <c r="D1134" s="1">
        <v>5</v>
      </c>
      <c r="E1134" s="11">
        <f>($C$219-Table27[[#This Row],[Mass/%]])/$F$30</f>
        <v>0.26915991247759746</v>
      </c>
    </row>
    <row r="1135" spans="1:5" x14ac:dyDescent="0.15">
      <c r="A1135" s="4">
        <v>250.00399999999999</v>
      </c>
      <c r="B1135" s="4">
        <v>552</v>
      </c>
      <c r="C1135" s="4">
        <v>78.390119999999996</v>
      </c>
      <c r="D1135" s="1">
        <v>5</v>
      </c>
      <c r="E1135" s="11">
        <f>($C$219-Table27[[#This Row],[Mass/%]])/$F$30</f>
        <v>0.26937701118351243</v>
      </c>
    </row>
    <row r="1136" spans="1:5" x14ac:dyDescent="0.15">
      <c r="A1136" s="4">
        <v>250.00701000000001</v>
      </c>
      <c r="B1136" s="4">
        <v>552.5</v>
      </c>
      <c r="C1136" s="4">
        <v>78.395769999999999</v>
      </c>
      <c r="D1136" s="1">
        <v>5</v>
      </c>
      <c r="E1136" s="11">
        <f>($C$219-Table27[[#This Row],[Mass/%]])/$F$30</f>
        <v>0.26928574573050501</v>
      </c>
    </row>
    <row r="1137" spans="1:5" x14ac:dyDescent="0.15">
      <c r="A1137" s="4">
        <v>250.00701000000001</v>
      </c>
      <c r="B1137" s="4">
        <v>553</v>
      </c>
      <c r="C1137" s="4">
        <v>78.390249999999995</v>
      </c>
      <c r="D1137" s="1">
        <v>5</v>
      </c>
      <c r="E1137" s="11">
        <f>($C$219-Table27[[#This Row],[Mass/%]])/$F$30</f>
        <v>0.26937491127043439</v>
      </c>
    </row>
    <row r="1138" spans="1:5" x14ac:dyDescent="0.15">
      <c r="A1138" s="4">
        <v>250.00404</v>
      </c>
      <c r="B1138" s="4">
        <v>553.5</v>
      </c>
      <c r="C1138" s="4">
        <v>78.378489999999999</v>
      </c>
      <c r="D1138" s="1">
        <v>5</v>
      </c>
      <c r="E1138" s="11">
        <f>($C$219-Table27[[#This Row],[Mass/%]])/$F$30</f>
        <v>0.26956487263810985</v>
      </c>
    </row>
    <row r="1139" spans="1:5" x14ac:dyDescent="0.15">
      <c r="A1139" s="4">
        <v>250.00297</v>
      </c>
      <c r="B1139" s="4">
        <v>554</v>
      </c>
      <c r="C1139" s="4">
        <v>78.365229999999997</v>
      </c>
      <c r="D1139" s="1">
        <v>5</v>
      </c>
      <c r="E1139" s="11">
        <f>($C$219-Table27[[#This Row],[Mass/%]])/$F$30</f>
        <v>0.26977906377207062</v>
      </c>
    </row>
    <row r="1140" spans="1:5" x14ac:dyDescent="0.15">
      <c r="A1140" s="4">
        <v>250.00594000000001</v>
      </c>
      <c r="B1140" s="4">
        <v>554.5</v>
      </c>
      <c r="C1140" s="4">
        <v>78.357399999999998</v>
      </c>
      <c r="D1140" s="1">
        <v>5</v>
      </c>
      <c r="E1140" s="11">
        <f>($C$219-Table27[[#This Row],[Mass/%]])/$F$30</f>
        <v>0.26990554315207904</v>
      </c>
    </row>
    <row r="1141" spans="1:5" x14ac:dyDescent="0.15">
      <c r="A1141" s="4">
        <v>250.00699</v>
      </c>
      <c r="B1141" s="4">
        <v>555</v>
      </c>
      <c r="C1141" s="4">
        <v>78.351699999999994</v>
      </c>
      <c r="D1141" s="1">
        <v>5</v>
      </c>
      <c r="E1141" s="11">
        <f>($C$219-Table27[[#This Row],[Mass/%]])/$F$30</f>
        <v>0.26999761626396268</v>
      </c>
    </row>
    <row r="1142" spans="1:5" x14ac:dyDescent="0.15">
      <c r="A1142" s="4">
        <v>250.00397000000001</v>
      </c>
      <c r="B1142" s="4">
        <v>555.5</v>
      </c>
      <c r="C1142" s="4">
        <v>78.338099999999997</v>
      </c>
      <c r="D1142" s="1">
        <v>5</v>
      </c>
      <c r="E1142" s="11">
        <f>($C$219-Table27[[#This Row],[Mass/%]])/$F$30</f>
        <v>0.27021729947828127</v>
      </c>
    </row>
    <row r="1143" spans="1:5" x14ac:dyDescent="0.15">
      <c r="A1143" s="4">
        <v>250.00199000000001</v>
      </c>
      <c r="B1143" s="4">
        <v>556</v>
      </c>
      <c r="C1143" s="4">
        <v>78.322810000000004</v>
      </c>
      <c r="D1143" s="1">
        <v>5</v>
      </c>
      <c r="E1143" s="11">
        <f>($C$219-Table27[[#This Row],[Mass/%]])/$F$30</f>
        <v>0.27046428156261443</v>
      </c>
    </row>
    <row r="1144" spans="1:5" x14ac:dyDescent="0.15">
      <c r="A1144" s="4">
        <v>250.00703999999999</v>
      </c>
      <c r="B1144" s="4">
        <v>556.5</v>
      </c>
      <c r="C1144" s="4">
        <v>78.3095</v>
      </c>
      <c r="D1144" s="1">
        <v>5</v>
      </c>
      <c r="E1144" s="11">
        <f>($C$219-Table27[[#This Row],[Mass/%]])/$F$30</f>
        <v>0.27067928035545136</v>
      </c>
    </row>
    <row r="1145" spans="1:5" x14ac:dyDescent="0.15">
      <c r="A1145" s="4">
        <v>250.00505000000001</v>
      </c>
      <c r="B1145" s="4">
        <v>557</v>
      </c>
      <c r="C1145" s="4">
        <v>78.298119999999997</v>
      </c>
      <c r="D1145" s="1">
        <v>5</v>
      </c>
      <c r="E1145" s="11">
        <f>($C$219-Table27[[#This Row],[Mass/%]])/$F$30</f>
        <v>0.270863103515668</v>
      </c>
    </row>
    <row r="1146" spans="1:5" x14ac:dyDescent="0.15">
      <c r="A1146" s="4">
        <v>250.00601</v>
      </c>
      <c r="B1146" s="4">
        <v>557.5</v>
      </c>
      <c r="C1146" s="4">
        <v>78.282780000000002</v>
      </c>
      <c r="D1146" s="1">
        <v>5</v>
      </c>
      <c r="E1146" s="11">
        <f>($C$219-Table27[[#This Row],[Mass/%]])/$F$30</f>
        <v>0.27111089325887738</v>
      </c>
    </row>
    <row r="1147" spans="1:5" x14ac:dyDescent="0.15">
      <c r="A1147" s="4">
        <v>250.00595999999999</v>
      </c>
      <c r="B1147" s="4">
        <v>558</v>
      </c>
      <c r="C1147" s="4">
        <v>78.261499999999998</v>
      </c>
      <c r="D1147" s="1">
        <v>5</v>
      </c>
      <c r="E1147" s="11">
        <f>($C$219-Table27[[#This Row],[Mass/%]])/$F$30</f>
        <v>0.27145463287657606</v>
      </c>
    </row>
    <row r="1148" spans="1:5" x14ac:dyDescent="0.15">
      <c r="A1148" s="4">
        <v>250.00998000000001</v>
      </c>
      <c r="B1148" s="4">
        <v>558.5</v>
      </c>
      <c r="C1148" s="4">
        <v>78.269490000000005</v>
      </c>
      <c r="D1148" s="1">
        <v>5</v>
      </c>
      <c r="E1148" s="11">
        <f>($C$219-Table27[[#This Row],[Mass/%]])/$F$30</f>
        <v>0.27132556898816373</v>
      </c>
    </row>
    <row r="1149" spans="1:5" x14ac:dyDescent="0.15">
      <c r="A1149" s="4">
        <v>250.00702999999999</v>
      </c>
      <c r="B1149" s="4">
        <v>559</v>
      </c>
      <c r="C1149" s="4">
        <v>78.24812</v>
      </c>
      <c r="D1149" s="1">
        <v>5</v>
      </c>
      <c r="E1149" s="11">
        <f>($C$219-Table27[[#This Row],[Mass/%]])/$F$30</f>
        <v>0.27167076239183952</v>
      </c>
    </row>
    <row r="1150" spans="1:5" x14ac:dyDescent="0.15">
      <c r="A1150" s="4">
        <v>250.00799000000001</v>
      </c>
      <c r="B1150" s="4">
        <v>559.5</v>
      </c>
      <c r="C1150" s="4">
        <v>78.254159999999999</v>
      </c>
      <c r="D1150" s="1">
        <v>5</v>
      </c>
      <c r="E1150" s="11">
        <f>($C$219-Table27[[#This Row],[Mass/%]])/$F$30</f>
        <v>0.27157319719959799</v>
      </c>
    </row>
    <row r="1151" spans="1:5" x14ac:dyDescent="0.15">
      <c r="A1151" s="4">
        <v>250.00299000000001</v>
      </c>
      <c r="B1151" s="4">
        <v>560</v>
      </c>
      <c r="C1151" s="4">
        <v>78.228899999999996</v>
      </c>
      <c r="D1151" s="1">
        <v>5</v>
      </c>
      <c r="E1151" s="11">
        <f>($C$219-Table27[[#This Row],[Mass/%]])/$F$30</f>
        <v>0.27198122646383993</v>
      </c>
    </row>
    <row r="1152" spans="1:5" x14ac:dyDescent="0.15">
      <c r="A1152" s="4">
        <v>250.00199000000001</v>
      </c>
      <c r="B1152" s="4">
        <v>560.5</v>
      </c>
      <c r="C1152" s="4">
        <v>78.225099999999998</v>
      </c>
      <c r="D1152" s="1">
        <v>5</v>
      </c>
      <c r="E1152" s="11">
        <f>($C$219-Table27[[#This Row],[Mass/%]])/$F$30</f>
        <v>0.27204260853842893</v>
      </c>
    </row>
    <row r="1153" spans="1:5" x14ac:dyDescent="0.15">
      <c r="A1153" s="4">
        <v>250.001</v>
      </c>
      <c r="B1153" s="4">
        <v>561</v>
      </c>
      <c r="C1153" s="4">
        <v>78.196309999999997</v>
      </c>
      <c r="D1153" s="1">
        <v>5</v>
      </c>
      <c r="E1153" s="11">
        <f>($C$219-Table27[[#This Row],[Mass/%]])/$F$30</f>
        <v>0.27250765851932851</v>
      </c>
    </row>
    <row r="1154" spans="1:5" x14ac:dyDescent="0.15">
      <c r="A1154" s="4">
        <v>250.00394</v>
      </c>
      <c r="B1154" s="4">
        <v>561.5</v>
      </c>
      <c r="C1154" s="4">
        <v>78.175229999999999</v>
      </c>
      <c r="D1154" s="1">
        <v>5</v>
      </c>
      <c r="E1154" s="11">
        <f>($C$219-Table27[[#This Row],[Mass/%]])/$F$30</f>
        <v>0.27284816750152235</v>
      </c>
    </row>
    <row r="1155" spans="1:5" x14ac:dyDescent="0.15">
      <c r="A1155" s="4">
        <v>250.00399999999999</v>
      </c>
      <c r="B1155" s="4">
        <v>562</v>
      </c>
      <c r="C1155" s="4">
        <v>78.194460000000007</v>
      </c>
      <c r="D1155" s="1">
        <v>5</v>
      </c>
      <c r="E1155" s="11">
        <f>($C$219-Table27[[#This Row],[Mass/%]])/$F$30</f>
        <v>0.2725375418977467</v>
      </c>
    </row>
    <row r="1156" spans="1:5" x14ac:dyDescent="0.15">
      <c r="A1156" s="4">
        <v>250.00599</v>
      </c>
      <c r="B1156" s="4">
        <v>562.5</v>
      </c>
      <c r="C1156" s="4">
        <v>78.205789999999993</v>
      </c>
      <c r="D1156" s="1">
        <v>5</v>
      </c>
      <c r="E1156" s="11">
        <f>($C$219-Table27[[#This Row],[Mass/%]])/$F$30</f>
        <v>0.27235452639640645</v>
      </c>
    </row>
    <row r="1157" spans="1:5" x14ac:dyDescent="0.15">
      <c r="A1157" s="4">
        <v>250.00597999999999</v>
      </c>
      <c r="B1157" s="4">
        <v>563</v>
      </c>
      <c r="C1157" s="4">
        <v>78.169600000000003</v>
      </c>
      <c r="D1157" s="1">
        <v>5</v>
      </c>
      <c r="E1157" s="11">
        <f>($C$219-Table27[[#This Row],[Mass/%]])/$F$30</f>
        <v>0.27293910989097925</v>
      </c>
    </row>
    <row r="1158" spans="1:5" x14ac:dyDescent="0.15">
      <c r="A1158" s="4">
        <v>250.00697</v>
      </c>
      <c r="B1158" s="4">
        <v>563.5</v>
      </c>
      <c r="C1158" s="4">
        <v>78.154250000000005</v>
      </c>
      <c r="D1158" s="1">
        <v>5</v>
      </c>
      <c r="E1158" s="11">
        <f>($C$219-Table27[[#This Row],[Mass/%]])/$F$30</f>
        <v>0.27318706116596386</v>
      </c>
    </row>
    <row r="1159" spans="1:5" x14ac:dyDescent="0.15">
      <c r="A1159" s="4">
        <v>250.00596999999999</v>
      </c>
      <c r="B1159" s="4">
        <v>564</v>
      </c>
      <c r="C1159" s="4">
        <v>78.159970000000001</v>
      </c>
      <c r="D1159" s="1">
        <v>5</v>
      </c>
      <c r="E1159" s="11">
        <f>($C$219-Table27[[#This Row],[Mass/%]])/$F$30</f>
        <v>0.27309466499052987</v>
      </c>
    </row>
    <row r="1160" spans="1:5" x14ac:dyDescent="0.15">
      <c r="A1160" s="4">
        <v>250.012</v>
      </c>
      <c r="B1160" s="4">
        <v>564.5</v>
      </c>
      <c r="C1160" s="4">
        <v>78.159970000000001</v>
      </c>
      <c r="D1160" s="1">
        <v>5</v>
      </c>
      <c r="E1160" s="11">
        <f>($C$219-Table27[[#This Row],[Mass/%]])/$F$30</f>
        <v>0.27309466499052987</v>
      </c>
    </row>
    <row r="1161" spans="1:5" x14ac:dyDescent="0.15">
      <c r="A1161" s="4">
        <v>250.00798</v>
      </c>
      <c r="B1161" s="4">
        <v>565</v>
      </c>
      <c r="C1161" s="4">
        <v>78.158019999999993</v>
      </c>
      <c r="D1161" s="1">
        <v>5</v>
      </c>
      <c r="E1161" s="11">
        <f>($C$219-Table27[[#This Row],[Mass/%]])/$F$30</f>
        <v>0.27312616368670073</v>
      </c>
    </row>
    <row r="1162" spans="1:5" x14ac:dyDescent="0.15">
      <c r="A1162" s="4">
        <v>250.00496999999999</v>
      </c>
      <c r="B1162" s="4">
        <v>565.5</v>
      </c>
      <c r="C1162" s="4">
        <v>78.125360000000001</v>
      </c>
      <c r="D1162" s="1">
        <v>5</v>
      </c>
      <c r="E1162" s="11">
        <f>($C$219-Table27[[#This Row],[Mass/%]])/$F$30</f>
        <v>0.27365372646461583</v>
      </c>
    </row>
    <row r="1163" spans="1:5" x14ac:dyDescent="0.15">
      <c r="A1163" s="4">
        <v>250.00695999999999</v>
      </c>
      <c r="B1163" s="4">
        <v>566</v>
      </c>
      <c r="C1163" s="4">
        <v>78.138890000000004</v>
      </c>
      <c r="D1163" s="1">
        <v>5</v>
      </c>
      <c r="E1163" s="11">
        <f>($C$219-Table27[[#This Row],[Mass/%]])/$F$30</f>
        <v>0.27343517397272377</v>
      </c>
    </row>
    <row r="1164" spans="1:5" x14ac:dyDescent="0.15">
      <c r="A1164" s="4">
        <v>250.00706</v>
      </c>
      <c r="B1164" s="4">
        <v>566.5</v>
      </c>
      <c r="C1164" s="4">
        <v>78.140910000000005</v>
      </c>
      <c r="D1164" s="1">
        <v>5</v>
      </c>
      <c r="E1164" s="11">
        <f>($C$219-Table27[[#This Row],[Mass/%]])/$F$30</f>
        <v>0.27340254455412644</v>
      </c>
    </row>
    <row r="1165" spans="1:5" x14ac:dyDescent="0.15">
      <c r="A1165" s="4">
        <v>250.00299000000001</v>
      </c>
      <c r="B1165" s="4">
        <v>567</v>
      </c>
      <c r="C1165" s="4">
        <v>78.090980000000002</v>
      </c>
      <c r="D1165" s="1">
        <v>5</v>
      </c>
      <c r="E1165" s="11">
        <f>($C$219-Table27[[#This Row],[Mass/%]])/$F$30</f>
        <v>0.27420907270787137</v>
      </c>
    </row>
    <row r="1166" spans="1:5" x14ac:dyDescent="0.15">
      <c r="A1166" s="4">
        <v>250.00404</v>
      </c>
      <c r="B1166" s="4">
        <v>567.5</v>
      </c>
      <c r="C1166" s="4">
        <v>78.077600000000004</v>
      </c>
      <c r="D1166" s="1">
        <v>5</v>
      </c>
      <c r="E1166" s="11">
        <f>($C$219-Table27[[#This Row],[Mass/%]])/$F$30</f>
        <v>0.27442520222313482</v>
      </c>
    </row>
    <row r="1167" spans="1:5" x14ac:dyDescent="0.15">
      <c r="A1167" s="4">
        <v>250.001</v>
      </c>
      <c r="B1167" s="4">
        <v>568</v>
      </c>
      <c r="C1167" s="4">
        <v>78.102490000000003</v>
      </c>
      <c r="D1167" s="1">
        <v>5</v>
      </c>
      <c r="E1167" s="11">
        <f>($C$219-Table27[[#This Row],[Mass/%]])/$F$30</f>
        <v>0.27402314963457663</v>
      </c>
    </row>
    <row r="1168" spans="1:5" x14ac:dyDescent="0.15">
      <c r="A1168" s="4">
        <v>250.00398999999999</v>
      </c>
      <c r="B1168" s="4">
        <v>568.5</v>
      </c>
      <c r="C1168" s="4">
        <v>78.073710000000005</v>
      </c>
      <c r="D1168" s="1">
        <v>5</v>
      </c>
      <c r="E1168" s="11">
        <f>($C$219-Table27[[#This Row],[Mass/%]])/$F$30</f>
        <v>0.27448803808370092</v>
      </c>
    </row>
    <row r="1169" spans="1:5" x14ac:dyDescent="0.15">
      <c r="A1169" s="4">
        <v>250.00799000000001</v>
      </c>
      <c r="B1169" s="4">
        <v>569</v>
      </c>
      <c r="C1169" s="4">
        <v>78.066159999999996</v>
      </c>
      <c r="D1169" s="1">
        <v>5</v>
      </c>
      <c r="E1169" s="11">
        <f>($C$219-Table27[[#This Row],[Mass/%]])/$F$30</f>
        <v>0.27460999457400298</v>
      </c>
    </row>
    <row r="1170" spans="1:5" x14ac:dyDescent="0.15">
      <c r="A1170" s="4">
        <v>250.00602000000001</v>
      </c>
      <c r="B1170" s="4">
        <v>569.5</v>
      </c>
      <c r="C1170" s="4">
        <v>78.046800000000005</v>
      </c>
      <c r="D1170" s="1">
        <v>5</v>
      </c>
      <c r="E1170" s="11">
        <f>($C$219-Table27[[#This Row],[Mass/%]])/$F$30</f>
        <v>0.2749227200908565</v>
      </c>
    </row>
    <row r="1171" spans="1:5" x14ac:dyDescent="0.15">
      <c r="A1171" s="4">
        <v>250.00398999999999</v>
      </c>
      <c r="B1171" s="4">
        <v>570</v>
      </c>
      <c r="C1171" s="4">
        <v>78.044889999999995</v>
      </c>
      <c r="D1171" s="1">
        <v>5</v>
      </c>
      <c r="E1171" s="11">
        <f>($C$219-Table27[[#This Row],[Mass/%]])/$F$30</f>
        <v>0.27495357265992637</v>
      </c>
    </row>
    <row r="1172" spans="1:5" x14ac:dyDescent="0.15">
      <c r="A1172" s="4">
        <v>250.00397000000001</v>
      </c>
      <c r="B1172" s="4">
        <v>570.5</v>
      </c>
      <c r="C1172" s="4">
        <v>78.039270000000002</v>
      </c>
      <c r="D1172" s="1">
        <v>5</v>
      </c>
      <c r="E1172" s="11">
        <f>($C$219-Table27[[#This Row],[Mass/%]])/$F$30</f>
        <v>0.27504435351760792</v>
      </c>
    </row>
    <row r="1173" spans="1:5" x14ac:dyDescent="0.15">
      <c r="A1173" s="4">
        <v>250.00504000000001</v>
      </c>
      <c r="B1173" s="4">
        <v>571</v>
      </c>
      <c r="C1173" s="4">
        <v>78.018299999999996</v>
      </c>
      <c r="D1173" s="1">
        <v>5</v>
      </c>
      <c r="E1173" s="11">
        <f>($C$219-Table27[[#This Row],[Mass/%]])/$F$30</f>
        <v>0.27538308565027436</v>
      </c>
    </row>
    <row r="1174" spans="1:5" x14ac:dyDescent="0.15">
      <c r="A1174" s="4">
        <v>250.00693999999999</v>
      </c>
      <c r="B1174" s="4">
        <v>571.5</v>
      </c>
      <c r="C1174" s="4">
        <v>78.006590000000003</v>
      </c>
      <c r="D1174" s="1">
        <v>5</v>
      </c>
      <c r="E1174" s="11">
        <f>($C$219-Table27[[#This Row],[Mass/%]])/$F$30</f>
        <v>0.27557223935907366</v>
      </c>
    </row>
    <row r="1175" spans="1:5" x14ac:dyDescent="0.15">
      <c r="A1175" s="4">
        <v>250.00597999999999</v>
      </c>
      <c r="B1175" s="4">
        <v>572</v>
      </c>
      <c r="C1175" s="4">
        <v>78.014089999999996</v>
      </c>
      <c r="D1175" s="1">
        <v>5</v>
      </c>
      <c r="E1175" s="11">
        <f>($C$219-Table27[[#This Row],[Mass/%]])/$F$30</f>
        <v>0.27545109052764805</v>
      </c>
    </row>
    <row r="1176" spans="1:5" x14ac:dyDescent="0.15">
      <c r="A1176" s="4">
        <v>250.012</v>
      </c>
      <c r="B1176" s="4">
        <v>572.5</v>
      </c>
      <c r="C1176" s="4">
        <v>78.000770000000003</v>
      </c>
      <c r="D1176" s="1">
        <v>5</v>
      </c>
      <c r="E1176" s="11">
        <f>($C$219-Table27[[#This Row],[Mass/%]])/$F$30</f>
        <v>0.27566625085225999</v>
      </c>
    </row>
    <row r="1177" spans="1:5" x14ac:dyDescent="0.15">
      <c r="A1177" s="4">
        <v>250.01002</v>
      </c>
      <c r="B1177" s="4">
        <v>573</v>
      </c>
      <c r="C1177" s="4">
        <v>77.983620000000002</v>
      </c>
      <c r="D1177" s="1">
        <v>5</v>
      </c>
      <c r="E1177" s="11">
        <f>($C$219-Table27[[#This Row],[Mass/%]])/$F$30</f>
        <v>0.27594327784678685</v>
      </c>
    </row>
    <row r="1178" spans="1:5" x14ac:dyDescent="0.15">
      <c r="A1178" s="4">
        <v>250.01102</v>
      </c>
      <c r="B1178" s="4">
        <v>573.5</v>
      </c>
      <c r="C1178" s="4">
        <v>77.976079999999996</v>
      </c>
      <c r="D1178" s="1">
        <v>5</v>
      </c>
      <c r="E1178" s="11">
        <f>($C$219-Table27[[#This Row],[Mass/%]])/$F$30</f>
        <v>0.27606507280531362</v>
      </c>
    </row>
    <row r="1179" spans="1:5" x14ac:dyDescent="0.15">
      <c r="A1179" s="4">
        <v>250.00797</v>
      </c>
      <c r="B1179" s="4">
        <v>574</v>
      </c>
      <c r="C1179" s="4">
        <v>77.968199999999996</v>
      </c>
      <c r="D1179" s="1">
        <v>5</v>
      </c>
      <c r="E1179" s="11">
        <f>($C$219-Table27[[#This Row],[Mass/%]])/$F$30</f>
        <v>0.27619235984419827</v>
      </c>
    </row>
    <row r="1180" spans="1:5" x14ac:dyDescent="0.15">
      <c r="A1180" s="4">
        <v>250.00103999999999</v>
      </c>
      <c r="B1180" s="4">
        <v>574.5</v>
      </c>
      <c r="C1180" s="4">
        <v>77.949169999999995</v>
      </c>
      <c r="D1180" s="1">
        <v>5</v>
      </c>
      <c r="E1180" s="11">
        <f>($C$219-Table27[[#This Row],[Mass/%]])/$F$30</f>
        <v>0.27649975481246913</v>
      </c>
    </row>
    <row r="1181" spans="1:5" x14ac:dyDescent="0.15">
      <c r="A1181" s="4">
        <v>250</v>
      </c>
      <c r="B1181" s="4">
        <v>575</v>
      </c>
      <c r="C1181" s="4">
        <v>77.920249999999996</v>
      </c>
      <c r="D1181" s="1">
        <v>5</v>
      </c>
      <c r="E1181" s="11">
        <f>($C$219-Table27[[#This Row],[Mass/%]])/$F$30</f>
        <v>0.27696690470644675</v>
      </c>
    </row>
    <row r="1182" spans="1:5" x14ac:dyDescent="0.15">
      <c r="A1182" s="4">
        <v>250.00201000000001</v>
      </c>
      <c r="B1182" s="4">
        <v>575.5</v>
      </c>
      <c r="C1182" s="4">
        <v>77.926069999999996</v>
      </c>
      <c r="D1182" s="1">
        <v>5</v>
      </c>
      <c r="E1182" s="11">
        <f>($C$219-Table27[[#This Row],[Mass/%]])/$F$30</f>
        <v>0.27687289321326036</v>
      </c>
    </row>
    <row r="1183" spans="1:5" x14ac:dyDescent="0.15">
      <c r="A1183" s="4">
        <v>250.00398999999999</v>
      </c>
      <c r="B1183" s="4">
        <v>576</v>
      </c>
      <c r="C1183" s="4">
        <v>77.901060000000001</v>
      </c>
      <c r="D1183" s="1">
        <v>5</v>
      </c>
      <c r="E1183" s="11">
        <f>($C$219-Table27[[#This Row],[Mass/%]])/$F$30</f>
        <v>0.2772768841831213</v>
      </c>
    </row>
    <row r="1184" spans="1:5" x14ac:dyDescent="0.15">
      <c r="A1184" s="4">
        <v>250.00595000000001</v>
      </c>
      <c r="B1184" s="4">
        <v>576.5</v>
      </c>
      <c r="C1184" s="4">
        <v>77.902950000000004</v>
      </c>
      <c r="D1184" s="1">
        <v>5</v>
      </c>
      <c r="E1184" s="11">
        <f>($C$219-Table27[[#This Row],[Mass/%]])/$F$30</f>
        <v>0.27724635467760195</v>
      </c>
    </row>
    <row r="1185" spans="1:5" x14ac:dyDescent="0.15">
      <c r="A1185" s="4">
        <v>250.01000999999999</v>
      </c>
      <c r="B1185" s="4">
        <v>577</v>
      </c>
      <c r="C1185" s="4">
        <v>77.905060000000006</v>
      </c>
      <c r="D1185" s="1">
        <v>5</v>
      </c>
      <c r="E1185" s="11">
        <f>($C$219-Table27[[#This Row],[Mass/%]])/$F$30</f>
        <v>0.27721227147302752</v>
      </c>
    </row>
    <row r="1186" spans="1:5" x14ac:dyDescent="0.15">
      <c r="A1186" s="4">
        <v>250.00704999999999</v>
      </c>
      <c r="B1186" s="4">
        <v>577.5</v>
      </c>
      <c r="C1186" s="4">
        <v>77.889690000000002</v>
      </c>
      <c r="D1186" s="1">
        <v>5</v>
      </c>
      <c r="E1186" s="11">
        <f>($C$219-Table27[[#This Row],[Mass/%]])/$F$30</f>
        <v>0.27746054581156271</v>
      </c>
    </row>
    <row r="1187" spans="1:5" x14ac:dyDescent="0.15">
      <c r="A1187" s="4">
        <v>250.006</v>
      </c>
      <c r="B1187" s="4">
        <v>578</v>
      </c>
      <c r="C1187" s="4">
        <v>77.876090000000005</v>
      </c>
      <c r="D1187" s="1">
        <v>5</v>
      </c>
      <c r="E1187" s="11">
        <f>($C$219-Table27[[#This Row],[Mass/%]])/$F$30</f>
        <v>0.2776802290258813</v>
      </c>
    </row>
    <row r="1188" spans="1:5" x14ac:dyDescent="0.15">
      <c r="A1188" s="4">
        <v>250.00704999999999</v>
      </c>
      <c r="B1188" s="4">
        <v>578.5</v>
      </c>
      <c r="C1188" s="4">
        <v>77.880080000000007</v>
      </c>
      <c r="D1188" s="1">
        <v>5</v>
      </c>
      <c r="E1188" s="11">
        <f>($C$219-Table27[[#This Row],[Mass/%]])/$F$30</f>
        <v>0.27761577784756281</v>
      </c>
    </row>
    <row r="1189" spans="1:5" x14ac:dyDescent="0.15">
      <c r="A1189" s="4">
        <v>250.00299999999999</v>
      </c>
      <c r="B1189" s="4">
        <v>579</v>
      </c>
      <c r="C1189" s="4">
        <v>77.853070000000002</v>
      </c>
      <c r="D1189" s="1">
        <v>5</v>
      </c>
      <c r="E1189" s="11">
        <f>($C$219-Table27[[#This Row],[Mass/%]])/$F$30</f>
        <v>0.27805207517247071</v>
      </c>
    </row>
    <row r="1190" spans="1:5" x14ac:dyDescent="0.15">
      <c r="A1190" s="4">
        <v>250.00896</v>
      </c>
      <c r="B1190" s="4">
        <v>579.5</v>
      </c>
      <c r="C1190" s="4">
        <v>77.841759999999994</v>
      </c>
      <c r="D1190" s="1">
        <v>5</v>
      </c>
      <c r="E1190" s="11">
        <f>($C$219-Table27[[#This Row],[Mass/%]])/$F$30</f>
        <v>0.27823476761026084</v>
      </c>
    </row>
    <row r="1191" spans="1:5" x14ac:dyDescent="0.15">
      <c r="A1191" s="4">
        <v>250.01104000000001</v>
      </c>
      <c r="B1191" s="4">
        <v>580</v>
      </c>
      <c r="C1191" s="4">
        <v>77.839690000000004</v>
      </c>
      <c r="D1191" s="1">
        <v>5</v>
      </c>
      <c r="E1191" s="11">
        <f>($C$219-Table27[[#This Row],[Mass/%]])/$F$30</f>
        <v>0.27826820468773417</v>
      </c>
    </row>
    <row r="1192" spans="1:5" x14ac:dyDescent="0.15">
      <c r="A1192" s="4">
        <v>250.00996000000001</v>
      </c>
      <c r="B1192" s="4">
        <v>580.5</v>
      </c>
      <c r="C1192" s="4">
        <v>77.83587</v>
      </c>
      <c r="D1192" s="1">
        <v>5</v>
      </c>
      <c r="E1192" s="11">
        <f>($C$219-Table27[[#This Row],[Mass/%]])/$F$30</f>
        <v>0.27832990982587374</v>
      </c>
    </row>
    <row r="1193" spans="1:5" x14ac:dyDescent="0.15">
      <c r="A1193" s="4">
        <v>250.00299999999999</v>
      </c>
      <c r="B1193" s="4">
        <v>581</v>
      </c>
      <c r="C1193" s="4">
        <v>77.811049999999994</v>
      </c>
      <c r="D1193" s="1">
        <v>5</v>
      </c>
      <c r="E1193" s="11">
        <f>($C$219-Table27[[#This Row],[Mass/%]])/$F$30</f>
        <v>0.27873083169200541</v>
      </c>
    </row>
    <row r="1194" spans="1:5" x14ac:dyDescent="0.15">
      <c r="A1194" s="4">
        <v>250.00002000000001</v>
      </c>
      <c r="B1194" s="4">
        <v>581.5</v>
      </c>
      <c r="C1194" s="4">
        <v>77.811000000000007</v>
      </c>
      <c r="D1194" s="1">
        <v>5</v>
      </c>
      <c r="E1194" s="11">
        <f>($C$219-Table27[[#This Row],[Mass/%]])/$F$30</f>
        <v>0.27873163935088136</v>
      </c>
    </row>
    <row r="1195" spans="1:5" x14ac:dyDescent="0.15">
      <c r="A1195" s="4">
        <v>249.99994000000001</v>
      </c>
      <c r="B1195" s="4">
        <v>582</v>
      </c>
      <c r="C1195" s="4">
        <v>77.799570000000003</v>
      </c>
      <c r="D1195" s="1">
        <v>5</v>
      </c>
      <c r="E1195" s="11">
        <f>($C$219-Table27[[#This Row],[Mass/%]])/$F$30</f>
        <v>0.27891627016997422</v>
      </c>
    </row>
    <row r="1196" spans="1:5" x14ac:dyDescent="0.15">
      <c r="A1196" s="4">
        <v>250.00402</v>
      </c>
      <c r="B1196" s="4">
        <v>582.5</v>
      </c>
      <c r="C1196" s="4">
        <v>77.788060000000002</v>
      </c>
      <c r="D1196" s="1">
        <v>5</v>
      </c>
      <c r="E1196" s="11">
        <f>($C$219-Table27[[#This Row],[Mass/%]])/$F$30</f>
        <v>0.27910219324326896</v>
      </c>
    </row>
    <row r="1197" spans="1:5" x14ac:dyDescent="0.15">
      <c r="A1197" s="4">
        <v>250.00897000000001</v>
      </c>
      <c r="B1197" s="4">
        <v>583</v>
      </c>
      <c r="C1197" s="4">
        <v>77.780389999999997</v>
      </c>
      <c r="D1197" s="1">
        <v>5</v>
      </c>
      <c r="E1197" s="11">
        <f>($C$219-Table27[[#This Row],[Mass/%]])/$F$30</f>
        <v>0.27922608811487371</v>
      </c>
    </row>
    <row r="1198" spans="1:5" x14ac:dyDescent="0.15">
      <c r="A1198" s="4">
        <v>250.00701000000001</v>
      </c>
      <c r="B1198" s="4">
        <v>583.5</v>
      </c>
      <c r="C1198" s="4">
        <v>77.768730000000005</v>
      </c>
      <c r="D1198" s="1">
        <v>5</v>
      </c>
      <c r="E1198" s="11">
        <f>($C$219-Table27[[#This Row],[Mass/%]])/$F$30</f>
        <v>0.27941443416479678</v>
      </c>
    </row>
    <row r="1199" spans="1:5" x14ac:dyDescent="0.15">
      <c r="A1199" s="4">
        <v>250.00599</v>
      </c>
      <c r="B1199" s="4">
        <v>584</v>
      </c>
      <c r="C1199" s="4">
        <v>77.741919999999993</v>
      </c>
      <c r="D1199" s="1">
        <v>5</v>
      </c>
      <c r="E1199" s="11">
        <f>($C$219-Table27[[#This Row],[Mass/%]])/$F$30</f>
        <v>0.27984750085420018</v>
      </c>
    </row>
    <row r="1200" spans="1:5" x14ac:dyDescent="0.15">
      <c r="A1200" s="4">
        <v>250.00896</v>
      </c>
      <c r="B1200" s="4">
        <v>584.5</v>
      </c>
      <c r="C1200" s="4">
        <v>77.74776</v>
      </c>
      <c r="D1200" s="1">
        <v>5</v>
      </c>
      <c r="E1200" s="11">
        <f>($C$219-Table27[[#This Row],[Mass/%]])/$F$30</f>
        <v>0.27975316629746322</v>
      </c>
    </row>
    <row r="1201" spans="1:5" x14ac:dyDescent="0.15">
      <c r="A1201" s="4">
        <v>250.00398000000001</v>
      </c>
      <c r="B1201" s="4">
        <v>585</v>
      </c>
      <c r="C1201" s="4">
        <v>77.736159999999998</v>
      </c>
      <c r="D1201" s="1">
        <v>5</v>
      </c>
      <c r="E1201" s="11">
        <f>($C$219-Table27[[#This Row],[Mass/%]])/$F$30</f>
        <v>0.27994054315673506</v>
      </c>
    </row>
    <row r="1202" spans="1:5" x14ac:dyDescent="0.15">
      <c r="A1202" s="4">
        <v>250.00506999999999</v>
      </c>
      <c r="B1202" s="4">
        <v>585.5</v>
      </c>
      <c r="C1202" s="4">
        <v>77.730440000000002</v>
      </c>
      <c r="D1202" s="1">
        <v>5</v>
      </c>
      <c r="E1202" s="11">
        <f>($C$219-Table27[[#This Row],[Mass/%]])/$F$30</f>
        <v>0.280032939332169</v>
      </c>
    </row>
    <row r="1203" spans="1:5" x14ac:dyDescent="0.15">
      <c r="A1203" s="4">
        <v>250.00702000000001</v>
      </c>
      <c r="B1203" s="4">
        <v>586</v>
      </c>
      <c r="C1203" s="4">
        <v>77.719070000000002</v>
      </c>
      <c r="D1203" s="1">
        <v>5</v>
      </c>
      <c r="E1203" s="11">
        <f>($C$219-Table27[[#This Row],[Mass/%]])/$F$30</f>
        <v>0.28021660096061041</v>
      </c>
    </row>
    <row r="1204" spans="1:5" x14ac:dyDescent="0.15">
      <c r="A1204" s="4">
        <v>250.00403</v>
      </c>
      <c r="B1204" s="4">
        <v>586.5</v>
      </c>
      <c r="C1204" s="4">
        <v>77.723020000000005</v>
      </c>
      <c r="D1204" s="1">
        <v>5</v>
      </c>
      <c r="E1204" s="11">
        <f>($C$219-Table27[[#This Row],[Mass/%]])/$F$30</f>
        <v>0.28015279590939279</v>
      </c>
    </row>
    <row r="1205" spans="1:5" x14ac:dyDescent="0.15">
      <c r="A1205" s="4">
        <v>249.99700000000001</v>
      </c>
      <c r="B1205" s="4">
        <v>587</v>
      </c>
      <c r="C1205" s="4">
        <v>77.707419999999999</v>
      </c>
      <c r="D1205" s="1">
        <v>5</v>
      </c>
      <c r="E1205" s="11">
        <f>($C$219-Table27[[#This Row],[Mass/%]])/$F$30</f>
        <v>0.28040478547875841</v>
      </c>
    </row>
    <row r="1206" spans="1:5" x14ac:dyDescent="0.15">
      <c r="A1206" s="4">
        <v>250.00101000000001</v>
      </c>
      <c r="B1206" s="4">
        <v>587.5</v>
      </c>
      <c r="C1206" s="4">
        <v>77.707490000000007</v>
      </c>
      <c r="D1206" s="1">
        <v>5</v>
      </c>
      <c r="E1206" s="11">
        <f>($C$219-Table27[[#This Row],[Mass/%]])/$F$30</f>
        <v>0.28040365475633167</v>
      </c>
    </row>
    <row r="1207" spans="1:5" x14ac:dyDescent="0.15">
      <c r="A1207" s="4">
        <v>250.00003000000001</v>
      </c>
      <c r="B1207" s="4">
        <v>588</v>
      </c>
      <c r="C1207" s="4">
        <v>77.686359999999993</v>
      </c>
      <c r="D1207" s="1">
        <v>5</v>
      </c>
      <c r="E1207" s="11">
        <f>($C$219-Table27[[#This Row],[Mass/%]])/$F$30</f>
        <v>0.28074497139740195</v>
      </c>
    </row>
    <row r="1208" spans="1:5" x14ac:dyDescent="0.15">
      <c r="A1208" s="4">
        <v>250.00603000000001</v>
      </c>
      <c r="B1208" s="4">
        <v>588.5</v>
      </c>
      <c r="C1208" s="4">
        <v>77.695930000000004</v>
      </c>
      <c r="D1208" s="1">
        <v>5</v>
      </c>
      <c r="E1208" s="11">
        <f>($C$219-Table27[[#This Row],[Mass/%]])/$F$30</f>
        <v>0.28059038548850257</v>
      </c>
    </row>
    <row r="1209" spans="1:5" x14ac:dyDescent="0.15">
      <c r="A1209" s="4">
        <v>250.006</v>
      </c>
      <c r="B1209" s="4">
        <v>589</v>
      </c>
      <c r="C1209" s="4">
        <v>77.670969999999997</v>
      </c>
      <c r="D1209" s="1">
        <v>5</v>
      </c>
      <c r="E1209" s="11">
        <f>($C$219-Table27[[#This Row],[Mass/%]])/$F$30</f>
        <v>0.2809935687994875</v>
      </c>
    </row>
    <row r="1210" spans="1:5" x14ac:dyDescent="0.15">
      <c r="A1210" s="4">
        <v>250.00497999999999</v>
      </c>
      <c r="B1210" s="4">
        <v>589.5</v>
      </c>
      <c r="C1210" s="4">
        <v>77.651719999999997</v>
      </c>
      <c r="D1210" s="1">
        <v>5</v>
      </c>
      <c r="E1210" s="11">
        <f>($C$219-Table27[[#This Row],[Mass/%]])/$F$30</f>
        <v>0.28130451746681351</v>
      </c>
    </row>
    <row r="1211" spans="1:5" x14ac:dyDescent="0.15">
      <c r="A1211" s="4">
        <v>250.01101</v>
      </c>
      <c r="B1211" s="4">
        <v>590</v>
      </c>
      <c r="C1211" s="4">
        <v>77.653679999999994</v>
      </c>
      <c r="D1211" s="1">
        <v>5</v>
      </c>
      <c r="E1211" s="11">
        <f>($C$219-Table27[[#This Row],[Mass/%]])/$F$30</f>
        <v>0.28127285723886764</v>
      </c>
    </row>
    <row r="1212" spans="1:5" x14ac:dyDescent="0.15">
      <c r="A1212" s="4">
        <v>250.00300999999999</v>
      </c>
      <c r="B1212" s="4">
        <v>590.5</v>
      </c>
      <c r="C1212" s="4">
        <v>77.634450000000001</v>
      </c>
      <c r="D1212" s="1">
        <v>5</v>
      </c>
      <c r="E1212" s="11">
        <f>($C$219-Table27[[#This Row],[Mass/%]])/$F$30</f>
        <v>0.28158348284264312</v>
      </c>
    </row>
    <row r="1213" spans="1:5" x14ac:dyDescent="0.15">
      <c r="A1213" s="4">
        <v>250.00596999999999</v>
      </c>
      <c r="B1213" s="4">
        <v>591</v>
      </c>
      <c r="C1213" s="4">
        <v>77.630570000000006</v>
      </c>
      <c r="D1213" s="1">
        <v>5</v>
      </c>
      <c r="E1213" s="11">
        <f>($C$219-Table27[[#This Row],[Mass/%]])/$F$30</f>
        <v>0.28164615717143393</v>
      </c>
    </row>
    <row r="1214" spans="1:5" x14ac:dyDescent="0.15">
      <c r="A1214" s="4">
        <v>250.00895</v>
      </c>
      <c r="B1214" s="4">
        <v>591.5</v>
      </c>
      <c r="C1214" s="4">
        <v>77.627129999999994</v>
      </c>
      <c r="D1214" s="1">
        <v>5</v>
      </c>
      <c r="E1214" s="11">
        <f>($C$219-Table27[[#This Row],[Mass/%]])/$F$30</f>
        <v>0.28170172410211475</v>
      </c>
    </row>
    <row r="1215" spans="1:5" x14ac:dyDescent="0.15">
      <c r="A1215" s="4">
        <v>250.00700000000001</v>
      </c>
      <c r="B1215" s="4">
        <v>592</v>
      </c>
      <c r="C1215" s="4">
        <v>77.623050000000006</v>
      </c>
      <c r="D1215" s="1">
        <v>5</v>
      </c>
      <c r="E1215" s="11">
        <f>($C$219-Table27[[#This Row],[Mass/%]])/$F$30</f>
        <v>0.28176762906641012</v>
      </c>
    </row>
    <row r="1216" spans="1:5" x14ac:dyDescent="0.15">
      <c r="A1216" s="4">
        <v>250.00399999999999</v>
      </c>
      <c r="B1216" s="4">
        <v>592.5</v>
      </c>
      <c r="C1216" s="4">
        <v>77.611720000000005</v>
      </c>
      <c r="D1216" s="1">
        <v>5</v>
      </c>
      <c r="E1216" s="11">
        <f>($C$219-Table27[[#This Row],[Mass/%]])/$F$30</f>
        <v>0.2819506445677506</v>
      </c>
    </row>
    <row r="1217" spans="1:5" x14ac:dyDescent="0.15">
      <c r="A1217" s="4">
        <v>250.00801999999999</v>
      </c>
      <c r="B1217" s="4">
        <v>593</v>
      </c>
      <c r="C1217" s="4">
        <v>77.596239999999995</v>
      </c>
      <c r="D1217" s="1">
        <v>5</v>
      </c>
      <c r="E1217" s="11">
        <f>($C$219-Table27[[#This Row],[Mass/%]])/$F$30</f>
        <v>0.28220069575581352</v>
      </c>
    </row>
    <row r="1218" spans="1:5" x14ac:dyDescent="0.15">
      <c r="A1218" s="4">
        <v>250.00403</v>
      </c>
      <c r="B1218" s="4">
        <v>593.5</v>
      </c>
      <c r="C1218" s="4">
        <v>77.599869999999996</v>
      </c>
      <c r="D1218" s="1">
        <v>5</v>
      </c>
      <c r="E1218" s="11">
        <f>($C$219-Table27[[#This Row],[Mass/%]])/$F$30</f>
        <v>0.28214205972140344</v>
      </c>
    </row>
    <row r="1219" spans="1:5" x14ac:dyDescent="0.15">
      <c r="A1219" s="4">
        <v>250.005</v>
      </c>
      <c r="B1219" s="4">
        <v>594</v>
      </c>
      <c r="C1219" s="4">
        <v>77.569339999999997</v>
      </c>
      <c r="D1219" s="1">
        <v>5</v>
      </c>
      <c r="E1219" s="11">
        <f>($C$219-Table27[[#This Row],[Mass/%]])/$F$30</f>
        <v>0.28263521623119375</v>
      </c>
    </row>
    <row r="1220" spans="1:5" x14ac:dyDescent="0.15">
      <c r="A1220" s="4">
        <v>250.00798</v>
      </c>
      <c r="B1220" s="4">
        <v>594.5</v>
      </c>
      <c r="C1220" s="4">
        <v>77.567390000000003</v>
      </c>
      <c r="D1220" s="1">
        <v>5</v>
      </c>
      <c r="E1220" s="11">
        <f>($C$219-Table27[[#This Row],[Mass/%]])/$F$30</f>
        <v>0.28266671492736434</v>
      </c>
    </row>
    <row r="1221" spans="1:5" x14ac:dyDescent="0.15">
      <c r="A1221" s="4">
        <v>250.00901999999999</v>
      </c>
      <c r="B1221" s="4">
        <v>595</v>
      </c>
      <c r="C1221" s="4">
        <v>77.567509999999999</v>
      </c>
      <c r="D1221" s="1">
        <v>5</v>
      </c>
      <c r="E1221" s="11">
        <f>($C$219-Table27[[#This Row],[Mass/%]])/$F$30</f>
        <v>0.28266477654606159</v>
      </c>
    </row>
    <row r="1222" spans="1:5" x14ac:dyDescent="0.15">
      <c r="A1222" s="4">
        <v>250.00805</v>
      </c>
      <c r="B1222" s="4">
        <v>595.5</v>
      </c>
      <c r="C1222" s="4">
        <v>77.557950000000005</v>
      </c>
      <c r="D1222" s="1">
        <v>5</v>
      </c>
      <c r="E1222" s="11">
        <f>($C$219-Table27[[#This Row],[Mass/%]])/$F$30</f>
        <v>0.28281920092318547</v>
      </c>
    </row>
    <row r="1223" spans="1:5" x14ac:dyDescent="0.15">
      <c r="A1223" s="4">
        <v>250.00701000000001</v>
      </c>
      <c r="B1223" s="4">
        <v>596</v>
      </c>
      <c r="C1223" s="4">
        <v>77.533090000000001</v>
      </c>
      <c r="D1223" s="1">
        <v>5</v>
      </c>
      <c r="E1223" s="11">
        <f>($C$219-Table27[[#This Row],[Mass/%]])/$F$30</f>
        <v>0.28322076891641801</v>
      </c>
    </row>
    <row r="1224" spans="1:5" x14ac:dyDescent="0.15">
      <c r="A1224" s="4">
        <v>250.005</v>
      </c>
      <c r="B1224" s="4">
        <v>596.5</v>
      </c>
      <c r="C1224" s="4">
        <v>77.527100000000004</v>
      </c>
      <c r="D1224" s="1">
        <v>5</v>
      </c>
      <c r="E1224" s="11">
        <f>($C$219-Table27[[#This Row],[Mass/%]])/$F$30</f>
        <v>0.28331752644978331</v>
      </c>
    </row>
    <row r="1225" spans="1:5" x14ac:dyDescent="0.15">
      <c r="A1225" s="4">
        <v>250.00704999999999</v>
      </c>
      <c r="B1225" s="4">
        <v>597</v>
      </c>
      <c r="C1225" s="4">
        <v>77.529340000000005</v>
      </c>
      <c r="D1225" s="1">
        <v>5</v>
      </c>
      <c r="E1225" s="11">
        <f>($C$219-Table27[[#This Row],[Mass/%]])/$F$30</f>
        <v>0.28328134333213084</v>
      </c>
    </row>
    <row r="1226" spans="1:5" x14ac:dyDescent="0.15">
      <c r="A1226" s="4">
        <v>250.00596999999999</v>
      </c>
      <c r="B1226" s="4">
        <v>597.5</v>
      </c>
      <c r="C1226" s="4">
        <v>77.519589999999994</v>
      </c>
      <c r="D1226" s="1">
        <v>5</v>
      </c>
      <c r="E1226" s="11">
        <f>($C$219-Table27[[#This Row],[Mass/%]])/$F$30</f>
        <v>0.28343883681298448</v>
      </c>
    </row>
    <row r="1227" spans="1:5" x14ac:dyDescent="0.15">
      <c r="A1227" s="4">
        <v>250</v>
      </c>
      <c r="B1227" s="4">
        <v>598</v>
      </c>
      <c r="C1227" s="4">
        <v>77.506140000000002</v>
      </c>
      <c r="D1227" s="1">
        <v>5</v>
      </c>
      <c r="E1227" s="11">
        <f>($C$219-Table27[[#This Row],[Mass/%]])/$F$30</f>
        <v>0.28365609705067446</v>
      </c>
    </row>
    <row r="1228" spans="1:5" x14ac:dyDescent="0.15">
      <c r="A1228" s="4">
        <v>250.00698</v>
      </c>
      <c r="B1228" s="4">
        <v>598.5</v>
      </c>
      <c r="C1228" s="4">
        <v>77.502309999999994</v>
      </c>
      <c r="D1228" s="1">
        <v>5</v>
      </c>
      <c r="E1228" s="11">
        <f>($C$219-Table27[[#This Row],[Mass/%]])/$F$30</f>
        <v>0.28371796372058933</v>
      </c>
    </row>
    <row r="1229" spans="1:5" x14ac:dyDescent="0.15">
      <c r="A1229" s="4">
        <v>250.00496000000001</v>
      </c>
      <c r="B1229" s="4">
        <v>599</v>
      </c>
      <c r="C1229" s="4">
        <v>77.489000000000004</v>
      </c>
      <c r="D1229" s="1">
        <v>5</v>
      </c>
      <c r="E1229" s="11">
        <f>($C$219-Table27[[#This Row],[Mass/%]])/$F$30</f>
        <v>0.28393296251342603</v>
      </c>
    </row>
    <row r="1230" spans="1:5" x14ac:dyDescent="0.15">
      <c r="A1230" s="4">
        <v>250.00498999999999</v>
      </c>
      <c r="B1230" s="4">
        <v>599.5</v>
      </c>
      <c r="C1230" s="4">
        <v>77.486980000000003</v>
      </c>
      <c r="D1230" s="1">
        <v>5</v>
      </c>
      <c r="E1230" s="11">
        <f>($C$219-Table27[[#This Row],[Mass/%]])/$F$30</f>
        <v>0.28396559193202336</v>
      </c>
    </row>
    <row r="1231" spans="1:5" x14ac:dyDescent="0.15">
      <c r="A1231" s="4">
        <v>250.00404</v>
      </c>
      <c r="B1231" s="4">
        <v>600</v>
      </c>
      <c r="C1231" s="4">
        <v>77.477310000000003</v>
      </c>
      <c r="D1231" s="1">
        <v>5</v>
      </c>
      <c r="E1231" s="11">
        <f>($C$219-Table27[[#This Row],[Mass/%]])/$F$30</f>
        <v>0.28412179315867497</v>
      </c>
    </row>
    <row r="1232" spans="1:5" x14ac:dyDescent="0.15">
      <c r="A1232" s="4">
        <v>250.00398000000001</v>
      </c>
      <c r="B1232" s="4">
        <v>600.5</v>
      </c>
      <c r="C1232" s="4">
        <v>77.465789999999998</v>
      </c>
      <c r="D1232" s="1">
        <v>5</v>
      </c>
      <c r="E1232" s="11">
        <f>($C$219-Table27[[#This Row],[Mass/%]])/$F$30</f>
        <v>0.28430787776374494</v>
      </c>
    </row>
    <row r="1233" spans="1:5" x14ac:dyDescent="0.15">
      <c r="A1233" s="4">
        <v>250.00603000000001</v>
      </c>
      <c r="B1233" s="4">
        <v>601</v>
      </c>
      <c r="C1233" s="4">
        <v>77.458299999999994</v>
      </c>
      <c r="D1233" s="1">
        <v>5</v>
      </c>
      <c r="E1233" s="11">
        <f>($C$219-Table27[[#This Row],[Mass/%]])/$F$30</f>
        <v>0.28442886506339554</v>
      </c>
    </row>
    <row r="1234" spans="1:5" x14ac:dyDescent="0.15">
      <c r="A1234" s="4">
        <v>250.00896</v>
      </c>
      <c r="B1234" s="4">
        <v>601.5</v>
      </c>
      <c r="C1234" s="4">
        <v>77.452370000000002</v>
      </c>
      <c r="D1234" s="1">
        <v>5</v>
      </c>
      <c r="E1234" s="11">
        <f>($C$219-Table27[[#This Row],[Mass/%]])/$F$30</f>
        <v>0.28452465340610933</v>
      </c>
    </row>
    <row r="1235" spans="1:5" x14ac:dyDescent="0.15">
      <c r="A1235" s="4">
        <v>250.00094999999999</v>
      </c>
      <c r="B1235" s="4">
        <v>602</v>
      </c>
      <c r="C1235" s="4">
        <v>77.431179999999998</v>
      </c>
      <c r="D1235" s="1">
        <v>5</v>
      </c>
      <c r="E1235" s="11">
        <f>($C$219-Table27[[#This Row],[Mass/%]])/$F$30</f>
        <v>0.28486693923783091</v>
      </c>
    </row>
    <row r="1236" spans="1:5" x14ac:dyDescent="0.15">
      <c r="A1236" s="4">
        <v>250.00103999999999</v>
      </c>
      <c r="B1236" s="4">
        <v>602.5</v>
      </c>
      <c r="C1236" s="4">
        <v>77.429479999999998</v>
      </c>
      <c r="D1236" s="1">
        <v>5</v>
      </c>
      <c r="E1236" s="11">
        <f>($C$219-Table27[[#This Row],[Mass/%]])/$F$30</f>
        <v>0.28489439963962071</v>
      </c>
    </row>
    <row r="1237" spans="1:5" x14ac:dyDescent="0.15">
      <c r="A1237" s="4">
        <v>250.00397000000001</v>
      </c>
      <c r="B1237" s="4">
        <v>603</v>
      </c>
      <c r="C1237" s="4">
        <v>77.417950000000005</v>
      </c>
      <c r="D1237" s="1">
        <v>5</v>
      </c>
      <c r="E1237" s="11">
        <f>($C$219-Table27[[#This Row],[Mass/%]])/$F$30</f>
        <v>0.28508064577646575</v>
      </c>
    </row>
    <row r="1238" spans="1:5" x14ac:dyDescent="0.15">
      <c r="A1238" s="4">
        <v>250.00398999999999</v>
      </c>
      <c r="B1238" s="4">
        <v>603.5</v>
      </c>
      <c r="C1238" s="4">
        <v>77.419899999999998</v>
      </c>
      <c r="D1238" s="1">
        <v>5</v>
      </c>
      <c r="E1238" s="11">
        <f>($C$219-Table27[[#This Row],[Mass/%]])/$F$30</f>
        <v>0.28504914708029516</v>
      </c>
    </row>
    <row r="1239" spans="1:5" x14ac:dyDescent="0.15">
      <c r="A1239" s="4">
        <v>250.00201999999999</v>
      </c>
      <c r="B1239" s="4">
        <v>604</v>
      </c>
      <c r="C1239" s="4">
        <v>77.406379999999999</v>
      </c>
      <c r="D1239" s="1">
        <v>5</v>
      </c>
      <c r="E1239" s="11">
        <f>($C$219-Table27[[#This Row],[Mass/%]])/$F$30</f>
        <v>0.28526753804041194</v>
      </c>
    </row>
    <row r="1240" spans="1:5" x14ac:dyDescent="0.15">
      <c r="A1240" s="4">
        <v>250.00505000000001</v>
      </c>
      <c r="B1240" s="4">
        <v>604.5</v>
      </c>
      <c r="C1240" s="4">
        <v>77.408280000000005</v>
      </c>
      <c r="D1240" s="1">
        <v>5</v>
      </c>
      <c r="E1240" s="11">
        <f>($C$219-Table27[[#This Row],[Mass/%]])/$F$30</f>
        <v>0.28523684700311736</v>
      </c>
    </row>
    <row r="1241" spans="1:5" x14ac:dyDescent="0.15">
      <c r="A1241" s="4">
        <v>250.00398000000001</v>
      </c>
      <c r="B1241" s="4">
        <v>605</v>
      </c>
      <c r="C1241" s="4">
        <v>77.395020000000002</v>
      </c>
      <c r="D1241" s="1">
        <v>5</v>
      </c>
      <c r="E1241" s="11">
        <f>($C$219-Table27[[#This Row],[Mass/%]])/$F$30</f>
        <v>0.28545103813707806</v>
      </c>
    </row>
    <row r="1242" spans="1:5" x14ac:dyDescent="0.15">
      <c r="A1242" s="4">
        <v>250.00799000000001</v>
      </c>
      <c r="B1242" s="4">
        <v>605.5</v>
      </c>
      <c r="C1242" s="4">
        <v>77.372159999999994</v>
      </c>
      <c r="D1242" s="1">
        <v>5</v>
      </c>
      <c r="E1242" s="11">
        <f>($C$219-Table27[[#This Row],[Mass/%]])/$F$30</f>
        <v>0.28582029977526385</v>
      </c>
    </row>
    <row r="1243" spans="1:5" x14ac:dyDescent="0.15">
      <c r="A1243" s="4">
        <v>250.00796</v>
      </c>
      <c r="B1243" s="4">
        <v>606</v>
      </c>
      <c r="C1243" s="4">
        <v>77.379509999999996</v>
      </c>
      <c r="D1243" s="1">
        <v>5</v>
      </c>
      <c r="E1243" s="11">
        <f>($C$219-Table27[[#This Row],[Mass/%]])/$F$30</f>
        <v>0.28570157392046658</v>
      </c>
    </row>
    <row r="1244" spans="1:5" x14ac:dyDescent="0.15">
      <c r="A1244" s="4">
        <v>250.00496999999999</v>
      </c>
      <c r="B1244" s="4">
        <v>606.5</v>
      </c>
      <c r="C1244" s="4">
        <v>77.370009999999994</v>
      </c>
      <c r="D1244" s="1">
        <v>5</v>
      </c>
      <c r="E1244" s="11">
        <f>($C$219-Table27[[#This Row],[Mass/%]])/$F$30</f>
        <v>0.28585502910693922</v>
      </c>
    </row>
    <row r="1245" spans="1:5" x14ac:dyDescent="0.15">
      <c r="A1245" s="4">
        <v>250.00299999999999</v>
      </c>
      <c r="B1245" s="4">
        <v>607</v>
      </c>
      <c r="C1245" s="4">
        <v>77.362219999999994</v>
      </c>
      <c r="D1245" s="1">
        <v>5</v>
      </c>
      <c r="E1245" s="11">
        <f>($C$219-Table27[[#This Row],[Mass/%]])/$F$30</f>
        <v>0.28598086235984671</v>
      </c>
    </row>
    <row r="1246" spans="1:5" x14ac:dyDescent="0.15">
      <c r="A1246" s="4">
        <v>250.005</v>
      </c>
      <c r="B1246" s="4">
        <v>607.5</v>
      </c>
      <c r="C1246" s="4">
        <v>77.350899999999996</v>
      </c>
      <c r="D1246" s="1">
        <v>5</v>
      </c>
      <c r="E1246" s="11">
        <f>($C$219-Table27[[#This Row],[Mass/%]])/$F$30</f>
        <v>0.28616371632941195</v>
      </c>
    </row>
    <row r="1247" spans="1:5" x14ac:dyDescent="0.15">
      <c r="A1247" s="4">
        <v>250.00397000000001</v>
      </c>
      <c r="B1247" s="4">
        <v>608</v>
      </c>
      <c r="C1247" s="4">
        <v>77.337410000000006</v>
      </c>
      <c r="D1247" s="1">
        <v>5</v>
      </c>
      <c r="E1247" s="11">
        <f>($C$219-Table27[[#This Row],[Mass/%]])/$F$30</f>
        <v>0.28638162269420286</v>
      </c>
    </row>
    <row r="1248" spans="1:5" x14ac:dyDescent="0.15">
      <c r="A1248" s="4">
        <v>250.00799000000001</v>
      </c>
      <c r="B1248" s="4">
        <v>608.5</v>
      </c>
      <c r="C1248" s="4">
        <v>77.337400000000002</v>
      </c>
      <c r="D1248" s="1">
        <v>5</v>
      </c>
      <c r="E1248" s="11">
        <f>($C$219-Table27[[#This Row],[Mass/%]])/$F$30</f>
        <v>0.28638178422597815</v>
      </c>
    </row>
    <row r="1249" spans="1:5" x14ac:dyDescent="0.15">
      <c r="A1249" s="4">
        <v>250.00496000000001</v>
      </c>
      <c r="B1249" s="4">
        <v>609</v>
      </c>
      <c r="C1249" s="4">
        <v>77.316190000000006</v>
      </c>
      <c r="D1249" s="1">
        <v>5</v>
      </c>
      <c r="E1249" s="11">
        <f>($C$219-Table27[[#This Row],[Mass/%]])/$F$30</f>
        <v>0.28672439312125003</v>
      </c>
    </row>
    <row r="1250" spans="1:5" x14ac:dyDescent="0.15">
      <c r="A1250" s="4">
        <v>250.01201</v>
      </c>
      <c r="B1250" s="4">
        <v>609.5</v>
      </c>
      <c r="C1250" s="4">
        <v>77.30677</v>
      </c>
      <c r="D1250" s="1">
        <v>5</v>
      </c>
      <c r="E1250" s="11">
        <f>($C$219-Table27[[#This Row],[Mass/%]])/$F$30</f>
        <v>0.28687655605352086</v>
      </c>
    </row>
    <row r="1251" spans="1:5" x14ac:dyDescent="0.15">
      <c r="A1251" s="4">
        <v>250.00596999999999</v>
      </c>
      <c r="B1251" s="4">
        <v>610</v>
      </c>
      <c r="C1251" s="4">
        <v>77.304879999999997</v>
      </c>
      <c r="D1251" s="1">
        <v>5</v>
      </c>
      <c r="E1251" s="11">
        <f>($C$219-Table27[[#This Row],[Mass/%]])/$F$30</f>
        <v>0.28690708555904021</v>
      </c>
    </row>
    <row r="1252" spans="1:5" x14ac:dyDescent="0.15">
      <c r="A1252" s="4">
        <v>250.00402</v>
      </c>
      <c r="B1252" s="4">
        <v>610.5</v>
      </c>
      <c r="C1252" s="4">
        <v>77.283850000000001</v>
      </c>
      <c r="D1252" s="1">
        <v>5</v>
      </c>
      <c r="E1252" s="11">
        <f>($C$219-Table27[[#This Row],[Mass/%]])/$F$30</f>
        <v>0.28724678688235789</v>
      </c>
    </row>
    <row r="1253" spans="1:5" x14ac:dyDescent="0.15">
      <c r="A1253" s="4">
        <v>250.00503</v>
      </c>
      <c r="B1253" s="4">
        <v>611</v>
      </c>
      <c r="C1253" s="4">
        <v>77.281720000000007</v>
      </c>
      <c r="D1253" s="1">
        <v>5</v>
      </c>
      <c r="E1253" s="11">
        <f>($C$219-Table27[[#This Row],[Mass/%]])/$F$30</f>
        <v>0.28728119315048267</v>
      </c>
    </row>
    <row r="1254" spans="1:5" x14ac:dyDescent="0.15">
      <c r="A1254" s="4">
        <v>250.01006000000001</v>
      </c>
      <c r="B1254" s="4">
        <v>611.5</v>
      </c>
      <c r="C1254" s="4">
        <v>77.279960000000003</v>
      </c>
      <c r="D1254" s="1">
        <v>5</v>
      </c>
      <c r="E1254" s="11">
        <f>($C$219-Table27[[#This Row],[Mass/%]])/$F$30</f>
        <v>0.28730962274292399</v>
      </c>
    </row>
    <row r="1255" spans="1:5" x14ac:dyDescent="0.15">
      <c r="A1255" s="4">
        <v>250.00998999999999</v>
      </c>
      <c r="B1255" s="4">
        <v>612</v>
      </c>
      <c r="C1255" s="4">
        <v>77.264679999999998</v>
      </c>
      <c r="D1255" s="1">
        <v>5</v>
      </c>
      <c r="E1255" s="11">
        <f>($C$219-Table27[[#This Row],[Mass/%]])/$F$30</f>
        <v>0.28755644329548208</v>
      </c>
    </row>
    <row r="1256" spans="1:5" x14ac:dyDescent="0.15">
      <c r="A1256" s="4">
        <v>250.00998000000001</v>
      </c>
      <c r="B1256" s="4">
        <v>612.5</v>
      </c>
      <c r="C1256" s="4">
        <v>77.276030000000006</v>
      </c>
      <c r="D1256" s="1">
        <v>5</v>
      </c>
      <c r="E1256" s="11">
        <f>($C$219-Table27[[#This Row],[Mass/%]])/$F$30</f>
        <v>0.28737310473059102</v>
      </c>
    </row>
    <row r="1257" spans="1:5" x14ac:dyDescent="0.15">
      <c r="A1257" s="4">
        <v>250.00998000000001</v>
      </c>
      <c r="B1257" s="4">
        <v>613</v>
      </c>
      <c r="C1257" s="4">
        <v>77.243610000000004</v>
      </c>
      <c r="D1257" s="1">
        <v>5</v>
      </c>
      <c r="E1257" s="11">
        <f>($C$219-Table27[[#This Row],[Mass/%]])/$F$30</f>
        <v>0.28789679074590069</v>
      </c>
    </row>
    <row r="1258" spans="1:5" x14ac:dyDescent="0.15">
      <c r="A1258" s="4">
        <v>250.01</v>
      </c>
      <c r="B1258" s="4">
        <v>613.5</v>
      </c>
      <c r="C1258" s="4">
        <v>77.258719999999997</v>
      </c>
      <c r="D1258" s="1">
        <v>5</v>
      </c>
      <c r="E1258" s="11">
        <f>($C$219-Table27[[#This Row],[Mass/%]])/$F$30</f>
        <v>0.28765271623352173</v>
      </c>
    </row>
    <row r="1259" spans="1:5" x14ac:dyDescent="0.15">
      <c r="A1259" s="4">
        <v>250.00404</v>
      </c>
      <c r="B1259" s="4">
        <v>614</v>
      </c>
      <c r="C1259" s="4">
        <v>77.235699999999994</v>
      </c>
      <c r="D1259" s="1">
        <v>5</v>
      </c>
      <c r="E1259" s="11">
        <f>($C$219-Table27[[#This Row],[Mass/%]])/$F$30</f>
        <v>0.28802456238011115</v>
      </c>
    </row>
    <row r="1260" spans="1:5" x14ac:dyDescent="0.15">
      <c r="A1260" s="4">
        <v>250.00198</v>
      </c>
      <c r="B1260" s="4">
        <v>614.5</v>
      </c>
      <c r="C1260" s="4">
        <v>77.222440000000006</v>
      </c>
      <c r="D1260" s="1">
        <v>5</v>
      </c>
      <c r="E1260" s="11">
        <f>($C$219-Table27[[#This Row],[Mass/%]])/$F$30</f>
        <v>0.28823875351407163</v>
      </c>
    </row>
    <row r="1261" spans="1:5" x14ac:dyDescent="0.15">
      <c r="A1261" s="4">
        <v>250.00602000000001</v>
      </c>
      <c r="B1261" s="4">
        <v>615</v>
      </c>
      <c r="C1261" s="4">
        <v>77.224100000000007</v>
      </c>
      <c r="D1261" s="1">
        <v>5</v>
      </c>
      <c r="E1261" s="11">
        <f>($C$219-Table27[[#This Row],[Mass/%]])/$F$30</f>
        <v>0.28821193923938276</v>
      </c>
    </row>
    <row r="1262" spans="1:5" x14ac:dyDescent="0.15">
      <c r="A1262" s="4">
        <v>249.99993000000001</v>
      </c>
      <c r="B1262" s="4">
        <v>615.5</v>
      </c>
      <c r="C1262" s="4">
        <v>77.201210000000003</v>
      </c>
      <c r="D1262" s="1">
        <v>5</v>
      </c>
      <c r="E1262" s="11">
        <f>($C$219-Table27[[#This Row],[Mass/%]])/$F$30</f>
        <v>0.28858168547289414</v>
      </c>
    </row>
    <row r="1263" spans="1:5" x14ac:dyDescent="0.15">
      <c r="A1263" s="4">
        <v>250.00504000000001</v>
      </c>
      <c r="B1263" s="4">
        <v>616</v>
      </c>
      <c r="C1263" s="4">
        <v>77.21105</v>
      </c>
      <c r="D1263" s="1">
        <v>5</v>
      </c>
      <c r="E1263" s="11">
        <f>($C$219-Table27[[#This Row],[Mass/%]])/$F$30</f>
        <v>0.28842273820606362</v>
      </c>
    </row>
    <row r="1264" spans="1:5" x14ac:dyDescent="0.15">
      <c r="A1264" s="4">
        <v>250.00798</v>
      </c>
      <c r="B1264" s="4">
        <v>616.5</v>
      </c>
      <c r="C1264" s="4">
        <v>77.205029999999994</v>
      </c>
      <c r="D1264" s="1">
        <v>5</v>
      </c>
      <c r="E1264" s="11">
        <f>($C$219-Table27[[#This Row],[Mass/%]])/$F$30</f>
        <v>0.28851998033475479</v>
      </c>
    </row>
    <row r="1265" spans="1:5" x14ac:dyDescent="0.15">
      <c r="A1265" s="4">
        <v>250.00501</v>
      </c>
      <c r="B1265" s="4">
        <v>617</v>
      </c>
      <c r="C1265" s="4">
        <v>77.187939999999998</v>
      </c>
      <c r="D1265" s="1">
        <v>5</v>
      </c>
      <c r="E1265" s="11">
        <f>($C$219-Table27[[#This Row],[Mass/%]])/$F$30</f>
        <v>0.28879603813863014</v>
      </c>
    </row>
    <row r="1266" spans="1:5" x14ac:dyDescent="0.15">
      <c r="A1266" s="4">
        <v>250.00197</v>
      </c>
      <c r="B1266" s="4">
        <v>617.5</v>
      </c>
      <c r="C1266" s="4">
        <v>77.158959999999993</v>
      </c>
      <c r="D1266" s="1">
        <v>5</v>
      </c>
      <c r="E1266" s="11">
        <f>($C$219-Table27[[#This Row],[Mass/%]])/$F$30</f>
        <v>0.28926415722325921</v>
      </c>
    </row>
    <row r="1267" spans="1:5" x14ac:dyDescent="0.15">
      <c r="A1267" s="4">
        <v>250.00497999999999</v>
      </c>
      <c r="B1267" s="4">
        <v>618</v>
      </c>
      <c r="C1267" s="4">
        <v>77.187719999999999</v>
      </c>
      <c r="D1267" s="1">
        <v>5</v>
      </c>
      <c r="E1267" s="11">
        <f>($C$219-Table27[[#This Row],[Mass/%]])/$F$30</f>
        <v>0.28879959183768528</v>
      </c>
    </row>
    <row r="1268" spans="1:5" x14ac:dyDescent="0.15">
      <c r="A1268" s="4">
        <v>250.00307000000001</v>
      </c>
      <c r="B1268" s="4">
        <v>618.5</v>
      </c>
      <c r="C1268" s="4">
        <v>77.149540000000002</v>
      </c>
      <c r="D1268" s="1">
        <v>5</v>
      </c>
      <c r="E1268" s="11">
        <f>($C$219-Table27[[#This Row],[Mass/%]])/$F$30</f>
        <v>0.28941632015552982</v>
      </c>
    </row>
    <row r="1269" spans="1:5" x14ac:dyDescent="0.15">
      <c r="A1269" s="4">
        <v>250.00601</v>
      </c>
      <c r="B1269" s="4">
        <v>619</v>
      </c>
      <c r="C1269" s="4">
        <v>77.141760000000005</v>
      </c>
      <c r="D1269" s="1">
        <v>5</v>
      </c>
      <c r="E1269" s="11">
        <f>($C$219-Table27[[#This Row],[Mass/%]])/$F$30</f>
        <v>0.28954199187666202</v>
      </c>
    </row>
    <row r="1270" spans="1:5" x14ac:dyDescent="0.15">
      <c r="A1270" s="4">
        <v>250.00399999999999</v>
      </c>
      <c r="B1270" s="4">
        <v>619.5</v>
      </c>
      <c r="C1270" s="4">
        <v>77.137990000000002</v>
      </c>
      <c r="D1270" s="1">
        <v>5</v>
      </c>
      <c r="E1270" s="11">
        <f>($C$219-Table27[[#This Row],[Mass/%]])/$F$30</f>
        <v>0.28960288935592543</v>
      </c>
    </row>
    <row r="1271" spans="1:5" x14ac:dyDescent="0.15">
      <c r="A1271" s="4">
        <v>250.00998999999999</v>
      </c>
      <c r="B1271" s="4">
        <v>620</v>
      </c>
      <c r="C1271" s="4">
        <v>77.126509999999996</v>
      </c>
      <c r="D1271" s="1">
        <v>5</v>
      </c>
      <c r="E1271" s="11">
        <f>($C$219-Table27[[#This Row],[Mass/%]])/$F$30</f>
        <v>0.28978832783389452</v>
      </c>
    </row>
    <row r="1272" spans="1:5" x14ac:dyDescent="0.15">
      <c r="A1272" s="4">
        <v>250.00597999999999</v>
      </c>
      <c r="B1272" s="4">
        <v>620.5</v>
      </c>
      <c r="C1272" s="4">
        <v>77.114980000000003</v>
      </c>
      <c r="D1272" s="1">
        <v>5</v>
      </c>
      <c r="E1272" s="11">
        <f>($C$219-Table27[[#This Row],[Mass/%]])/$F$30</f>
        <v>0.28997457397073956</v>
      </c>
    </row>
    <row r="1273" spans="1:5" x14ac:dyDescent="0.15">
      <c r="A1273" s="4">
        <v>249.99798999999999</v>
      </c>
      <c r="B1273" s="4">
        <v>621</v>
      </c>
      <c r="C1273" s="4">
        <v>77.095780000000005</v>
      </c>
      <c r="D1273" s="1">
        <v>5</v>
      </c>
      <c r="E1273" s="11">
        <f>($C$219-Table27[[#This Row],[Mass/%]])/$F$30</f>
        <v>0.2902847149791894</v>
      </c>
    </row>
    <row r="1274" spans="1:5" x14ac:dyDescent="0.15">
      <c r="A1274" s="4">
        <v>250.00700000000001</v>
      </c>
      <c r="B1274" s="4">
        <v>621.5</v>
      </c>
      <c r="C1274" s="4">
        <v>77.092140000000001</v>
      </c>
      <c r="D1274" s="1">
        <v>5</v>
      </c>
      <c r="E1274" s="11">
        <f>($C$219-Table27[[#This Row],[Mass/%]])/$F$30</f>
        <v>0.29034351254537472</v>
      </c>
    </row>
    <row r="1275" spans="1:5" x14ac:dyDescent="0.15">
      <c r="A1275" s="4">
        <v>250.00595000000001</v>
      </c>
      <c r="B1275" s="4">
        <v>622</v>
      </c>
      <c r="C1275" s="4">
        <v>77.074579999999997</v>
      </c>
      <c r="D1275" s="1">
        <v>5</v>
      </c>
      <c r="E1275" s="11">
        <f>($C$219-Table27[[#This Row],[Mass/%]])/$F$30</f>
        <v>0.29062716234268621</v>
      </c>
    </row>
    <row r="1276" spans="1:5" x14ac:dyDescent="0.15">
      <c r="A1276" s="4">
        <v>250.00398999999999</v>
      </c>
      <c r="B1276" s="4">
        <v>622.5</v>
      </c>
      <c r="C1276" s="4">
        <v>77.074730000000002</v>
      </c>
      <c r="D1276" s="1">
        <v>5</v>
      </c>
      <c r="E1276" s="11">
        <f>($C$219-Table27[[#This Row],[Mass/%]])/$F$30</f>
        <v>0.29062473936605765</v>
      </c>
    </row>
    <row r="1277" spans="1:5" x14ac:dyDescent="0.15">
      <c r="A1277" s="4">
        <v>250.00199000000001</v>
      </c>
      <c r="B1277" s="4">
        <v>623</v>
      </c>
      <c r="C1277" s="4">
        <v>77.065119999999993</v>
      </c>
      <c r="D1277" s="1">
        <v>5</v>
      </c>
      <c r="E1277" s="11">
        <f>($C$219-Table27[[#This Row],[Mass/%]])/$F$30</f>
        <v>0.29077997140205797</v>
      </c>
    </row>
    <row r="1278" spans="1:5" x14ac:dyDescent="0.15">
      <c r="A1278" s="4">
        <v>249.99997999999999</v>
      </c>
      <c r="B1278" s="4">
        <v>623.5</v>
      </c>
      <c r="C1278" s="4">
        <v>77.070679999999996</v>
      </c>
      <c r="D1278" s="1">
        <v>5</v>
      </c>
      <c r="E1278" s="11">
        <f>($C$219-Table27[[#This Row],[Mass/%]])/$F$30</f>
        <v>0.29069015973502765</v>
      </c>
    </row>
    <row r="1279" spans="1:5" x14ac:dyDescent="0.15">
      <c r="A1279" s="4">
        <v>250.00905</v>
      </c>
      <c r="B1279" s="4">
        <v>624</v>
      </c>
      <c r="C1279" s="4">
        <v>77.052049999999994</v>
      </c>
      <c r="D1279" s="1">
        <v>5</v>
      </c>
      <c r="E1279" s="11">
        <f>($C$219-Table27[[#This Row],[Mass/%]])/$F$30</f>
        <v>0.29099109343228918</v>
      </c>
    </row>
    <row r="1280" spans="1:5" x14ac:dyDescent="0.15">
      <c r="A1280" s="4">
        <v>250.00798</v>
      </c>
      <c r="B1280" s="4">
        <v>624.5</v>
      </c>
      <c r="C1280" s="4">
        <v>77.063100000000006</v>
      </c>
      <c r="D1280" s="1">
        <v>5</v>
      </c>
      <c r="E1280" s="11">
        <f>($C$219-Table27[[#This Row],[Mass/%]])/$F$30</f>
        <v>0.29081260082065508</v>
      </c>
    </row>
    <row r="1281" spans="1:5" x14ac:dyDescent="0.15">
      <c r="A1281" s="4">
        <v>250.00400999999999</v>
      </c>
      <c r="B1281" s="4">
        <v>625</v>
      </c>
      <c r="C1281" s="4">
        <v>77.036479999999997</v>
      </c>
      <c r="D1281" s="1">
        <v>5</v>
      </c>
      <c r="E1281" s="11">
        <f>($C$219-Table27[[#This Row],[Mass/%]])/$F$30</f>
        <v>0.29124259840632893</v>
      </c>
    </row>
    <row r="1282" spans="1:5" x14ac:dyDescent="0.15">
      <c r="A1282" s="4">
        <v>250.00796</v>
      </c>
      <c r="B1282" s="4">
        <v>625.5</v>
      </c>
      <c r="C1282" s="4">
        <v>77.026539999999997</v>
      </c>
      <c r="D1282" s="1">
        <v>5</v>
      </c>
      <c r="E1282" s="11">
        <f>($C$219-Table27[[#This Row],[Mass/%]])/$F$30</f>
        <v>0.29140316099091185</v>
      </c>
    </row>
    <row r="1283" spans="1:5" x14ac:dyDescent="0.15">
      <c r="A1283" s="4">
        <v>250.00998999999999</v>
      </c>
      <c r="B1283" s="4">
        <v>626</v>
      </c>
      <c r="C1283" s="4">
        <v>77.021060000000006</v>
      </c>
      <c r="D1283" s="1">
        <v>5</v>
      </c>
      <c r="E1283" s="11">
        <f>($C$219-Table27[[#This Row],[Mass/%]])/$F$30</f>
        <v>0.29149168040374013</v>
      </c>
    </row>
    <row r="1284" spans="1:5" x14ac:dyDescent="0.15">
      <c r="A1284" s="4">
        <v>250.001</v>
      </c>
      <c r="B1284" s="4">
        <v>626.5</v>
      </c>
      <c r="C1284" s="4">
        <v>77.009469999999993</v>
      </c>
      <c r="D1284" s="1">
        <v>5</v>
      </c>
      <c r="E1284" s="11">
        <f>($C$219-Table27[[#This Row],[Mass/%]])/$F$30</f>
        <v>0.29167889573123684</v>
      </c>
    </row>
    <row r="1285" spans="1:5" x14ac:dyDescent="0.15">
      <c r="A1285" s="4">
        <v>250.00399999999999</v>
      </c>
      <c r="B1285" s="4">
        <v>627</v>
      </c>
      <c r="C1285" s="4">
        <v>76.992270000000005</v>
      </c>
      <c r="D1285" s="1">
        <v>5</v>
      </c>
      <c r="E1285" s="11">
        <f>($C$219-Table27[[#This Row],[Mass/%]])/$F$30</f>
        <v>0.29195673038463971</v>
      </c>
    </row>
    <row r="1286" spans="1:5" x14ac:dyDescent="0.15">
      <c r="A1286" s="4">
        <v>250.00395</v>
      </c>
      <c r="B1286" s="4">
        <v>627.5</v>
      </c>
      <c r="C1286" s="4">
        <v>76.997950000000003</v>
      </c>
      <c r="D1286" s="1">
        <v>5</v>
      </c>
      <c r="E1286" s="11">
        <f>($C$219-Table27[[#This Row],[Mass/%]])/$F$30</f>
        <v>0.29186498033630665</v>
      </c>
    </row>
    <row r="1287" spans="1:5" x14ac:dyDescent="0.15">
      <c r="A1287" s="4">
        <v>250.00601</v>
      </c>
      <c r="B1287" s="4">
        <v>628</v>
      </c>
      <c r="C1287" s="4">
        <v>76.988630000000001</v>
      </c>
      <c r="D1287" s="1">
        <v>5</v>
      </c>
      <c r="E1287" s="11">
        <f>($C$219-Table27[[#This Row],[Mass/%]])/$F$30</f>
        <v>0.29201552795082503</v>
      </c>
    </row>
    <row r="1288" spans="1:5" x14ac:dyDescent="0.15">
      <c r="A1288" s="4">
        <v>250.005</v>
      </c>
      <c r="B1288" s="4">
        <v>628.5</v>
      </c>
      <c r="C1288" s="4">
        <v>76.984660000000005</v>
      </c>
      <c r="D1288" s="1">
        <v>5</v>
      </c>
      <c r="E1288" s="11">
        <f>($C$219-Table27[[#This Row],[Mass/%]])/$F$30</f>
        <v>0.292079656065593</v>
      </c>
    </row>
    <row r="1289" spans="1:5" x14ac:dyDescent="0.15">
      <c r="A1289" s="4">
        <v>249.99797000000001</v>
      </c>
      <c r="B1289" s="4">
        <v>629</v>
      </c>
      <c r="C1289" s="4">
        <v>76.967479999999995</v>
      </c>
      <c r="D1289" s="1">
        <v>5</v>
      </c>
      <c r="E1289" s="11">
        <f>($C$219-Table27[[#This Row],[Mass/%]])/$F$30</f>
        <v>0.29235716765544567</v>
      </c>
    </row>
    <row r="1290" spans="1:5" x14ac:dyDescent="0.15">
      <c r="A1290" s="4">
        <v>250.00202999999999</v>
      </c>
      <c r="B1290" s="4">
        <v>629.5</v>
      </c>
      <c r="C1290" s="4">
        <v>76.948160000000001</v>
      </c>
      <c r="D1290" s="1">
        <v>5</v>
      </c>
      <c r="E1290" s="11">
        <f>($C$219-Table27[[#This Row],[Mass/%]])/$F$30</f>
        <v>0.29266924704519826</v>
      </c>
    </row>
    <row r="1291" spans="1:5" x14ac:dyDescent="0.15">
      <c r="A1291" s="4">
        <v>250.00899000000001</v>
      </c>
      <c r="B1291" s="4">
        <v>630</v>
      </c>
      <c r="C1291" s="4">
        <v>76.955730000000003</v>
      </c>
      <c r="D1291" s="1">
        <v>5</v>
      </c>
      <c r="E1291" s="11">
        <f>($C$219-Table27[[#This Row],[Mass/%]])/$F$30</f>
        <v>0.29254696749134584</v>
      </c>
    </row>
    <row r="1292" spans="1:5" x14ac:dyDescent="0.15">
      <c r="A1292" s="4">
        <v>250.00399999999999</v>
      </c>
      <c r="B1292" s="4">
        <v>630.5</v>
      </c>
      <c r="C1292" s="4">
        <v>76.938370000000006</v>
      </c>
      <c r="D1292" s="1">
        <v>5</v>
      </c>
      <c r="E1292" s="11">
        <f>($C$219-Table27[[#This Row],[Mass/%]])/$F$30</f>
        <v>0.29282738665315255</v>
      </c>
    </row>
    <row r="1293" spans="1:5" x14ac:dyDescent="0.15">
      <c r="A1293" s="4">
        <v>250.00102999999999</v>
      </c>
      <c r="B1293" s="4">
        <v>631</v>
      </c>
      <c r="C1293" s="4">
        <v>76.925079999999994</v>
      </c>
      <c r="D1293" s="1">
        <v>5</v>
      </c>
      <c r="E1293" s="11">
        <f>($C$219-Table27[[#This Row],[Mass/%]])/$F$30</f>
        <v>0.29304206238243913</v>
      </c>
    </row>
    <row r="1294" spans="1:5" x14ac:dyDescent="0.15">
      <c r="A1294" s="4">
        <v>250.00004999999999</v>
      </c>
      <c r="B1294" s="4">
        <v>631.5</v>
      </c>
      <c r="C1294" s="4">
        <v>76.931049999999999</v>
      </c>
      <c r="D1294" s="1">
        <v>5</v>
      </c>
      <c r="E1294" s="11">
        <f>($C$219-Table27[[#This Row],[Mass/%]])/$F$30</f>
        <v>0.29294562791262418</v>
      </c>
    </row>
    <row r="1295" spans="1:5" x14ac:dyDescent="0.15">
      <c r="A1295" s="4">
        <v>250.00299999999999</v>
      </c>
      <c r="B1295" s="4">
        <v>632</v>
      </c>
      <c r="C1295" s="4">
        <v>76.930869999999999</v>
      </c>
      <c r="D1295" s="1">
        <v>5</v>
      </c>
      <c r="E1295" s="11">
        <f>($C$219-Table27[[#This Row],[Mass/%]])/$F$30</f>
        <v>0.29294853548457839</v>
      </c>
    </row>
    <row r="1296" spans="1:5" x14ac:dyDescent="0.15">
      <c r="A1296" s="4">
        <v>250.00299000000001</v>
      </c>
      <c r="B1296" s="4">
        <v>632.5</v>
      </c>
      <c r="C1296" s="4">
        <v>76.928880000000007</v>
      </c>
      <c r="D1296" s="1">
        <v>5</v>
      </c>
      <c r="E1296" s="11">
        <f>($C$219-Table27[[#This Row],[Mass/%]])/$F$30</f>
        <v>0.29298068030784991</v>
      </c>
    </row>
    <row r="1297" spans="1:5" x14ac:dyDescent="0.15">
      <c r="A1297" s="4">
        <v>250.00601</v>
      </c>
      <c r="B1297" s="4">
        <v>633</v>
      </c>
      <c r="C1297" s="4">
        <v>76.93074</v>
      </c>
      <c r="D1297" s="1">
        <v>5</v>
      </c>
      <c r="E1297" s="11">
        <f>($C$219-Table27[[#This Row],[Mass/%]])/$F$30</f>
        <v>0.29295063539765642</v>
      </c>
    </row>
    <row r="1298" spans="1:5" x14ac:dyDescent="0.15">
      <c r="A1298" s="4">
        <v>250.00504000000001</v>
      </c>
      <c r="B1298" s="4">
        <v>633.5</v>
      </c>
      <c r="C1298" s="4">
        <v>76.904160000000005</v>
      </c>
      <c r="D1298" s="1">
        <v>5</v>
      </c>
      <c r="E1298" s="11">
        <f>($C$219-Table27[[#This Row],[Mass/%]])/$F$30</f>
        <v>0.29337998685622912</v>
      </c>
    </row>
    <row r="1299" spans="1:5" x14ac:dyDescent="0.15">
      <c r="A1299" s="4">
        <v>250.00703999999999</v>
      </c>
      <c r="B1299" s="4">
        <v>634</v>
      </c>
      <c r="C1299" s="4">
        <v>76.892589999999998</v>
      </c>
      <c r="D1299" s="1">
        <v>5</v>
      </c>
      <c r="E1299" s="11">
        <f>($C$219-Table27[[#This Row],[Mass/%]])/$F$30</f>
        <v>0.29356687912017532</v>
      </c>
    </row>
    <row r="1300" spans="1:5" x14ac:dyDescent="0.15">
      <c r="A1300" s="4">
        <v>250.01</v>
      </c>
      <c r="B1300" s="4">
        <v>634.5</v>
      </c>
      <c r="C1300" s="4">
        <v>76.89058</v>
      </c>
      <c r="D1300" s="1">
        <v>5</v>
      </c>
      <c r="E1300" s="11">
        <f>($C$219-Table27[[#This Row],[Mass/%]])/$F$30</f>
        <v>0.29359934700699741</v>
      </c>
    </row>
    <row r="1301" spans="1:5" x14ac:dyDescent="0.15">
      <c r="A1301" s="4">
        <v>250.01102</v>
      </c>
      <c r="B1301" s="4">
        <v>635</v>
      </c>
      <c r="C1301" s="4">
        <v>76.886880000000005</v>
      </c>
      <c r="D1301" s="1">
        <v>5</v>
      </c>
      <c r="E1301" s="11">
        <f>($C$219-Table27[[#This Row],[Mass/%]])/$F$30</f>
        <v>0.29365911376383402</v>
      </c>
    </row>
    <row r="1302" spans="1:5" x14ac:dyDescent="0.15">
      <c r="A1302" s="4">
        <v>250.00501</v>
      </c>
      <c r="B1302" s="4">
        <v>635.5</v>
      </c>
      <c r="C1302" s="4">
        <v>76.869579999999999</v>
      </c>
      <c r="D1302" s="1">
        <v>5</v>
      </c>
      <c r="E1302" s="11">
        <f>($C$219-Table27[[#This Row],[Mass/%]])/$F$30</f>
        <v>0.29393856373498944</v>
      </c>
    </row>
    <row r="1303" spans="1:5" x14ac:dyDescent="0.15">
      <c r="A1303" s="4">
        <v>250.00306</v>
      </c>
      <c r="B1303" s="4">
        <v>636</v>
      </c>
      <c r="C1303" s="4">
        <v>76.873459999999994</v>
      </c>
      <c r="D1303" s="1">
        <v>5</v>
      </c>
      <c r="E1303" s="11">
        <f>($C$219-Table27[[#This Row],[Mass/%]])/$F$30</f>
        <v>0.29387588940619863</v>
      </c>
    </row>
    <row r="1304" spans="1:5" x14ac:dyDescent="0.15">
      <c r="A1304" s="4">
        <v>250.00599</v>
      </c>
      <c r="B1304" s="4">
        <v>636.5</v>
      </c>
      <c r="C1304" s="4">
        <v>76.869579999999999</v>
      </c>
      <c r="D1304" s="1">
        <v>5</v>
      </c>
      <c r="E1304" s="11">
        <f>($C$219-Table27[[#This Row],[Mass/%]])/$F$30</f>
        <v>0.29393856373498944</v>
      </c>
    </row>
    <row r="1305" spans="1:5" x14ac:dyDescent="0.15">
      <c r="A1305" s="4">
        <v>250.00303</v>
      </c>
      <c r="B1305" s="4">
        <v>637</v>
      </c>
      <c r="C1305" s="4">
        <v>76.854050000000001</v>
      </c>
      <c r="D1305" s="1">
        <v>5</v>
      </c>
      <c r="E1305" s="11">
        <f>($C$219-Table27[[#This Row],[Mass/%]])/$F$30</f>
        <v>0.29418942258192832</v>
      </c>
    </row>
    <row r="1306" spans="1:5" x14ac:dyDescent="0.15">
      <c r="A1306" s="4">
        <v>250.00299000000001</v>
      </c>
      <c r="B1306" s="4">
        <v>637.5</v>
      </c>
      <c r="C1306" s="4">
        <v>76.834940000000003</v>
      </c>
      <c r="D1306" s="1">
        <v>5</v>
      </c>
      <c r="E1306" s="11">
        <f>($C$219-Table27[[#This Row],[Mass/%]])/$F$30</f>
        <v>0.29449810980440105</v>
      </c>
    </row>
    <row r="1307" spans="1:5" x14ac:dyDescent="0.15">
      <c r="A1307" s="4">
        <v>250.00102999999999</v>
      </c>
      <c r="B1307" s="4">
        <v>638</v>
      </c>
      <c r="C1307" s="4">
        <v>76.8446</v>
      </c>
      <c r="D1307" s="1">
        <v>5</v>
      </c>
      <c r="E1307" s="11">
        <f>($C$219-Table27[[#This Row],[Mass/%]])/$F$30</f>
        <v>0.29434207010952473</v>
      </c>
    </row>
    <row r="1308" spans="1:5" x14ac:dyDescent="0.15">
      <c r="A1308" s="4">
        <v>249.99897999999999</v>
      </c>
      <c r="B1308" s="4">
        <v>638.5</v>
      </c>
      <c r="C1308" s="4">
        <v>76.825469999999996</v>
      </c>
      <c r="D1308" s="1">
        <v>5</v>
      </c>
      <c r="E1308" s="11">
        <f>($C$219-Table27[[#This Row],[Mass/%]])/$F$30</f>
        <v>0.29465108039554805</v>
      </c>
    </row>
    <row r="1309" spans="1:5" x14ac:dyDescent="0.15">
      <c r="A1309" s="4">
        <v>250.00303</v>
      </c>
      <c r="B1309" s="4">
        <v>639</v>
      </c>
      <c r="C1309" s="4">
        <v>76.812129999999996</v>
      </c>
      <c r="D1309" s="1">
        <v>5</v>
      </c>
      <c r="E1309" s="11">
        <f>($C$219-Table27[[#This Row],[Mass/%]])/$F$30</f>
        <v>0.29486656378371062</v>
      </c>
    </row>
    <row r="1310" spans="1:5" x14ac:dyDescent="0.15">
      <c r="A1310" s="4">
        <v>250.00397000000001</v>
      </c>
      <c r="B1310" s="4">
        <v>639.5</v>
      </c>
      <c r="C1310" s="4">
        <v>76.814040000000006</v>
      </c>
      <c r="D1310" s="1">
        <v>5</v>
      </c>
      <c r="E1310" s="11">
        <f>($C$219-Table27[[#This Row],[Mass/%]])/$F$30</f>
        <v>0.29483571121464069</v>
      </c>
    </row>
    <row r="1311" spans="1:5" x14ac:dyDescent="0.15">
      <c r="A1311" s="4">
        <v>250.00397000000001</v>
      </c>
      <c r="B1311" s="4">
        <v>640</v>
      </c>
      <c r="C1311" s="4">
        <v>76.813969999999998</v>
      </c>
      <c r="D1311" s="1">
        <v>5</v>
      </c>
      <c r="E1311" s="11">
        <f>($C$219-Table27[[#This Row],[Mass/%]])/$F$30</f>
        <v>0.29483684193706744</v>
      </c>
    </row>
    <row r="1312" spans="1:5" x14ac:dyDescent="0.15">
      <c r="A1312" s="4">
        <v>250.00102999999999</v>
      </c>
      <c r="B1312" s="4">
        <v>640.5</v>
      </c>
      <c r="C1312" s="4">
        <v>76.787149999999997</v>
      </c>
      <c r="D1312" s="1">
        <v>5</v>
      </c>
      <c r="E1312" s="11">
        <f>($C$219-Table27[[#This Row],[Mass/%]])/$F$30</f>
        <v>0.29527007015824586</v>
      </c>
    </row>
    <row r="1313" spans="1:5" x14ac:dyDescent="0.15">
      <c r="A1313" s="4">
        <v>250.00799000000001</v>
      </c>
      <c r="B1313" s="4">
        <v>641</v>
      </c>
      <c r="C1313" s="4">
        <v>76.788970000000006</v>
      </c>
      <c r="D1313" s="1">
        <v>5</v>
      </c>
      <c r="E1313" s="11">
        <f>($C$219-Table27[[#This Row],[Mass/%]])/$F$30</f>
        <v>0.29524067137515309</v>
      </c>
    </row>
    <row r="1314" spans="1:5" x14ac:dyDescent="0.15">
      <c r="A1314" s="4">
        <v>250.00402</v>
      </c>
      <c r="B1314" s="4">
        <v>641.5</v>
      </c>
      <c r="C1314" s="4">
        <v>76.775549999999996</v>
      </c>
      <c r="D1314" s="1">
        <v>5</v>
      </c>
      <c r="E1314" s="11">
        <f>($C$219-Table27[[#This Row],[Mass/%]])/$F$30</f>
        <v>0.29545744701751769</v>
      </c>
    </row>
    <row r="1315" spans="1:5" x14ac:dyDescent="0.15">
      <c r="A1315" s="4">
        <v>250.00695999999999</v>
      </c>
      <c r="B1315" s="4">
        <v>642</v>
      </c>
      <c r="C1315" s="4">
        <v>76.783230000000003</v>
      </c>
      <c r="D1315" s="1">
        <v>5</v>
      </c>
      <c r="E1315" s="11">
        <f>($C$219-Table27[[#This Row],[Mass/%]])/$F$30</f>
        <v>0.2953333906141376</v>
      </c>
    </row>
    <row r="1316" spans="1:5" x14ac:dyDescent="0.15">
      <c r="A1316" s="4">
        <v>250.00603000000001</v>
      </c>
      <c r="B1316" s="4">
        <v>642.5</v>
      </c>
      <c r="C1316" s="4">
        <v>76.769729999999996</v>
      </c>
      <c r="D1316" s="1">
        <v>5</v>
      </c>
      <c r="E1316" s="11">
        <f>($C$219-Table27[[#This Row],[Mass/%]])/$F$30</f>
        <v>0.29555145851070408</v>
      </c>
    </row>
    <row r="1317" spans="1:5" x14ac:dyDescent="0.15">
      <c r="A1317" s="4">
        <v>250.00702999999999</v>
      </c>
      <c r="B1317" s="4">
        <v>643</v>
      </c>
      <c r="C1317" s="4">
        <v>76.773600000000002</v>
      </c>
      <c r="D1317" s="1">
        <v>5</v>
      </c>
      <c r="E1317" s="11">
        <f>($C$219-Table27[[#This Row],[Mass/%]])/$F$30</f>
        <v>0.29548894571368828</v>
      </c>
    </row>
    <row r="1318" spans="1:5" x14ac:dyDescent="0.15">
      <c r="A1318" s="4">
        <v>250.00897000000001</v>
      </c>
      <c r="B1318" s="4">
        <v>643.5</v>
      </c>
      <c r="C1318" s="4">
        <v>76.752430000000004</v>
      </c>
      <c r="D1318" s="1">
        <v>5</v>
      </c>
      <c r="E1318" s="11">
        <f>($C$219-Table27[[#This Row],[Mass/%]])/$F$30</f>
        <v>0.29583090848185928</v>
      </c>
    </row>
    <row r="1319" spans="1:5" x14ac:dyDescent="0.15">
      <c r="A1319" s="4">
        <v>250.00397000000001</v>
      </c>
      <c r="B1319" s="4">
        <v>644</v>
      </c>
      <c r="C1319" s="4">
        <v>76.733440000000002</v>
      </c>
      <c r="D1319" s="1">
        <v>5</v>
      </c>
      <c r="E1319" s="11">
        <f>($C$219-Table27[[#This Row],[Mass/%]])/$F$30</f>
        <v>0.29613765732302927</v>
      </c>
    </row>
    <row r="1320" spans="1:5" x14ac:dyDescent="0.15">
      <c r="A1320" s="4">
        <v>250.00300999999999</v>
      </c>
      <c r="B1320" s="4">
        <v>644.5</v>
      </c>
      <c r="C1320" s="4">
        <v>76.739090000000004</v>
      </c>
      <c r="D1320" s="1">
        <v>5</v>
      </c>
      <c r="E1320" s="11">
        <f>($C$219-Table27[[#This Row],[Mass/%]])/$F$30</f>
        <v>0.29604639187002185</v>
      </c>
    </row>
    <row r="1321" spans="1:5" x14ac:dyDescent="0.15">
      <c r="A1321" s="4">
        <v>250.00601</v>
      </c>
      <c r="B1321" s="4">
        <v>645</v>
      </c>
      <c r="C1321" s="4">
        <v>76.731250000000003</v>
      </c>
      <c r="D1321" s="1">
        <v>5</v>
      </c>
      <c r="E1321" s="11">
        <f>($C$219-Table27[[#This Row],[Mass/%]])/$F$30</f>
        <v>0.29617303278180557</v>
      </c>
    </row>
    <row r="1322" spans="1:5" x14ac:dyDescent="0.15">
      <c r="A1322" s="4">
        <v>250.00299000000001</v>
      </c>
      <c r="B1322" s="4">
        <v>645.5</v>
      </c>
      <c r="C1322" s="4">
        <v>76.725629999999995</v>
      </c>
      <c r="D1322" s="1">
        <v>5</v>
      </c>
      <c r="E1322" s="11">
        <f>($C$219-Table27[[#This Row],[Mass/%]])/$F$30</f>
        <v>0.29626381363948734</v>
      </c>
    </row>
    <row r="1323" spans="1:5" x14ac:dyDescent="0.15">
      <c r="A1323" s="4">
        <v>250.00701000000001</v>
      </c>
      <c r="B1323" s="4">
        <v>646</v>
      </c>
      <c r="C1323" s="4">
        <v>76.704599999999999</v>
      </c>
      <c r="D1323" s="1">
        <v>5</v>
      </c>
      <c r="E1323" s="11">
        <f>($C$219-Table27[[#This Row],[Mass/%]])/$F$30</f>
        <v>0.29660351496280501</v>
      </c>
    </row>
    <row r="1324" spans="1:5" x14ac:dyDescent="0.15">
      <c r="A1324" s="4">
        <v>250.00799000000001</v>
      </c>
      <c r="B1324" s="4">
        <v>646.5</v>
      </c>
      <c r="C1324" s="4">
        <v>76.716089999999994</v>
      </c>
      <c r="D1324" s="1">
        <v>5</v>
      </c>
      <c r="E1324" s="11">
        <f>($C$219-Table27[[#This Row],[Mass/%]])/$F$30</f>
        <v>0.29641791495306091</v>
      </c>
    </row>
    <row r="1325" spans="1:5" x14ac:dyDescent="0.15">
      <c r="A1325" s="4">
        <v>250.00597999999999</v>
      </c>
      <c r="B1325" s="4">
        <v>647</v>
      </c>
      <c r="C1325" s="4">
        <v>76.69511</v>
      </c>
      <c r="D1325" s="1">
        <v>5</v>
      </c>
      <c r="E1325" s="11">
        <f>($C$219-Table27[[#This Row],[Mass/%]])/$F$30</f>
        <v>0.29675680861750237</v>
      </c>
    </row>
    <row r="1326" spans="1:5" x14ac:dyDescent="0.15">
      <c r="A1326" s="4">
        <v>250.00597999999999</v>
      </c>
      <c r="B1326" s="4">
        <v>647.5</v>
      </c>
      <c r="C1326" s="4">
        <v>76.685450000000003</v>
      </c>
      <c r="D1326" s="1">
        <v>5</v>
      </c>
      <c r="E1326" s="11">
        <f>($C$219-Table27[[#This Row],[Mass/%]])/$F$30</f>
        <v>0.29691284831237869</v>
      </c>
    </row>
    <row r="1327" spans="1:5" x14ac:dyDescent="0.15">
      <c r="A1327" s="4">
        <v>250.00899999999999</v>
      </c>
      <c r="B1327" s="4">
        <v>648</v>
      </c>
      <c r="C1327" s="4">
        <v>76.694980000000001</v>
      </c>
      <c r="D1327" s="1">
        <v>5</v>
      </c>
      <c r="E1327" s="11">
        <f>($C$219-Table27[[#This Row],[Mass/%]])/$F$30</f>
        <v>0.2967589085305804</v>
      </c>
    </row>
    <row r="1328" spans="1:5" x14ac:dyDescent="0.15">
      <c r="A1328" s="4">
        <v>250.00899000000001</v>
      </c>
      <c r="B1328" s="4">
        <v>648.5</v>
      </c>
      <c r="C1328" s="4">
        <v>76.697010000000006</v>
      </c>
      <c r="D1328" s="1">
        <v>5</v>
      </c>
      <c r="E1328" s="11">
        <f>($C$219-Table27[[#This Row],[Mass/%]])/$F$30</f>
        <v>0.29672611758020778</v>
      </c>
    </row>
    <row r="1329" spans="1:5" x14ac:dyDescent="0.15">
      <c r="A1329" s="4">
        <v>250.00398999999999</v>
      </c>
      <c r="B1329" s="4">
        <v>649</v>
      </c>
      <c r="C1329" s="4">
        <v>76.675659999999993</v>
      </c>
      <c r="D1329" s="1">
        <v>5</v>
      </c>
      <c r="E1329" s="11">
        <f>($C$219-Table27[[#This Row],[Mass/%]])/$F$30</f>
        <v>0.29707098792033321</v>
      </c>
    </row>
    <row r="1330" spans="1:5" x14ac:dyDescent="0.15">
      <c r="A1330" s="4">
        <v>250.00402</v>
      </c>
      <c r="B1330" s="4">
        <v>649.5</v>
      </c>
      <c r="C1330" s="4">
        <v>76.666259999999994</v>
      </c>
      <c r="D1330" s="1">
        <v>5</v>
      </c>
      <c r="E1330" s="11">
        <f>($C$219-Table27[[#This Row],[Mass/%]])/$F$30</f>
        <v>0.29722282778905346</v>
      </c>
    </row>
    <row r="1331" spans="1:5" x14ac:dyDescent="0.15">
      <c r="A1331" s="4">
        <v>250.00501</v>
      </c>
      <c r="B1331" s="4">
        <v>650</v>
      </c>
      <c r="C1331" s="4">
        <v>76.683509999999998</v>
      </c>
      <c r="D1331" s="1">
        <v>5</v>
      </c>
      <c r="E1331" s="11">
        <f>($C$219-Table27[[#This Row],[Mass/%]])/$F$30</f>
        <v>0.2969441854767742</v>
      </c>
    </row>
    <row r="1332" spans="1:5" x14ac:dyDescent="0.15">
      <c r="A1332" s="4">
        <v>250.006</v>
      </c>
      <c r="B1332" s="4">
        <v>650.5</v>
      </c>
      <c r="C1332" s="4">
        <v>76.67577</v>
      </c>
      <c r="D1332" s="1">
        <v>5</v>
      </c>
      <c r="E1332" s="11">
        <f>($C$219-Table27[[#This Row],[Mass/%]])/$F$30</f>
        <v>0.29706921107080553</v>
      </c>
    </row>
    <row r="1333" spans="1:5" x14ac:dyDescent="0.15">
      <c r="A1333" s="4">
        <v>250.00504000000001</v>
      </c>
      <c r="B1333" s="4">
        <v>651</v>
      </c>
      <c r="C1333" s="4">
        <v>76.67962</v>
      </c>
      <c r="D1333" s="1">
        <v>5</v>
      </c>
      <c r="E1333" s="11">
        <f>($C$219-Table27[[#This Row],[Mass/%]])/$F$30</f>
        <v>0.2970070213373403</v>
      </c>
    </row>
    <row r="1334" spans="1:5" x14ac:dyDescent="0.15">
      <c r="A1334" s="4">
        <v>250.00206</v>
      </c>
      <c r="B1334" s="4">
        <v>651.5</v>
      </c>
      <c r="C1334" s="4">
        <v>76.654820000000001</v>
      </c>
      <c r="D1334" s="1">
        <v>5</v>
      </c>
      <c r="E1334" s="11">
        <f>($C$219-Table27[[#This Row],[Mass/%]])/$F$30</f>
        <v>0.29740762013992139</v>
      </c>
    </row>
    <row r="1335" spans="1:5" x14ac:dyDescent="0.15">
      <c r="A1335" s="4">
        <v>250.006</v>
      </c>
      <c r="B1335" s="4">
        <v>652</v>
      </c>
      <c r="C1335" s="4">
        <v>76.63194</v>
      </c>
      <c r="D1335" s="1">
        <v>5</v>
      </c>
      <c r="E1335" s="11">
        <f>($C$219-Table27[[#This Row],[Mass/%]])/$F$30</f>
        <v>0.29777720484165748</v>
      </c>
    </row>
    <row r="1336" spans="1:5" x14ac:dyDescent="0.15">
      <c r="A1336" s="4">
        <v>250.00299000000001</v>
      </c>
      <c r="B1336" s="4">
        <v>652.5</v>
      </c>
      <c r="C1336" s="4">
        <v>76.626109999999997</v>
      </c>
      <c r="D1336" s="1">
        <v>5</v>
      </c>
      <c r="E1336" s="11">
        <f>($C$219-Table27[[#This Row],[Mass/%]])/$F$30</f>
        <v>0.29787137786661916</v>
      </c>
    </row>
    <row r="1337" spans="1:5" x14ac:dyDescent="0.15">
      <c r="A1337" s="4">
        <v>250.00398000000001</v>
      </c>
      <c r="B1337" s="4">
        <v>653</v>
      </c>
      <c r="C1337" s="4">
        <v>76.643230000000003</v>
      </c>
      <c r="D1337" s="1">
        <v>5</v>
      </c>
      <c r="E1337" s="11">
        <f>($C$219-Table27[[#This Row],[Mass/%]])/$F$30</f>
        <v>0.29759483546741794</v>
      </c>
    </row>
    <row r="1338" spans="1:5" x14ac:dyDescent="0.15">
      <c r="A1338" s="4">
        <v>250.00104999999999</v>
      </c>
      <c r="B1338" s="4">
        <v>653.5</v>
      </c>
      <c r="C1338" s="4">
        <v>76.616609999999994</v>
      </c>
      <c r="D1338" s="1">
        <v>5</v>
      </c>
      <c r="E1338" s="11">
        <f>($C$219-Table27[[#This Row],[Mass/%]])/$F$30</f>
        <v>0.29802483305309174</v>
      </c>
    </row>
    <row r="1339" spans="1:5" x14ac:dyDescent="0.15">
      <c r="A1339" s="4">
        <v>250.00301999999999</v>
      </c>
      <c r="B1339" s="4">
        <v>654</v>
      </c>
      <c r="C1339" s="4">
        <v>76.622190000000003</v>
      </c>
      <c r="D1339" s="1">
        <v>5</v>
      </c>
      <c r="E1339" s="11">
        <f>($C$219-Table27[[#This Row],[Mass/%]])/$F$30</f>
        <v>0.2979346983225109</v>
      </c>
    </row>
    <row r="1340" spans="1:5" x14ac:dyDescent="0.15">
      <c r="A1340" s="4">
        <v>250.00703999999999</v>
      </c>
      <c r="B1340" s="4">
        <v>654.5</v>
      </c>
      <c r="C1340" s="4">
        <v>76.627949999999998</v>
      </c>
      <c r="D1340" s="1">
        <v>5</v>
      </c>
      <c r="E1340" s="11">
        <f>($C$219-Table27[[#This Row],[Mass/%]])/$F$30</f>
        <v>0.29784165601997598</v>
      </c>
    </row>
    <row r="1341" spans="1:5" x14ac:dyDescent="0.15">
      <c r="A1341" s="4">
        <v>250.00898000000001</v>
      </c>
      <c r="B1341" s="4">
        <v>655</v>
      </c>
      <c r="C1341" s="4">
        <v>76.610680000000002</v>
      </c>
      <c r="D1341" s="1">
        <v>5</v>
      </c>
      <c r="E1341" s="11">
        <f>($C$219-Table27[[#This Row],[Mass/%]])/$F$30</f>
        <v>0.29812062139580559</v>
      </c>
    </row>
    <row r="1342" spans="1:5" x14ac:dyDescent="0.15">
      <c r="A1342" s="4">
        <v>250.00399999999999</v>
      </c>
      <c r="B1342" s="4">
        <v>655.5</v>
      </c>
      <c r="C1342" s="4">
        <v>76.610609999999994</v>
      </c>
      <c r="D1342" s="1">
        <v>5</v>
      </c>
      <c r="E1342" s="11">
        <f>($C$219-Table27[[#This Row],[Mass/%]])/$F$30</f>
        <v>0.29812175211823233</v>
      </c>
    </row>
    <row r="1343" spans="1:5" x14ac:dyDescent="0.15">
      <c r="A1343" s="4">
        <v>250.006</v>
      </c>
      <c r="B1343" s="4">
        <v>656</v>
      </c>
      <c r="C1343" s="4">
        <v>76.602850000000004</v>
      </c>
      <c r="D1343" s="1">
        <v>5</v>
      </c>
      <c r="E1343" s="11">
        <f>($C$219-Table27[[#This Row],[Mass/%]])/$F$30</f>
        <v>0.29824710077581401</v>
      </c>
    </row>
    <row r="1344" spans="1:5" x14ac:dyDescent="0.15">
      <c r="A1344" s="4">
        <v>250.00899999999999</v>
      </c>
      <c r="B1344" s="4">
        <v>656.5</v>
      </c>
      <c r="C1344" s="4">
        <v>76.593170000000001</v>
      </c>
      <c r="D1344" s="1">
        <v>5</v>
      </c>
      <c r="E1344" s="11">
        <f>($C$219-Table27[[#This Row],[Mass/%]])/$F$30</f>
        <v>0.29840346353424085</v>
      </c>
    </row>
    <row r="1345" spans="1:5" x14ac:dyDescent="0.15">
      <c r="A1345" s="4">
        <v>250.00103999999999</v>
      </c>
      <c r="B1345" s="4">
        <v>657</v>
      </c>
      <c r="C1345" s="4">
        <v>76.58587</v>
      </c>
      <c r="D1345" s="1">
        <v>5</v>
      </c>
      <c r="E1345" s="11">
        <f>($C$219-Table27[[#This Row],[Mass/%]])/$F$30</f>
        <v>0.29852138173016196</v>
      </c>
    </row>
    <row r="1346" spans="1:5" x14ac:dyDescent="0.15">
      <c r="A1346" s="4">
        <v>250.00594000000001</v>
      </c>
      <c r="B1346" s="4">
        <v>657.5</v>
      </c>
      <c r="C1346" s="4">
        <v>76.570490000000007</v>
      </c>
      <c r="D1346" s="1">
        <v>5</v>
      </c>
      <c r="E1346" s="11">
        <f>($C$219-Table27[[#This Row],[Mass/%]])/$F$30</f>
        <v>0.29876981760047217</v>
      </c>
    </row>
    <row r="1347" spans="1:5" x14ac:dyDescent="0.15">
      <c r="A1347" s="4">
        <v>250.00398999999999</v>
      </c>
      <c r="B1347" s="4">
        <v>658</v>
      </c>
      <c r="C1347" s="4">
        <v>76.55874</v>
      </c>
      <c r="D1347" s="1">
        <v>5</v>
      </c>
      <c r="E1347" s="11">
        <f>($C$219-Table27[[#This Row],[Mass/%]])/$F$30</f>
        <v>0.29895961743637262</v>
      </c>
    </row>
    <row r="1348" spans="1:5" x14ac:dyDescent="0.15">
      <c r="A1348" s="4">
        <v>250.00702000000001</v>
      </c>
      <c r="B1348" s="4">
        <v>658.5</v>
      </c>
      <c r="C1348" s="4">
        <v>76.553299999999993</v>
      </c>
      <c r="D1348" s="1">
        <v>5</v>
      </c>
      <c r="E1348" s="11">
        <f>($C$219-Table27[[#This Row],[Mass/%]])/$F$30</f>
        <v>0.29904749072210018</v>
      </c>
    </row>
    <row r="1349" spans="1:5" x14ac:dyDescent="0.15">
      <c r="A1349" s="4">
        <v>250.00901999999999</v>
      </c>
      <c r="B1349" s="4">
        <v>659</v>
      </c>
      <c r="C1349" s="4">
        <v>76.566400000000002</v>
      </c>
      <c r="D1349" s="1">
        <v>5</v>
      </c>
      <c r="E1349" s="11">
        <f>($C$219-Table27[[#This Row],[Mass/%]])/$F$30</f>
        <v>0.2988358840965431</v>
      </c>
    </row>
    <row r="1350" spans="1:5" x14ac:dyDescent="0.15">
      <c r="A1350" s="4">
        <v>250.00597999999999</v>
      </c>
      <c r="B1350" s="4">
        <v>659.5</v>
      </c>
      <c r="C1350" s="4">
        <v>76.535910000000001</v>
      </c>
      <c r="D1350" s="1">
        <v>5</v>
      </c>
      <c r="E1350" s="11">
        <f>($C$219-Table27[[#This Row],[Mass/%]])/$F$30</f>
        <v>0.29932839447923248</v>
      </c>
    </row>
    <row r="1351" spans="1:5" x14ac:dyDescent="0.15">
      <c r="A1351" s="4">
        <v>250.00396000000001</v>
      </c>
      <c r="B1351" s="4">
        <v>660</v>
      </c>
      <c r="C1351" s="4">
        <v>76.537760000000006</v>
      </c>
      <c r="D1351" s="1">
        <v>5</v>
      </c>
      <c r="E1351" s="11">
        <f>($C$219-Table27[[#This Row],[Mass/%]])/$F$30</f>
        <v>0.29929851110081407</v>
      </c>
    </row>
    <row r="1352" spans="1:5" x14ac:dyDescent="0.15">
      <c r="A1352" s="4">
        <v>250.00397000000001</v>
      </c>
      <c r="B1352" s="4">
        <v>660.5</v>
      </c>
      <c r="C1352" s="4">
        <v>76.545500000000004</v>
      </c>
      <c r="D1352" s="1">
        <v>5</v>
      </c>
      <c r="E1352" s="11">
        <f>($C$219-Table27[[#This Row],[Mass/%]])/$F$30</f>
        <v>0.29917348550678274</v>
      </c>
    </row>
    <row r="1353" spans="1:5" x14ac:dyDescent="0.15">
      <c r="A1353" s="4">
        <v>249.999</v>
      </c>
      <c r="B1353" s="4">
        <v>661</v>
      </c>
      <c r="C1353" s="4">
        <v>76.532020000000003</v>
      </c>
      <c r="D1353" s="1">
        <v>5</v>
      </c>
      <c r="E1353" s="11">
        <f>($C$219-Table27[[#This Row],[Mass/%]])/$F$30</f>
        <v>0.29939123033979864</v>
      </c>
    </row>
    <row r="1354" spans="1:5" x14ac:dyDescent="0.15">
      <c r="A1354" s="4">
        <v>250.00702000000001</v>
      </c>
      <c r="B1354" s="4">
        <v>661.5</v>
      </c>
      <c r="C1354" s="4">
        <v>76.518839999999997</v>
      </c>
      <c r="D1354" s="1">
        <v>5</v>
      </c>
      <c r="E1354" s="11">
        <f>($C$219-Table27[[#This Row],[Mass/%]])/$F$30</f>
        <v>0.29960412921955754</v>
      </c>
    </row>
    <row r="1355" spans="1:5" x14ac:dyDescent="0.15">
      <c r="A1355" s="4">
        <v>250.00701000000001</v>
      </c>
      <c r="B1355" s="4">
        <v>662</v>
      </c>
      <c r="C1355" s="4">
        <v>76.518550000000005</v>
      </c>
      <c r="D1355" s="1">
        <v>5</v>
      </c>
      <c r="E1355" s="11">
        <f>($C$219-Table27[[#This Row],[Mass/%]])/$F$30</f>
        <v>0.2996088136410392</v>
      </c>
    </row>
    <row r="1356" spans="1:5" x14ac:dyDescent="0.15">
      <c r="A1356" s="4">
        <v>250.01202000000001</v>
      </c>
      <c r="B1356" s="4">
        <v>662.5</v>
      </c>
      <c r="C1356" s="4">
        <v>76.50703</v>
      </c>
      <c r="D1356" s="1">
        <v>5</v>
      </c>
      <c r="E1356" s="11">
        <f>($C$219-Table27[[#This Row],[Mass/%]])/$F$30</f>
        <v>0.29979489824610916</v>
      </c>
    </row>
    <row r="1357" spans="1:5" x14ac:dyDescent="0.15">
      <c r="A1357" s="4">
        <v>250.01295999999999</v>
      </c>
      <c r="B1357" s="4">
        <v>663</v>
      </c>
      <c r="C1357" s="4">
        <v>76.509029999999996</v>
      </c>
      <c r="D1357" s="1">
        <v>5</v>
      </c>
      <c r="E1357" s="11">
        <f>($C$219-Table27[[#This Row],[Mass/%]])/$F$30</f>
        <v>0.29976259189106241</v>
      </c>
    </row>
    <row r="1358" spans="1:5" x14ac:dyDescent="0.15">
      <c r="A1358" s="4">
        <v>250.00698</v>
      </c>
      <c r="B1358" s="4">
        <v>663.5</v>
      </c>
      <c r="C1358" s="4">
        <v>76.499600000000001</v>
      </c>
      <c r="D1358" s="1">
        <v>5</v>
      </c>
      <c r="E1358" s="11">
        <f>($C$219-Table27[[#This Row],[Mass/%]])/$F$30</f>
        <v>0.29991491635510825</v>
      </c>
    </row>
    <row r="1359" spans="1:5" x14ac:dyDescent="0.15">
      <c r="A1359" s="4">
        <v>250.00098</v>
      </c>
      <c r="B1359" s="4">
        <v>664</v>
      </c>
      <c r="C1359" s="4">
        <v>76.486050000000006</v>
      </c>
      <c r="D1359" s="1">
        <v>5</v>
      </c>
      <c r="E1359" s="11">
        <f>($C$219-Table27[[#This Row],[Mass/%]])/$F$30</f>
        <v>0.30013379191055067</v>
      </c>
    </row>
    <row r="1360" spans="1:5" x14ac:dyDescent="0.15">
      <c r="A1360" s="4">
        <v>250.00206</v>
      </c>
      <c r="B1360" s="4">
        <v>664.5</v>
      </c>
      <c r="C1360" s="4">
        <v>76.490009999999998</v>
      </c>
      <c r="D1360" s="1">
        <v>5</v>
      </c>
      <c r="E1360" s="11">
        <f>($C$219-Table27[[#This Row],[Mass/%]])/$F$30</f>
        <v>0.30006982532755799</v>
      </c>
    </row>
    <row r="1361" spans="1:5" x14ac:dyDescent="0.15">
      <c r="A1361" s="4">
        <v>250.00697</v>
      </c>
      <c r="B1361" s="4">
        <v>665</v>
      </c>
      <c r="C1361" s="4">
        <v>76.459149999999994</v>
      </c>
      <c r="D1361" s="1">
        <v>5</v>
      </c>
      <c r="E1361" s="11">
        <f>($C$219-Table27[[#This Row],[Mass/%]])/$F$30</f>
        <v>0.30056831238593112</v>
      </c>
    </row>
    <row r="1362" spans="1:5" x14ac:dyDescent="0.15">
      <c r="A1362" s="4">
        <v>250.00604999999999</v>
      </c>
      <c r="B1362" s="4">
        <v>665.5</v>
      </c>
      <c r="C1362" s="4">
        <v>76.487909999999999</v>
      </c>
      <c r="D1362" s="1">
        <v>5</v>
      </c>
      <c r="E1362" s="11">
        <f>($C$219-Table27[[#This Row],[Mass/%]])/$F$30</f>
        <v>0.30010374700035719</v>
      </c>
    </row>
    <row r="1363" spans="1:5" x14ac:dyDescent="0.15">
      <c r="A1363" s="4">
        <v>250.00700000000001</v>
      </c>
      <c r="B1363" s="4">
        <v>666</v>
      </c>
      <c r="C1363" s="4">
        <v>76.445750000000004</v>
      </c>
      <c r="D1363" s="1">
        <v>5</v>
      </c>
      <c r="E1363" s="11">
        <f>($C$219-Table27[[#This Row],[Mass/%]])/$F$30</f>
        <v>0.30078476496474493</v>
      </c>
    </row>
    <row r="1364" spans="1:5" x14ac:dyDescent="0.15">
      <c r="A1364" s="4">
        <v>250.00597999999999</v>
      </c>
      <c r="B1364" s="4">
        <v>666.5</v>
      </c>
      <c r="C1364" s="4">
        <v>76.449640000000002</v>
      </c>
      <c r="D1364" s="1">
        <v>5</v>
      </c>
      <c r="E1364" s="11">
        <f>($C$219-Table27[[#This Row],[Mass/%]])/$F$30</f>
        <v>0.30072192910417883</v>
      </c>
    </row>
    <row r="1365" spans="1:5" x14ac:dyDescent="0.15">
      <c r="A1365" s="4">
        <v>250.00402</v>
      </c>
      <c r="B1365" s="4">
        <v>667</v>
      </c>
      <c r="C1365" s="4">
        <v>76.447919999999996</v>
      </c>
      <c r="D1365" s="1">
        <v>5</v>
      </c>
      <c r="E1365" s="11">
        <f>($C$219-Table27[[#This Row],[Mass/%]])/$F$30</f>
        <v>0.30074971256951921</v>
      </c>
    </row>
    <row r="1366" spans="1:5" x14ac:dyDescent="0.15">
      <c r="A1366" s="4">
        <v>249.99898999999999</v>
      </c>
      <c r="B1366" s="4">
        <v>667.5</v>
      </c>
      <c r="C1366" s="4">
        <v>76.417019999999994</v>
      </c>
      <c r="D1366" s="1">
        <v>5</v>
      </c>
      <c r="E1366" s="11">
        <f>($C$219-Table27[[#This Row],[Mass/%]])/$F$30</f>
        <v>0.30124884575499328</v>
      </c>
    </row>
    <row r="1367" spans="1:5" x14ac:dyDescent="0.15">
      <c r="A1367" s="4">
        <v>250.00406000000001</v>
      </c>
      <c r="B1367" s="4">
        <v>668</v>
      </c>
      <c r="C1367" s="4">
        <v>76.422569999999993</v>
      </c>
      <c r="D1367" s="1">
        <v>5</v>
      </c>
      <c r="E1367" s="11">
        <f>($C$219-Table27[[#This Row],[Mass/%]])/$F$30</f>
        <v>0.30115919561973825</v>
      </c>
    </row>
    <row r="1368" spans="1:5" x14ac:dyDescent="0.15">
      <c r="A1368" s="4">
        <v>250.00701000000001</v>
      </c>
      <c r="B1368" s="4">
        <v>668.5</v>
      </c>
      <c r="C1368" s="4">
        <v>76.430520000000001</v>
      </c>
      <c r="D1368" s="1">
        <v>5</v>
      </c>
      <c r="E1368" s="11">
        <f>($C$219-Table27[[#This Row],[Mass/%]])/$F$30</f>
        <v>0.30103077785842686</v>
      </c>
    </row>
    <row r="1369" spans="1:5" x14ac:dyDescent="0.15">
      <c r="A1369" s="4">
        <v>250.00003000000001</v>
      </c>
      <c r="B1369" s="4">
        <v>669</v>
      </c>
      <c r="C1369" s="4">
        <v>76.407449999999997</v>
      </c>
      <c r="D1369" s="1">
        <v>5</v>
      </c>
      <c r="E1369" s="11">
        <f>($C$219-Table27[[#This Row],[Mass/%]])/$F$30</f>
        <v>0.30140343166389244</v>
      </c>
    </row>
    <row r="1370" spans="1:5" x14ac:dyDescent="0.15">
      <c r="A1370" s="4">
        <v>250.00202999999999</v>
      </c>
      <c r="B1370" s="4">
        <v>669.5</v>
      </c>
      <c r="C1370" s="4">
        <v>76.43047</v>
      </c>
      <c r="D1370" s="1">
        <v>5</v>
      </c>
      <c r="E1370" s="11">
        <f>($C$219-Table27[[#This Row],[Mass/%]])/$F$30</f>
        <v>0.30103158551730302</v>
      </c>
    </row>
    <row r="1371" spans="1:5" x14ac:dyDescent="0.15">
      <c r="A1371" s="4">
        <v>250.00299999999999</v>
      </c>
      <c r="B1371" s="4">
        <v>670</v>
      </c>
      <c r="C1371" s="4">
        <v>76.426599999999993</v>
      </c>
      <c r="D1371" s="1">
        <v>5</v>
      </c>
      <c r="E1371" s="11">
        <f>($C$219-Table27[[#This Row],[Mass/%]])/$F$30</f>
        <v>0.30109409831431883</v>
      </c>
    </row>
    <row r="1372" spans="1:5" x14ac:dyDescent="0.15">
      <c r="A1372" s="4">
        <v>250.00797</v>
      </c>
      <c r="B1372" s="4">
        <v>670.5</v>
      </c>
      <c r="C1372" s="4">
        <v>76.409360000000007</v>
      </c>
      <c r="D1372" s="1">
        <v>5</v>
      </c>
      <c r="E1372" s="11">
        <f>($C$219-Table27[[#This Row],[Mass/%]])/$F$30</f>
        <v>0.30137257909482257</v>
      </c>
    </row>
    <row r="1373" spans="1:5" x14ac:dyDescent="0.15">
      <c r="A1373" s="4">
        <v>249.99997999999999</v>
      </c>
      <c r="B1373" s="4">
        <v>671</v>
      </c>
      <c r="C1373" s="4">
        <v>76.399609999999996</v>
      </c>
      <c r="D1373" s="1">
        <v>5</v>
      </c>
      <c r="E1373" s="11">
        <f>($C$219-Table27[[#This Row],[Mass/%]])/$F$30</f>
        <v>0.30153007257567616</v>
      </c>
    </row>
    <row r="1374" spans="1:5" x14ac:dyDescent="0.15">
      <c r="A1374" s="4">
        <v>250.00201999999999</v>
      </c>
      <c r="B1374" s="4">
        <v>671.5</v>
      </c>
      <c r="C1374" s="4">
        <v>76.411370000000005</v>
      </c>
      <c r="D1374" s="1">
        <v>5</v>
      </c>
      <c r="E1374" s="11">
        <f>($C$219-Table27[[#This Row],[Mass/%]])/$F$30</f>
        <v>0.30134011120800047</v>
      </c>
    </row>
    <row r="1375" spans="1:5" x14ac:dyDescent="0.15">
      <c r="A1375" s="4">
        <v>250.01000999999999</v>
      </c>
      <c r="B1375" s="4">
        <v>672</v>
      </c>
      <c r="C1375" s="4">
        <v>76.382559999999998</v>
      </c>
      <c r="D1375" s="1">
        <v>5</v>
      </c>
      <c r="E1375" s="11">
        <f>($C$219-Table27[[#This Row],[Mass/%]])/$F$30</f>
        <v>0.30180548425245063</v>
      </c>
    </row>
    <row r="1376" spans="1:5" x14ac:dyDescent="0.15">
      <c r="A1376" s="4">
        <v>250.00599</v>
      </c>
      <c r="B1376" s="4">
        <v>672.5</v>
      </c>
      <c r="C1376" s="4">
        <v>76.384450000000001</v>
      </c>
      <c r="D1376" s="1">
        <v>5</v>
      </c>
      <c r="E1376" s="11">
        <f>($C$219-Table27[[#This Row],[Mass/%]])/$F$30</f>
        <v>0.30177495474693128</v>
      </c>
    </row>
    <row r="1377" spans="1:5" x14ac:dyDescent="0.15">
      <c r="A1377" s="4">
        <v>250.00497999999999</v>
      </c>
      <c r="B1377" s="4">
        <v>673</v>
      </c>
      <c r="C1377" s="4">
        <v>76.376760000000004</v>
      </c>
      <c r="D1377" s="1">
        <v>5</v>
      </c>
      <c r="E1377" s="11">
        <f>($C$219-Table27[[#This Row],[Mass/%]])/$F$30</f>
        <v>0.30189917268208644</v>
      </c>
    </row>
    <row r="1378" spans="1:5" x14ac:dyDescent="0.15">
      <c r="A1378" s="4">
        <v>250.00801000000001</v>
      </c>
      <c r="B1378" s="4">
        <v>673.5</v>
      </c>
      <c r="C1378" s="4">
        <v>76.365319999999997</v>
      </c>
      <c r="D1378" s="1">
        <v>5</v>
      </c>
      <c r="E1378" s="11">
        <f>($C$219-Table27[[#This Row],[Mass/%]])/$F$30</f>
        <v>0.30208396503295459</v>
      </c>
    </row>
    <row r="1379" spans="1:5" x14ac:dyDescent="0.15">
      <c r="A1379" s="4">
        <v>250.00792000000001</v>
      </c>
      <c r="B1379" s="4">
        <v>674</v>
      </c>
      <c r="C1379" s="4">
        <v>76.361350000000002</v>
      </c>
      <c r="D1379" s="1">
        <v>5</v>
      </c>
      <c r="E1379" s="11">
        <f>($C$219-Table27[[#This Row],[Mass/%]])/$F$30</f>
        <v>0.30214809314772251</v>
      </c>
    </row>
    <row r="1380" spans="1:5" x14ac:dyDescent="0.15">
      <c r="A1380" s="4">
        <v>250.00399999999999</v>
      </c>
      <c r="B1380" s="4">
        <v>674.5</v>
      </c>
      <c r="C1380" s="4">
        <v>76.35942</v>
      </c>
      <c r="D1380" s="1">
        <v>5</v>
      </c>
      <c r="E1380" s="11">
        <f>($C$219-Table27[[#This Row],[Mass/%]])/$F$30</f>
        <v>0.30217926878034279</v>
      </c>
    </row>
    <row r="1381" spans="1:5" x14ac:dyDescent="0.15">
      <c r="A1381" s="4">
        <v>249.99893</v>
      </c>
      <c r="B1381" s="4">
        <v>675</v>
      </c>
      <c r="C1381" s="4">
        <v>76.330680000000001</v>
      </c>
      <c r="D1381" s="1">
        <v>5</v>
      </c>
      <c r="E1381" s="11">
        <f>($C$219-Table27[[#This Row],[Mass/%]])/$F$30</f>
        <v>0.30264351110236615</v>
      </c>
    </row>
    <row r="1382" spans="1:5" x14ac:dyDescent="0.15">
      <c r="A1382" s="4">
        <v>250.00095999999999</v>
      </c>
      <c r="B1382" s="4">
        <v>675.5</v>
      </c>
      <c r="C1382" s="4">
        <v>76.351900000000001</v>
      </c>
      <c r="D1382" s="1">
        <v>5</v>
      </c>
      <c r="E1382" s="11">
        <f>($C$219-Table27[[#This Row],[Mass/%]])/$F$30</f>
        <v>0.30230074067531898</v>
      </c>
    </row>
    <row r="1383" spans="1:5" x14ac:dyDescent="0.15">
      <c r="A1383" s="4">
        <v>250.00308999999999</v>
      </c>
      <c r="B1383" s="4">
        <v>676</v>
      </c>
      <c r="C1383" s="4">
        <v>76.326759999999993</v>
      </c>
      <c r="D1383" s="1">
        <v>5</v>
      </c>
      <c r="E1383" s="11">
        <f>($C$219-Table27[[#This Row],[Mass/%]])/$F$30</f>
        <v>0.30270683155825812</v>
      </c>
    </row>
    <row r="1384" spans="1:5" x14ac:dyDescent="0.15">
      <c r="A1384" s="4">
        <v>250.00297</v>
      </c>
      <c r="B1384" s="4">
        <v>676.5</v>
      </c>
      <c r="C1384" s="4">
        <v>76.323030000000003</v>
      </c>
      <c r="D1384" s="1">
        <v>5</v>
      </c>
      <c r="E1384" s="11">
        <f>($C$219-Table27[[#This Row],[Mass/%]])/$F$30</f>
        <v>0.30276708291042037</v>
      </c>
    </row>
    <row r="1385" spans="1:5" x14ac:dyDescent="0.15">
      <c r="A1385" s="4">
        <v>250.00702999999999</v>
      </c>
      <c r="B1385" s="4">
        <v>677</v>
      </c>
      <c r="C1385" s="4">
        <v>76.326819999999998</v>
      </c>
      <c r="D1385" s="1">
        <v>5</v>
      </c>
      <c r="E1385" s="11">
        <f>($C$219-Table27[[#This Row],[Mass/%]])/$F$30</f>
        <v>0.30270586236760666</v>
      </c>
    </row>
    <row r="1386" spans="1:5" x14ac:dyDescent="0.15">
      <c r="A1386" s="4">
        <v>250.00800000000001</v>
      </c>
      <c r="B1386" s="4">
        <v>677.5</v>
      </c>
      <c r="C1386" s="4">
        <v>76.319239999999994</v>
      </c>
      <c r="D1386" s="1">
        <v>5</v>
      </c>
      <c r="E1386" s="11">
        <f>($C$219-Table27[[#This Row],[Mass/%]])/$F$30</f>
        <v>0.3028283034532343</v>
      </c>
    </row>
    <row r="1387" spans="1:5" x14ac:dyDescent="0.15">
      <c r="A1387" s="4">
        <v>250.01002</v>
      </c>
      <c r="B1387" s="4">
        <v>678</v>
      </c>
      <c r="C1387" s="4">
        <v>76.319220000000001</v>
      </c>
      <c r="D1387" s="1">
        <v>5</v>
      </c>
      <c r="E1387" s="11">
        <f>($C$219-Table27[[#This Row],[Mass/%]])/$F$30</f>
        <v>0.30282862651678466</v>
      </c>
    </row>
    <row r="1388" spans="1:5" x14ac:dyDescent="0.15">
      <c r="A1388" s="4">
        <v>250.011</v>
      </c>
      <c r="B1388" s="4">
        <v>678.5</v>
      </c>
      <c r="C1388" s="4">
        <v>76.303870000000003</v>
      </c>
      <c r="D1388" s="1">
        <v>5</v>
      </c>
      <c r="E1388" s="11">
        <f>($C$219-Table27[[#This Row],[Mass/%]])/$F$30</f>
        <v>0.30307657779176927</v>
      </c>
    </row>
    <row r="1389" spans="1:5" x14ac:dyDescent="0.15">
      <c r="A1389" s="4">
        <v>250.00996000000001</v>
      </c>
      <c r="B1389" s="4">
        <v>679</v>
      </c>
      <c r="C1389" s="4">
        <v>76.303970000000007</v>
      </c>
      <c r="D1389" s="1">
        <v>5</v>
      </c>
      <c r="E1389" s="11">
        <f>($C$219-Table27[[#This Row],[Mass/%]])/$F$30</f>
        <v>0.30307496247401688</v>
      </c>
    </row>
    <row r="1390" spans="1:5" x14ac:dyDescent="0.15">
      <c r="A1390" s="4">
        <v>250.00502</v>
      </c>
      <c r="B1390" s="4">
        <v>679.5</v>
      </c>
      <c r="C1390" s="4">
        <v>76.286730000000006</v>
      </c>
      <c r="D1390" s="1">
        <v>5</v>
      </c>
      <c r="E1390" s="11">
        <f>($C$219-Table27[[#This Row],[Mass/%]])/$F$30</f>
        <v>0.30335344325452085</v>
      </c>
    </row>
    <row r="1391" spans="1:5" x14ac:dyDescent="0.15">
      <c r="A1391" s="4">
        <v>250.00801000000001</v>
      </c>
      <c r="B1391" s="4">
        <v>680</v>
      </c>
      <c r="C1391" s="4">
        <v>76.307630000000003</v>
      </c>
      <c r="D1391" s="1">
        <v>5</v>
      </c>
      <c r="E1391" s="11">
        <f>($C$219-Table27[[#This Row],[Mass/%]])/$F$30</f>
        <v>0.30301584184428121</v>
      </c>
    </row>
    <row r="1392" spans="1:5" x14ac:dyDescent="0.15">
      <c r="A1392" s="4">
        <v>250.00502</v>
      </c>
      <c r="B1392" s="4">
        <v>680.5</v>
      </c>
      <c r="C1392" s="4">
        <v>76.284800000000004</v>
      </c>
      <c r="D1392" s="1">
        <v>5</v>
      </c>
      <c r="E1392" s="11">
        <f>($C$219-Table27[[#This Row],[Mass/%]])/$F$30</f>
        <v>0.30338461888714108</v>
      </c>
    </row>
    <row r="1393" spans="1:5" x14ac:dyDescent="0.15">
      <c r="A1393" s="4">
        <v>250.00698</v>
      </c>
      <c r="B1393" s="4">
        <v>681</v>
      </c>
      <c r="C1393" s="4">
        <v>76.275009999999995</v>
      </c>
      <c r="D1393" s="1">
        <v>5</v>
      </c>
      <c r="E1393" s="11">
        <f>($C$219-Table27[[#This Row],[Mass/%]])/$F$30</f>
        <v>0.30354275849509565</v>
      </c>
    </row>
    <row r="1394" spans="1:5" x14ac:dyDescent="0.15">
      <c r="A1394" s="4">
        <v>250.00798</v>
      </c>
      <c r="B1394" s="4">
        <v>681.5</v>
      </c>
      <c r="C1394" s="4">
        <v>76.286569999999998</v>
      </c>
      <c r="D1394" s="1">
        <v>5</v>
      </c>
      <c r="E1394" s="11">
        <f>($C$219-Table27[[#This Row],[Mass/%]])/$F$30</f>
        <v>0.30335602776292475</v>
      </c>
    </row>
    <row r="1395" spans="1:5" x14ac:dyDescent="0.15">
      <c r="A1395" s="4">
        <v>250.00597999999999</v>
      </c>
      <c r="B1395" s="4">
        <v>682</v>
      </c>
      <c r="C1395" s="4">
        <v>76.273060000000001</v>
      </c>
      <c r="D1395" s="1">
        <v>5</v>
      </c>
      <c r="E1395" s="11">
        <f>($C$219-Table27[[#This Row],[Mass/%]])/$F$30</f>
        <v>0.30357425719126624</v>
      </c>
    </row>
    <row r="1396" spans="1:5" x14ac:dyDescent="0.15">
      <c r="A1396" s="4">
        <v>250.00299000000001</v>
      </c>
      <c r="B1396" s="4">
        <v>682.5</v>
      </c>
      <c r="C1396" s="4">
        <v>76.261510000000001</v>
      </c>
      <c r="D1396" s="1">
        <v>5</v>
      </c>
      <c r="E1396" s="11">
        <f>($C$219-Table27[[#This Row],[Mass/%]])/$F$30</f>
        <v>0.30376082639166185</v>
      </c>
    </row>
    <row r="1397" spans="1:5" x14ac:dyDescent="0.15">
      <c r="A1397" s="4">
        <v>249.99898999999999</v>
      </c>
      <c r="B1397" s="4">
        <v>683</v>
      </c>
      <c r="C1397" s="4">
        <v>76.250259999999997</v>
      </c>
      <c r="D1397" s="1">
        <v>5</v>
      </c>
      <c r="E1397" s="11">
        <f>($C$219-Table27[[#This Row],[Mass/%]])/$F$30</f>
        <v>0.30394254963880052</v>
      </c>
    </row>
    <row r="1398" spans="1:5" x14ac:dyDescent="0.15">
      <c r="A1398" s="4">
        <v>249.99697</v>
      </c>
      <c r="B1398" s="4">
        <v>683.5</v>
      </c>
      <c r="C1398" s="4">
        <v>76.221729999999994</v>
      </c>
      <c r="D1398" s="1">
        <v>5</v>
      </c>
      <c r="E1398" s="11">
        <f>($C$219-Table27[[#This Row],[Mass/%]])/$F$30</f>
        <v>0.30440339979354403</v>
      </c>
    </row>
    <row r="1399" spans="1:5" x14ac:dyDescent="0.15">
      <c r="A1399" s="4">
        <v>249.99997999999999</v>
      </c>
      <c r="B1399" s="4">
        <v>684</v>
      </c>
      <c r="C1399" s="4">
        <v>76.248329999999996</v>
      </c>
      <c r="D1399" s="1">
        <v>5</v>
      </c>
      <c r="E1399" s="11">
        <f>($C$219-Table27[[#This Row],[Mass/%]])/$F$30</f>
        <v>0.30397372527142075</v>
      </c>
    </row>
    <row r="1400" spans="1:5" x14ac:dyDescent="0.15">
      <c r="A1400" s="4">
        <v>250.00502</v>
      </c>
      <c r="B1400" s="4">
        <v>684.5</v>
      </c>
      <c r="C1400" s="4">
        <v>76.219480000000004</v>
      </c>
      <c r="D1400" s="1">
        <v>5</v>
      </c>
      <c r="E1400" s="11">
        <f>($C$219-Table27[[#This Row],[Mass/%]])/$F$30</f>
        <v>0.30443974444297156</v>
      </c>
    </row>
    <row r="1401" spans="1:5" x14ac:dyDescent="0.15">
      <c r="A1401" s="4">
        <v>250.00594000000001</v>
      </c>
      <c r="B1401" s="4">
        <v>685</v>
      </c>
      <c r="C1401" s="4">
        <v>76.22148</v>
      </c>
      <c r="D1401" s="1">
        <v>5</v>
      </c>
      <c r="E1401" s="11">
        <f>($C$219-Table27[[#This Row],[Mass/%]])/$F$30</f>
        <v>0.30440743808792481</v>
      </c>
    </row>
    <row r="1402" spans="1:5" x14ac:dyDescent="0.15">
      <c r="A1402" s="4">
        <v>250.00199000000001</v>
      </c>
      <c r="B1402" s="4">
        <v>685.5</v>
      </c>
      <c r="C1402" s="4">
        <v>76.200400000000002</v>
      </c>
      <c r="D1402" s="1">
        <v>5</v>
      </c>
      <c r="E1402" s="11">
        <f>($C$219-Table27[[#This Row],[Mass/%]])/$F$30</f>
        <v>0.30474794707011865</v>
      </c>
    </row>
    <row r="1403" spans="1:5" x14ac:dyDescent="0.15">
      <c r="A1403" s="4">
        <v>250.00003000000001</v>
      </c>
      <c r="B1403" s="4">
        <v>686</v>
      </c>
      <c r="C1403" s="4">
        <v>76.202259999999995</v>
      </c>
      <c r="D1403" s="1">
        <v>5</v>
      </c>
      <c r="E1403" s="11">
        <f>($C$219-Table27[[#This Row],[Mass/%]])/$F$30</f>
        <v>0.30471790215992522</v>
      </c>
    </row>
    <row r="1404" spans="1:5" x14ac:dyDescent="0.15">
      <c r="A1404" s="4">
        <v>249.99895000000001</v>
      </c>
      <c r="B1404" s="4">
        <v>686.5</v>
      </c>
      <c r="C1404" s="4">
        <v>76.190659999999994</v>
      </c>
      <c r="D1404" s="1">
        <v>5</v>
      </c>
      <c r="E1404" s="11">
        <f>($C$219-Table27[[#This Row],[Mass/%]])/$F$30</f>
        <v>0.30490527901919701</v>
      </c>
    </row>
    <row r="1405" spans="1:5" x14ac:dyDescent="0.15">
      <c r="A1405" s="4">
        <v>249.99897000000001</v>
      </c>
      <c r="B1405" s="4">
        <v>687</v>
      </c>
      <c r="C1405" s="4">
        <v>76.194509999999994</v>
      </c>
      <c r="D1405" s="1">
        <v>5</v>
      </c>
      <c r="E1405" s="11">
        <f>($C$219-Table27[[#This Row],[Mass/%]])/$F$30</f>
        <v>0.30484308928573178</v>
      </c>
    </row>
    <row r="1406" spans="1:5" x14ac:dyDescent="0.15">
      <c r="A1406" s="4">
        <v>250.00104999999999</v>
      </c>
      <c r="B1406" s="4">
        <v>687.5</v>
      </c>
      <c r="C1406" s="4">
        <v>76.171729999999997</v>
      </c>
      <c r="D1406" s="1">
        <v>5</v>
      </c>
      <c r="E1406" s="11">
        <f>($C$219-Table27[[#This Row],[Mass/%]])/$F$30</f>
        <v>0.30521105866971554</v>
      </c>
    </row>
    <row r="1407" spans="1:5" x14ac:dyDescent="0.15">
      <c r="A1407" s="4">
        <v>250.00398000000001</v>
      </c>
      <c r="B1407" s="4">
        <v>688</v>
      </c>
      <c r="C1407" s="4">
        <v>76.177300000000002</v>
      </c>
      <c r="D1407" s="1">
        <v>5</v>
      </c>
      <c r="E1407" s="11">
        <f>($C$219-Table27[[#This Row],[Mass/%]])/$F$30</f>
        <v>0.30512108547090994</v>
      </c>
    </row>
    <row r="1408" spans="1:5" x14ac:dyDescent="0.15">
      <c r="A1408" s="4">
        <v>250.00496000000001</v>
      </c>
      <c r="B1408" s="4">
        <v>688.5</v>
      </c>
      <c r="C1408" s="4">
        <v>76.152559999999994</v>
      </c>
      <c r="D1408" s="1">
        <v>5</v>
      </c>
      <c r="E1408" s="11">
        <f>($C$219-Table27[[#This Row],[Mass/%]])/$F$30</f>
        <v>0.30552071508283973</v>
      </c>
    </row>
    <row r="1409" spans="1:5" x14ac:dyDescent="0.15">
      <c r="A1409" s="4">
        <v>250.00701000000001</v>
      </c>
      <c r="B1409" s="4">
        <v>689</v>
      </c>
      <c r="C1409" s="4">
        <v>76.160079999999994</v>
      </c>
      <c r="D1409" s="1">
        <v>5</v>
      </c>
      <c r="E1409" s="11">
        <f>($C$219-Table27[[#This Row],[Mass/%]])/$F$30</f>
        <v>0.30539924318786354</v>
      </c>
    </row>
    <row r="1410" spans="1:5" x14ac:dyDescent="0.15">
      <c r="A1410" s="4">
        <v>250.00704999999999</v>
      </c>
      <c r="B1410" s="4">
        <v>689.5</v>
      </c>
      <c r="C1410" s="4">
        <v>76.152460000000005</v>
      </c>
      <c r="D1410" s="1">
        <v>5</v>
      </c>
      <c r="E1410" s="11">
        <f>($C$219-Table27[[#This Row],[Mass/%]])/$F$30</f>
        <v>0.3055223304005919</v>
      </c>
    </row>
    <row r="1411" spans="1:5" x14ac:dyDescent="0.15">
      <c r="A1411" s="4">
        <v>250.00702000000001</v>
      </c>
      <c r="B1411" s="4">
        <v>690</v>
      </c>
      <c r="C1411" s="4">
        <v>76.144620000000003</v>
      </c>
      <c r="D1411" s="1">
        <v>5</v>
      </c>
      <c r="E1411" s="11">
        <f>($C$219-Table27[[#This Row],[Mass/%]])/$F$30</f>
        <v>0.30564897131237562</v>
      </c>
    </row>
  </sheetData>
  <pageMargins left="0.7" right="0.7" top="0.75" bottom="0.75" header="0.3" footer="0.3"/>
  <pageSetup paperSize="9" orientation="portrait" horizontalDpi="0" verticalDpi="0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F9F16-3A65-BF4F-B5D5-DB7AA6DF1251}">
  <dimension ref="A1:M1420"/>
  <sheetViews>
    <sheetView topLeftCell="A198" zoomScale="144" workbookViewId="0">
      <selection activeCell="D221" sqref="D221:D1420"/>
    </sheetView>
  </sheetViews>
  <sheetFormatPr baseColWidth="10" defaultColWidth="12" defaultRowHeight="13" x14ac:dyDescent="0.15"/>
  <cols>
    <col min="1" max="16384" width="12" style="15"/>
  </cols>
  <sheetData>
    <row r="1" spans="1:2" x14ac:dyDescent="0.15">
      <c r="A1" s="15" t="s">
        <v>0</v>
      </c>
      <c r="B1" s="15" t="s">
        <v>1</v>
      </c>
    </row>
    <row r="2" spans="1:2" x14ac:dyDescent="0.15">
      <c r="A2" s="15" t="s">
        <v>2</v>
      </c>
      <c r="B2" s="15" t="s">
        <v>109</v>
      </c>
    </row>
    <row r="3" spans="1:2" x14ac:dyDescent="0.15">
      <c r="A3" s="15" t="s">
        <v>4</v>
      </c>
      <c r="B3" s="15" t="s">
        <v>5</v>
      </c>
    </row>
    <row r="4" spans="1:2" x14ac:dyDescent="0.15">
      <c r="A4" s="15" t="s">
        <v>6</v>
      </c>
      <c r="B4" s="15" t="s">
        <v>7</v>
      </c>
    </row>
    <row r="5" spans="1:2" x14ac:dyDescent="0.15">
      <c r="A5" s="15" t="s">
        <v>8</v>
      </c>
      <c r="B5" s="15" t="s">
        <v>89</v>
      </c>
    </row>
    <row r="6" spans="1:2" x14ac:dyDescent="0.15">
      <c r="A6" s="15" t="s">
        <v>10</v>
      </c>
      <c r="B6" s="15" t="s">
        <v>11</v>
      </c>
    </row>
    <row r="7" spans="1:2" x14ac:dyDescent="0.15">
      <c r="A7" s="15" t="s">
        <v>12</v>
      </c>
      <c r="B7" s="15" t="s">
        <v>13</v>
      </c>
    </row>
    <row r="8" spans="1:2" x14ac:dyDescent="0.15">
      <c r="A8" s="15" t="s">
        <v>14</v>
      </c>
      <c r="B8" s="16">
        <v>113397</v>
      </c>
    </row>
    <row r="9" spans="1:2" x14ac:dyDescent="0.15">
      <c r="A9" s="15" t="s">
        <v>15</v>
      </c>
      <c r="B9" s="15" t="s">
        <v>114</v>
      </c>
    </row>
    <row r="10" spans="1:2" x14ac:dyDescent="0.15">
      <c r="A10" s="15" t="s">
        <v>17</v>
      </c>
      <c r="B10" s="15" t="s">
        <v>115</v>
      </c>
    </row>
    <row r="11" spans="1:2" x14ac:dyDescent="0.15">
      <c r="A11" s="15" t="s">
        <v>19</v>
      </c>
      <c r="B11" s="15" t="s">
        <v>20</v>
      </c>
    </row>
    <row r="12" spans="1:2" x14ac:dyDescent="0.15">
      <c r="A12" s="15" t="s">
        <v>21</v>
      </c>
      <c r="B12" s="15" t="s">
        <v>22</v>
      </c>
    </row>
    <row r="13" spans="1:2" x14ac:dyDescent="0.15">
      <c r="A13" s="15" t="s">
        <v>23</v>
      </c>
      <c r="B13" s="15" t="s">
        <v>24</v>
      </c>
    </row>
    <row r="14" spans="1:2" x14ac:dyDescent="0.15">
      <c r="A14" s="15" t="s">
        <v>25</v>
      </c>
      <c r="B14" s="15" t="s">
        <v>116</v>
      </c>
    </row>
    <row r="15" spans="1:2" x14ac:dyDescent="0.15">
      <c r="A15" s="15" t="s">
        <v>27</v>
      </c>
      <c r="B15" s="15" t="s">
        <v>28</v>
      </c>
    </row>
    <row r="16" spans="1:2" x14ac:dyDescent="0.15">
      <c r="A16" s="15" t="s">
        <v>29</v>
      </c>
      <c r="B16" s="15" t="s">
        <v>89</v>
      </c>
    </row>
    <row r="17" spans="1:2" x14ac:dyDescent="0.15">
      <c r="A17" s="15" t="s">
        <v>30</v>
      </c>
      <c r="B17" s="17">
        <v>4.4638999999999998</v>
      </c>
    </row>
    <row r="18" spans="1:2" x14ac:dyDescent="0.15">
      <c r="A18" s="15" t="s">
        <v>31</v>
      </c>
      <c r="B18" s="15" t="s">
        <v>93</v>
      </c>
    </row>
    <row r="19" spans="1:2" x14ac:dyDescent="0.15">
      <c r="A19" s="15" t="s">
        <v>33</v>
      </c>
      <c r="B19" s="15" t="s">
        <v>34</v>
      </c>
    </row>
    <row r="20" spans="1:2" x14ac:dyDescent="0.15">
      <c r="A20" s="15" t="s">
        <v>35</v>
      </c>
      <c r="B20" s="16">
        <v>0</v>
      </c>
    </row>
    <row r="21" spans="1:2" x14ac:dyDescent="0.15">
      <c r="A21" s="15" t="s">
        <v>36</v>
      </c>
      <c r="B21" s="15" t="s">
        <v>37</v>
      </c>
    </row>
    <row r="22" spans="1:2" x14ac:dyDescent="0.15">
      <c r="A22" s="15" t="s">
        <v>38</v>
      </c>
      <c r="B22" s="17">
        <v>144.864125</v>
      </c>
    </row>
    <row r="23" spans="1:2" x14ac:dyDescent="0.15">
      <c r="A23" s="15" t="s">
        <v>39</v>
      </c>
      <c r="B23" s="18">
        <v>143.75</v>
      </c>
    </row>
    <row r="24" spans="1:2" x14ac:dyDescent="0.15">
      <c r="A24" s="15" t="s">
        <v>40</v>
      </c>
      <c r="B24" s="15" t="s">
        <v>41</v>
      </c>
    </row>
    <row r="25" spans="1:2" x14ac:dyDescent="0.15">
      <c r="A25" s="15" t="s">
        <v>42</v>
      </c>
      <c r="B25" s="15" t="s">
        <v>43</v>
      </c>
    </row>
    <row r="26" spans="1:2" x14ac:dyDescent="0.15">
      <c r="A26" s="15" t="s">
        <v>44</v>
      </c>
      <c r="B26" s="15" t="s">
        <v>43</v>
      </c>
    </row>
    <row r="27" spans="1:2" x14ac:dyDescent="0.15">
      <c r="A27" s="15" t="s">
        <v>45</v>
      </c>
      <c r="B27" s="16">
        <v>5000</v>
      </c>
    </row>
    <row r="28" spans="1:2" x14ac:dyDescent="0.15">
      <c r="A28" s="15" t="s">
        <v>46</v>
      </c>
      <c r="B28" s="16">
        <v>5000</v>
      </c>
    </row>
    <row r="29" spans="1:2" x14ac:dyDescent="0.15">
      <c r="A29" s="15" t="s">
        <v>47</v>
      </c>
      <c r="B29" s="15" t="s">
        <v>48</v>
      </c>
    </row>
    <row r="30" spans="1:2" x14ac:dyDescent="0.15">
      <c r="A30" s="15" t="s">
        <v>49</v>
      </c>
      <c r="B30" s="16">
        <v>20</v>
      </c>
    </row>
    <row r="31" spans="1:2" x14ac:dyDescent="0.15">
      <c r="A31" s="15" t="s">
        <v>50</v>
      </c>
      <c r="B31" s="16">
        <v>1</v>
      </c>
    </row>
    <row r="32" spans="1:2" x14ac:dyDescent="0.15">
      <c r="A32" s="15" t="s">
        <v>51</v>
      </c>
      <c r="B32" s="15" t="s">
        <v>94</v>
      </c>
    </row>
    <row r="33" spans="1:13" x14ac:dyDescent="0.15">
      <c r="A33" s="15" t="s">
        <v>53</v>
      </c>
      <c r="B33" s="15" t="s">
        <v>82</v>
      </c>
    </row>
    <row r="34" spans="1:13" x14ac:dyDescent="0.15">
      <c r="A34" s="15" t="s">
        <v>55</v>
      </c>
      <c r="B34" s="15" t="s">
        <v>117</v>
      </c>
    </row>
    <row r="35" spans="1:13" x14ac:dyDescent="0.15">
      <c r="A35" s="15" t="s">
        <v>57</v>
      </c>
      <c r="B35" s="15" t="s">
        <v>118</v>
      </c>
    </row>
    <row r="36" spans="1:13" x14ac:dyDescent="0.15">
      <c r="A36" s="15" t="s">
        <v>59</v>
      </c>
      <c r="B36" s="15" t="s">
        <v>119</v>
      </c>
    </row>
    <row r="37" spans="1:13" x14ac:dyDescent="0.15">
      <c r="A37" s="15" t="s">
        <v>61</v>
      </c>
      <c r="B37" s="15" t="s">
        <v>97</v>
      </c>
    </row>
    <row r="38" spans="1:13" x14ac:dyDescent="0.15">
      <c r="A38" s="15" t="s">
        <v>86</v>
      </c>
      <c r="B38" s="15" t="s">
        <v>98</v>
      </c>
    </row>
    <row r="40" spans="1:13" x14ac:dyDescent="0.15">
      <c r="A40" s="15" t="s">
        <v>63</v>
      </c>
      <c r="B40" s="15" t="s">
        <v>64</v>
      </c>
      <c r="C40" s="15" t="s">
        <v>65</v>
      </c>
      <c r="D40" s="15" t="s">
        <v>66</v>
      </c>
      <c r="E40" s="15" t="s">
        <v>67</v>
      </c>
      <c r="F40" s="15" t="s">
        <v>68</v>
      </c>
      <c r="G40" s="15" t="s">
        <v>69</v>
      </c>
      <c r="H40" s="15" t="s">
        <v>70</v>
      </c>
    </row>
    <row r="41" spans="1:13" x14ac:dyDescent="0.15">
      <c r="A41" s="19">
        <v>45.747999999999998</v>
      </c>
      <c r="B41" s="19">
        <v>0</v>
      </c>
      <c r="C41" s="20">
        <v>-2.5124239999999999E-2</v>
      </c>
      <c r="D41" s="19">
        <v>100</v>
      </c>
      <c r="E41" s="21">
        <v>0</v>
      </c>
      <c r="F41" s="19">
        <v>100</v>
      </c>
      <c r="G41" s="19">
        <v>1</v>
      </c>
      <c r="H41" s="16">
        <v>1</v>
      </c>
    </row>
    <row r="42" spans="1:13" x14ac:dyDescent="0.15">
      <c r="A42" s="19">
        <v>45.965269999999997</v>
      </c>
      <c r="B42" s="19">
        <v>0.5</v>
      </c>
      <c r="C42" s="20">
        <v>1.247667E-2</v>
      </c>
      <c r="D42" s="19">
        <v>100.26882000000001</v>
      </c>
      <c r="E42" s="21">
        <v>0</v>
      </c>
      <c r="F42" s="19">
        <v>100</v>
      </c>
      <c r="G42" s="19">
        <v>1</v>
      </c>
      <c r="H42" s="16">
        <v>1</v>
      </c>
    </row>
    <row r="43" spans="1:13" x14ac:dyDescent="0.15">
      <c r="A43" s="19">
        <v>47.900730000000003</v>
      </c>
      <c r="B43" s="19">
        <v>1</v>
      </c>
      <c r="C43" s="19">
        <v>0.27533999999999997</v>
      </c>
      <c r="D43" s="19">
        <v>100.97448</v>
      </c>
      <c r="E43" s="21">
        <v>0</v>
      </c>
      <c r="F43" s="19">
        <v>100</v>
      </c>
      <c r="G43" s="19">
        <v>1</v>
      </c>
      <c r="H43" s="16">
        <v>1</v>
      </c>
    </row>
    <row r="44" spans="1:13" x14ac:dyDescent="0.15">
      <c r="A44" s="19">
        <v>54.13</v>
      </c>
      <c r="B44" s="19">
        <v>1.5</v>
      </c>
      <c r="C44" s="19">
        <v>1.2531399999999999</v>
      </c>
      <c r="D44" s="19">
        <v>101.34524</v>
      </c>
      <c r="E44" s="21">
        <v>0</v>
      </c>
      <c r="F44" s="19">
        <v>100</v>
      </c>
      <c r="G44" s="19">
        <v>1</v>
      </c>
      <c r="H44" s="16">
        <v>1</v>
      </c>
    </row>
    <row r="45" spans="1:13" x14ac:dyDescent="0.15">
      <c r="A45" s="19">
        <v>66.005669999999995</v>
      </c>
      <c r="B45" s="19">
        <v>2</v>
      </c>
      <c r="C45" s="19">
        <v>2.3914399999999998</v>
      </c>
      <c r="D45" s="19">
        <v>101.87244</v>
      </c>
      <c r="E45" s="21">
        <v>0</v>
      </c>
      <c r="F45" s="19">
        <v>100</v>
      </c>
      <c r="G45" s="19">
        <v>1</v>
      </c>
      <c r="H45" s="16">
        <v>2</v>
      </c>
      <c r="K45" s="15" t="s">
        <v>121</v>
      </c>
      <c r="M45" s="15" t="s">
        <v>120</v>
      </c>
    </row>
    <row r="46" spans="1:13" x14ac:dyDescent="0.15">
      <c r="A46" s="19">
        <v>78.417609999999996</v>
      </c>
      <c r="B46" s="19">
        <v>2.5</v>
      </c>
      <c r="C46" s="19">
        <v>1.82115</v>
      </c>
      <c r="D46" s="19">
        <v>102.1889</v>
      </c>
      <c r="E46" s="21">
        <v>0</v>
      </c>
      <c r="F46" s="19">
        <v>100</v>
      </c>
      <c r="G46" s="19">
        <v>1</v>
      </c>
      <c r="H46" s="16">
        <v>2</v>
      </c>
      <c r="K46" s="19">
        <f>'250C (Odin)'!D1420-'250C (Sif)'!C1411</f>
        <v>10.217680000000001</v>
      </c>
      <c r="M46" s="19">
        <f>D221-'250C (Sif)'!C212</f>
        <v>5.1793400000000105</v>
      </c>
    </row>
    <row r="47" spans="1:13" x14ac:dyDescent="0.15">
      <c r="A47" s="19">
        <v>89.506320000000002</v>
      </c>
      <c r="B47" s="19">
        <v>3</v>
      </c>
      <c r="C47" s="19">
        <v>1.02532</v>
      </c>
      <c r="D47" s="19">
        <v>102.25339</v>
      </c>
      <c r="E47" s="21">
        <v>0</v>
      </c>
      <c r="F47" s="19">
        <v>100</v>
      </c>
      <c r="G47" s="19">
        <v>1</v>
      </c>
      <c r="H47" s="16">
        <v>2</v>
      </c>
    </row>
    <row r="48" spans="1:13" x14ac:dyDescent="0.15">
      <c r="A48" s="19">
        <v>98.671099999999996</v>
      </c>
      <c r="B48" s="19">
        <v>3.5</v>
      </c>
      <c r="C48" s="19">
        <v>0.48875000000000002</v>
      </c>
      <c r="D48" s="19">
        <v>102.24392</v>
      </c>
      <c r="E48" s="21">
        <v>0</v>
      </c>
      <c r="F48" s="19">
        <v>100</v>
      </c>
      <c r="G48" s="19">
        <v>1</v>
      </c>
      <c r="H48" s="16">
        <v>2</v>
      </c>
    </row>
    <row r="49" spans="1:8" x14ac:dyDescent="0.15">
      <c r="A49" s="19">
        <v>105.86501</v>
      </c>
      <c r="B49" s="19">
        <v>4</v>
      </c>
      <c r="C49" s="19">
        <v>0.19134000000000001</v>
      </c>
      <c r="D49" s="19">
        <v>102.10813</v>
      </c>
      <c r="E49" s="21">
        <v>0</v>
      </c>
      <c r="F49" s="19">
        <v>100</v>
      </c>
      <c r="G49" s="19">
        <v>1</v>
      </c>
      <c r="H49" s="16">
        <v>2</v>
      </c>
    </row>
    <row r="50" spans="1:8" x14ac:dyDescent="0.15">
      <c r="A50" s="19">
        <v>111.27039000000001</v>
      </c>
      <c r="B50" s="19">
        <v>4.5</v>
      </c>
      <c r="C50" s="20">
        <v>3.3641820000000003E-2</v>
      </c>
      <c r="D50" s="19">
        <v>102.00801</v>
      </c>
      <c r="E50" s="21">
        <v>0</v>
      </c>
      <c r="F50" s="19">
        <v>100</v>
      </c>
      <c r="G50" s="19">
        <v>1</v>
      </c>
      <c r="H50" s="16">
        <v>2</v>
      </c>
    </row>
    <row r="51" spans="1:8" x14ac:dyDescent="0.15">
      <c r="A51" s="19">
        <v>115.15940999999999</v>
      </c>
      <c r="B51" s="19">
        <v>5</v>
      </c>
      <c r="C51" s="20">
        <v>-3.8295589999999997E-2</v>
      </c>
      <c r="D51" s="19">
        <v>102.00466</v>
      </c>
      <c r="E51" s="21">
        <v>0</v>
      </c>
      <c r="F51" s="19">
        <v>100</v>
      </c>
      <c r="G51" s="19">
        <v>1</v>
      </c>
      <c r="H51" s="16">
        <v>2</v>
      </c>
    </row>
    <row r="52" spans="1:8" x14ac:dyDescent="0.15">
      <c r="A52" s="19">
        <v>117.88263000000001</v>
      </c>
      <c r="B52" s="19">
        <v>5.5</v>
      </c>
      <c r="C52" s="20">
        <v>-4.7503150000000001E-2</v>
      </c>
      <c r="D52" s="19">
        <v>101.87502000000001</v>
      </c>
      <c r="E52" s="21">
        <v>0</v>
      </c>
      <c r="F52" s="19">
        <v>100</v>
      </c>
      <c r="G52" s="19">
        <v>1</v>
      </c>
      <c r="H52" s="16">
        <v>2</v>
      </c>
    </row>
    <row r="53" spans="1:8" x14ac:dyDescent="0.15">
      <c r="A53" s="19">
        <v>119.8173</v>
      </c>
      <c r="B53" s="19">
        <v>6</v>
      </c>
      <c r="C53" s="20">
        <v>-1.9855439999999999E-2</v>
      </c>
      <c r="D53" s="19">
        <v>101.88992</v>
      </c>
      <c r="E53" s="21">
        <v>0</v>
      </c>
      <c r="F53" s="19">
        <v>100</v>
      </c>
      <c r="G53" s="19">
        <v>1</v>
      </c>
      <c r="H53" s="16">
        <v>2</v>
      </c>
    </row>
    <row r="54" spans="1:8" x14ac:dyDescent="0.15">
      <c r="A54" s="19">
        <v>121.27316</v>
      </c>
      <c r="B54" s="19">
        <v>6.5</v>
      </c>
      <c r="C54" s="20">
        <v>1.2765230000000001E-2</v>
      </c>
      <c r="D54" s="19">
        <v>101.98727</v>
      </c>
      <c r="E54" s="21">
        <v>0</v>
      </c>
      <c r="F54" s="19">
        <v>100</v>
      </c>
      <c r="G54" s="19">
        <v>1</v>
      </c>
      <c r="H54" s="16">
        <v>2</v>
      </c>
    </row>
    <row r="55" spans="1:8" x14ac:dyDescent="0.15">
      <c r="A55" s="19">
        <v>122.42903</v>
      </c>
      <c r="B55" s="19">
        <v>7</v>
      </c>
      <c r="C55" s="20">
        <v>3.2162379999999997E-2</v>
      </c>
      <c r="D55" s="19">
        <v>101.98448</v>
      </c>
      <c r="E55" s="21">
        <v>0</v>
      </c>
      <c r="F55" s="19">
        <v>100</v>
      </c>
      <c r="G55" s="19">
        <v>1</v>
      </c>
      <c r="H55" s="16">
        <v>2</v>
      </c>
    </row>
    <row r="56" spans="1:8" x14ac:dyDescent="0.15">
      <c r="A56" s="19">
        <v>123.35172</v>
      </c>
      <c r="B56" s="19">
        <v>7.5</v>
      </c>
      <c r="C56" s="20">
        <v>3.6530409999999999E-2</v>
      </c>
      <c r="D56" s="19">
        <v>102.08053</v>
      </c>
      <c r="E56" s="21">
        <v>0</v>
      </c>
      <c r="F56" s="19">
        <v>100</v>
      </c>
      <c r="G56" s="19">
        <v>1</v>
      </c>
      <c r="H56" s="16">
        <v>2</v>
      </c>
    </row>
    <row r="57" spans="1:8" x14ac:dyDescent="0.15">
      <c r="A57" s="19">
        <v>124.03015000000001</v>
      </c>
      <c r="B57" s="19">
        <v>8</v>
      </c>
      <c r="C57" s="20">
        <v>2.705801E-2</v>
      </c>
      <c r="D57" s="19">
        <v>102.00794999999999</v>
      </c>
      <c r="E57" s="21">
        <v>0</v>
      </c>
      <c r="F57" s="19">
        <v>100</v>
      </c>
      <c r="G57" s="19">
        <v>1</v>
      </c>
      <c r="H57" s="16">
        <v>2</v>
      </c>
    </row>
    <row r="58" spans="1:8" x14ac:dyDescent="0.15">
      <c r="A58" s="19">
        <v>124.43796</v>
      </c>
      <c r="B58" s="19">
        <v>8.5</v>
      </c>
      <c r="C58" s="20">
        <v>1.097075E-2</v>
      </c>
      <c r="D58" s="19">
        <v>101.84827</v>
      </c>
      <c r="E58" s="21">
        <v>0</v>
      </c>
      <c r="F58" s="19">
        <v>100</v>
      </c>
      <c r="G58" s="19">
        <v>1</v>
      </c>
      <c r="H58" s="16">
        <v>2</v>
      </c>
    </row>
    <row r="59" spans="1:8" x14ac:dyDescent="0.15">
      <c r="A59" s="19">
        <v>124.55788</v>
      </c>
      <c r="B59" s="19">
        <v>9</v>
      </c>
      <c r="C59" s="20">
        <v>-1.7750820000000001E-3</v>
      </c>
      <c r="D59" s="19">
        <v>101.92753999999999</v>
      </c>
      <c r="E59" s="21">
        <v>0</v>
      </c>
      <c r="F59" s="19">
        <v>100</v>
      </c>
      <c r="G59" s="19">
        <v>1</v>
      </c>
      <c r="H59" s="16">
        <v>2</v>
      </c>
    </row>
    <row r="60" spans="1:8" x14ac:dyDescent="0.15">
      <c r="A60" s="19">
        <v>124.39261999999999</v>
      </c>
      <c r="B60" s="19">
        <v>9.5</v>
      </c>
      <c r="C60" s="20">
        <v>-1.086871E-2</v>
      </c>
      <c r="D60" s="19">
        <v>101.82708</v>
      </c>
      <c r="E60" s="21">
        <v>0</v>
      </c>
      <c r="F60" s="19">
        <v>100</v>
      </c>
      <c r="G60" s="19">
        <v>1</v>
      </c>
      <c r="H60" s="16">
        <v>2</v>
      </c>
    </row>
    <row r="61" spans="1:8" x14ac:dyDescent="0.15">
      <c r="A61" s="19">
        <v>123.98357</v>
      </c>
      <c r="B61" s="19">
        <v>10</v>
      </c>
      <c r="C61" s="20">
        <v>-1.3339190000000001E-2</v>
      </c>
      <c r="D61" s="19">
        <v>101.80244999999999</v>
      </c>
      <c r="E61" s="21">
        <v>0</v>
      </c>
      <c r="F61" s="19">
        <v>100</v>
      </c>
      <c r="G61" s="19">
        <v>1</v>
      </c>
      <c r="H61" s="16">
        <v>2</v>
      </c>
    </row>
    <row r="62" spans="1:8" x14ac:dyDescent="0.15">
      <c r="A62" s="19">
        <v>123.37456</v>
      </c>
      <c r="B62" s="19">
        <v>10.5</v>
      </c>
      <c r="C62" s="20">
        <v>-1.114388E-2</v>
      </c>
      <c r="D62" s="19">
        <v>101.76848</v>
      </c>
      <c r="E62" s="21">
        <v>0</v>
      </c>
      <c r="F62" s="19">
        <v>100</v>
      </c>
      <c r="G62" s="19">
        <v>1</v>
      </c>
      <c r="H62" s="16">
        <v>2</v>
      </c>
    </row>
    <row r="63" spans="1:8" x14ac:dyDescent="0.15">
      <c r="A63" s="19">
        <v>122.61601</v>
      </c>
      <c r="B63" s="19">
        <v>11</v>
      </c>
      <c r="C63" s="20">
        <v>-6.7809120000000001E-3</v>
      </c>
      <c r="D63" s="19">
        <v>101.78822</v>
      </c>
      <c r="E63" s="21">
        <v>0</v>
      </c>
      <c r="F63" s="19">
        <v>100</v>
      </c>
      <c r="G63" s="19">
        <v>1</v>
      </c>
      <c r="H63" s="16">
        <v>2</v>
      </c>
    </row>
    <row r="64" spans="1:8" x14ac:dyDescent="0.15">
      <c r="A64" s="19">
        <v>121.76555</v>
      </c>
      <c r="B64" s="19">
        <v>11.5</v>
      </c>
      <c r="C64" s="20">
        <v>-1.019696E-5</v>
      </c>
      <c r="D64" s="19">
        <v>101.74611</v>
      </c>
      <c r="E64" s="21">
        <v>0</v>
      </c>
      <c r="F64" s="19">
        <v>100</v>
      </c>
      <c r="G64" s="19">
        <v>1</v>
      </c>
      <c r="H64" s="16">
        <v>2</v>
      </c>
    </row>
    <row r="65" spans="1:8" x14ac:dyDescent="0.15">
      <c r="A65" s="19">
        <v>120.86219</v>
      </c>
      <c r="B65" s="19">
        <v>12</v>
      </c>
      <c r="C65" s="20">
        <v>5.9765340000000004E-3</v>
      </c>
      <c r="D65" s="19">
        <v>101.68003</v>
      </c>
      <c r="E65" s="21">
        <v>0</v>
      </c>
      <c r="F65" s="19">
        <v>100</v>
      </c>
      <c r="G65" s="19">
        <v>1</v>
      </c>
      <c r="H65" s="16">
        <v>2</v>
      </c>
    </row>
    <row r="66" spans="1:8" x14ac:dyDescent="0.15">
      <c r="A66" s="19">
        <v>119.93733</v>
      </c>
      <c r="B66" s="19">
        <v>12.5</v>
      </c>
      <c r="C66" s="20">
        <v>1.1828409999999999E-2</v>
      </c>
      <c r="D66" s="19">
        <v>101.75642999999999</v>
      </c>
      <c r="E66" s="21">
        <v>0</v>
      </c>
      <c r="F66" s="19">
        <v>100</v>
      </c>
      <c r="G66" s="19">
        <v>1</v>
      </c>
      <c r="H66" s="16">
        <v>2</v>
      </c>
    </row>
    <row r="67" spans="1:8" x14ac:dyDescent="0.15">
      <c r="A67" s="19">
        <v>119.01642</v>
      </c>
      <c r="B67" s="19">
        <v>13</v>
      </c>
      <c r="C67" s="20">
        <v>1.6689699999999998E-2</v>
      </c>
      <c r="D67" s="19">
        <v>101.71621</v>
      </c>
      <c r="E67" s="21">
        <v>0</v>
      </c>
      <c r="F67" s="19">
        <v>100</v>
      </c>
      <c r="G67" s="19">
        <v>1</v>
      </c>
      <c r="H67" s="16">
        <v>2</v>
      </c>
    </row>
    <row r="68" spans="1:8" x14ac:dyDescent="0.15">
      <c r="A68" s="19">
        <v>118.11367</v>
      </c>
      <c r="B68" s="19">
        <v>13.5</v>
      </c>
      <c r="C68" s="20">
        <v>1.9543649999999999E-2</v>
      </c>
      <c r="D68" s="19">
        <v>101.68807</v>
      </c>
      <c r="E68" s="21">
        <v>0</v>
      </c>
      <c r="F68" s="19">
        <v>100</v>
      </c>
      <c r="G68" s="19">
        <v>1</v>
      </c>
      <c r="H68" s="16">
        <v>2</v>
      </c>
    </row>
    <row r="69" spans="1:8" x14ac:dyDescent="0.15">
      <c r="A69" s="19">
        <v>117.24215</v>
      </c>
      <c r="B69" s="19">
        <v>14</v>
      </c>
      <c r="C69" s="20">
        <v>2.132479E-2</v>
      </c>
      <c r="D69" s="19">
        <v>101.58822000000001</v>
      </c>
      <c r="E69" s="21">
        <v>0</v>
      </c>
      <c r="F69" s="19">
        <v>100</v>
      </c>
      <c r="G69" s="19">
        <v>1</v>
      </c>
      <c r="H69" s="16">
        <v>2</v>
      </c>
    </row>
    <row r="70" spans="1:8" x14ac:dyDescent="0.15">
      <c r="A70" s="19">
        <v>116.41231000000001</v>
      </c>
      <c r="B70" s="19">
        <v>14.5</v>
      </c>
      <c r="C70" s="20">
        <v>2.225181E-2</v>
      </c>
      <c r="D70" s="19">
        <v>101.65643</v>
      </c>
      <c r="E70" s="21">
        <v>0</v>
      </c>
      <c r="F70" s="19">
        <v>100</v>
      </c>
      <c r="G70" s="19">
        <v>1</v>
      </c>
      <c r="H70" s="16">
        <v>2</v>
      </c>
    </row>
    <row r="71" spans="1:8" x14ac:dyDescent="0.15">
      <c r="A71" s="19">
        <v>115.62341000000001</v>
      </c>
      <c r="B71" s="19">
        <v>15</v>
      </c>
      <c r="C71" s="20">
        <v>2.7321060000000001E-2</v>
      </c>
      <c r="D71" s="19">
        <v>101.64832</v>
      </c>
      <c r="E71" s="21">
        <v>0</v>
      </c>
      <c r="F71" s="19">
        <v>100</v>
      </c>
      <c r="G71" s="19">
        <v>1</v>
      </c>
      <c r="H71" s="16">
        <v>2</v>
      </c>
    </row>
    <row r="72" spans="1:8" x14ac:dyDescent="0.15">
      <c r="A72" s="19">
        <v>114.88099</v>
      </c>
      <c r="B72" s="19">
        <v>15.5</v>
      </c>
      <c r="C72" s="20">
        <v>2.8839360000000001E-2</v>
      </c>
      <c r="D72" s="19">
        <v>101.65496</v>
      </c>
      <c r="E72" s="21">
        <v>0</v>
      </c>
      <c r="F72" s="19">
        <v>100</v>
      </c>
      <c r="G72" s="19">
        <v>1</v>
      </c>
      <c r="H72" s="16">
        <v>2</v>
      </c>
    </row>
    <row r="73" spans="1:8" x14ac:dyDescent="0.15">
      <c r="A73" s="19">
        <v>114.19265</v>
      </c>
      <c r="B73" s="19">
        <v>16</v>
      </c>
      <c r="C73" s="20">
        <v>2.9952650000000001E-2</v>
      </c>
      <c r="D73" s="19">
        <v>101.54611</v>
      </c>
      <c r="E73" s="21">
        <v>0</v>
      </c>
      <c r="F73" s="19">
        <v>100</v>
      </c>
      <c r="G73" s="19">
        <v>1</v>
      </c>
      <c r="H73" s="16">
        <v>2</v>
      </c>
    </row>
    <row r="74" spans="1:8" x14ac:dyDescent="0.15">
      <c r="A74" s="19">
        <v>113.55598999999999</v>
      </c>
      <c r="B74" s="19">
        <v>16.5</v>
      </c>
      <c r="C74" s="20">
        <v>3.117526E-2</v>
      </c>
      <c r="D74" s="19">
        <v>101.59347</v>
      </c>
      <c r="E74" s="21">
        <v>0</v>
      </c>
      <c r="F74" s="19">
        <v>100</v>
      </c>
      <c r="G74" s="19">
        <v>1</v>
      </c>
      <c r="H74" s="16">
        <v>2</v>
      </c>
    </row>
    <row r="75" spans="1:8" x14ac:dyDescent="0.15">
      <c r="A75" s="19">
        <v>112.97727</v>
      </c>
      <c r="B75" s="19">
        <v>17</v>
      </c>
      <c r="C75" s="20">
        <v>3.3744669999999997E-2</v>
      </c>
      <c r="D75" s="19">
        <v>101.63121</v>
      </c>
      <c r="E75" s="21">
        <v>0</v>
      </c>
      <c r="F75" s="19">
        <v>100</v>
      </c>
      <c r="G75" s="19">
        <v>1</v>
      </c>
      <c r="H75" s="16">
        <v>2</v>
      </c>
    </row>
    <row r="76" spans="1:8" x14ac:dyDescent="0.15">
      <c r="A76" s="19">
        <v>112.45057</v>
      </c>
      <c r="B76" s="19">
        <v>17.5</v>
      </c>
      <c r="C76" s="20">
        <v>3.4671189999999998E-2</v>
      </c>
      <c r="D76" s="19">
        <v>101.54242000000001</v>
      </c>
      <c r="E76" s="21">
        <v>0</v>
      </c>
      <c r="F76" s="19">
        <v>100</v>
      </c>
      <c r="G76" s="19">
        <v>1</v>
      </c>
      <c r="H76" s="16">
        <v>2</v>
      </c>
    </row>
    <row r="77" spans="1:8" x14ac:dyDescent="0.15">
      <c r="A77" s="19">
        <v>111.97542</v>
      </c>
      <c r="B77" s="19">
        <v>18</v>
      </c>
      <c r="C77" s="20">
        <v>3.698427E-2</v>
      </c>
      <c r="D77" s="19">
        <v>101.61244000000001</v>
      </c>
      <c r="E77" s="21">
        <v>0</v>
      </c>
      <c r="F77" s="19">
        <v>100</v>
      </c>
      <c r="G77" s="19">
        <v>1</v>
      </c>
      <c r="H77" s="16">
        <v>2</v>
      </c>
    </row>
    <row r="78" spans="1:8" x14ac:dyDescent="0.15">
      <c r="A78" s="19">
        <v>111.55445</v>
      </c>
      <c r="B78" s="19">
        <v>18.5</v>
      </c>
      <c r="C78" s="20">
        <v>3.6726729999999999E-2</v>
      </c>
      <c r="D78" s="19">
        <v>101.53780999999999</v>
      </c>
      <c r="E78" s="21">
        <v>0</v>
      </c>
      <c r="F78" s="19">
        <v>100</v>
      </c>
      <c r="G78" s="19">
        <v>1</v>
      </c>
      <c r="H78" s="16">
        <v>2</v>
      </c>
    </row>
    <row r="79" spans="1:8" x14ac:dyDescent="0.15">
      <c r="A79" s="19">
        <v>111.18773</v>
      </c>
      <c r="B79" s="19">
        <v>19</v>
      </c>
      <c r="C79" s="20">
        <v>3.7032450000000001E-2</v>
      </c>
      <c r="D79" s="19">
        <v>101.58886</v>
      </c>
      <c r="E79" s="21">
        <v>0</v>
      </c>
      <c r="F79" s="19">
        <v>100</v>
      </c>
      <c r="G79" s="19">
        <v>1</v>
      </c>
      <c r="H79" s="16">
        <v>2</v>
      </c>
    </row>
    <row r="80" spans="1:8" x14ac:dyDescent="0.15">
      <c r="A80" s="19">
        <v>110.86978000000001</v>
      </c>
      <c r="B80" s="19">
        <v>19.5</v>
      </c>
      <c r="C80" s="20">
        <v>3.8274540000000003E-2</v>
      </c>
      <c r="D80" s="19">
        <v>101.61905</v>
      </c>
      <c r="E80" s="21">
        <v>0</v>
      </c>
      <c r="F80" s="19">
        <v>100</v>
      </c>
      <c r="G80" s="19">
        <v>1</v>
      </c>
      <c r="H80" s="16">
        <v>2</v>
      </c>
    </row>
    <row r="81" spans="1:8" x14ac:dyDescent="0.15">
      <c r="A81" s="19">
        <v>110.59678</v>
      </c>
      <c r="B81" s="19">
        <v>20</v>
      </c>
      <c r="C81" s="20">
        <v>3.9134780000000001E-2</v>
      </c>
      <c r="D81" s="19">
        <v>101.55216</v>
      </c>
      <c r="E81" s="21">
        <v>0</v>
      </c>
      <c r="F81" s="19">
        <v>100</v>
      </c>
      <c r="G81" s="19">
        <v>1</v>
      </c>
      <c r="H81" s="16">
        <v>2</v>
      </c>
    </row>
    <row r="82" spans="1:8" x14ac:dyDescent="0.15">
      <c r="A82" s="19">
        <v>110.36275000000001</v>
      </c>
      <c r="B82" s="19">
        <v>20.5</v>
      </c>
      <c r="C82" s="20">
        <v>3.9505079999999998E-2</v>
      </c>
      <c r="D82" s="19">
        <v>101.51034</v>
      </c>
      <c r="E82" s="21">
        <v>0</v>
      </c>
      <c r="F82" s="19">
        <v>100</v>
      </c>
      <c r="G82" s="19">
        <v>1</v>
      </c>
      <c r="H82" s="16">
        <v>2</v>
      </c>
    </row>
    <row r="83" spans="1:8" x14ac:dyDescent="0.15">
      <c r="A83" s="19">
        <v>110.16347</v>
      </c>
      <c r="B83" s="19">
        <v>21</v>
      </c>
      <c r="C83" s="20">
        <v>3.8792239999999999E-2</v>
      </c>
      <c r="D83" s="19">
        <v>101.50089</v>
      </c>
      <c r="E83" s="21">
        <v>0</v>
      </c>
      <c r="F83" s="19">
        <v>100</v>
      </c>
      <c r="G83" s="19">
        <v>1</v>
      </c>
      <c r="H83" s="16">
        <v>2</v>
      </c>
    </row>
    <row r="84" spans="1:8" x14ac:dyDescent="0.15">
      <c r="A84" s="19">
        <v>110.00341</v>
      </c>
      <c r="B84" s="19">
        <v>21.5</v>
      </c>
      <c r="C84" s="20">
        <v>4.0204770000000001E-2</v>
      </c>
      <c r="D84" s="19">
        <v>101.58544000000001</v>
      </c>
      <c r="E84" s="21">
        <v>0</v>
      </c>
      <c r="F84" s="19">
        <v>100</v>
      </c>
      <c r="G84" s="19">
        <v>1</v>
      </c>
      <c r="H84" s="16">
        <v>2</v>
      </c>
    </row>
    <row r="85" spans="1:8" x14ac:dyDescent="0.15">
      <c r="A85" s="19">
        <v>109.87264999999999</v>
      </c>
      <c r="B85" s="19">
        <v>22</v>
      </c>
      <c r="C85" s="20">
        <v>3.948538E-2</v>
      </c>
      <c r="D85" s="19">
        <v>101.60471</v>
      </c>
      <c r="E85" s="21">
        <v>0</v>
      </c>
      <c r="F85" s="19">
        <v>100</v>
      </c>
      <c r="G85" s="19">
        <v>1</v>
      </c>
      <c r="H85" s="16">
        <v>2</v>
      </c>
    </row>
    <row r="86" spans="1:8" x14ac:dyDescent="0.15">
      <c r="A86" s="19">
        <v>109.76607</v>
      </c>
      <c r="B86" s="19">
        <v>22.5</v>
      </c>
      <c r="C86" s="20">
        <v>4.0008969999999998E-2</v>
      </c>
      <c r="D86" s="19">
        <v>101.46838</v>
      </c>
      <c r="E86" s="21">
        <v>0</v>
      </c>
      <c r="F86" s="19">
        <v>100</v>
      </c>
      <c r="G86" s="19">
        <v>1</v>
      </c>
      <c r="H86" s="16">
        <v>2</v>
      </c>
    </row>
    <row r="87" spans="1:8" x14ac:dyDescent="0.15">
      <c r="A87" s="19">
        <v>109.69233</v>
      </c>
      <c r="B87" s="19">
        <v>23</v>
      </c>
      <c r="C87" s="20">
        <v>3.9592000000000002E-2</v>
      </c>
      <c r="D87" s="19">
        <v>101.58428000000001</v>
      </c>
      <c r="E87" s="21">
        <v>0</v>
      </c>
      <c r="F87" s="19">
        <v>100</v>
      </c>
      <c r="G87" s="19">
        <v>1</v>
      </c>
      <c r="H87" s="16">
        <v>2</v>
      </c>
    </row>
    <row r="88" spans="1:8" x14ac:dyDescent="0.15">
      <c r="A88" s="19">
        <v>109.63459</v>
      </c>
      <c r="B88" s="19">
        <v>23.5</v>
      </c>
      <c r="C88" s="20">
        <v>4.0689879999999998E-2</v>
      </c>
      <c r="D88" s="19">
        <v>101.5448</v>
      </c>
      <c r="E88" s="21">
        <v>0</v>
      </c>
      <c r="F88" s="19">
        <v>100</v>
      </c>
      <c r="G88" s="19">
        <v>1</v>
      </c>
      <c r="H88" s="16">
        <v>2</v>
      </c>
    </row>
    <row r="89" spans="1:8" x14ac:dyDescent="0.15">
      <c r="A89" s="19">
        <v>109.59544</v>
      </c>
      <c r="B89" s="19">
        <v>24</v>
      </c>
      <c r="C89" s="20">
        <v>4.0099259999999998E-2</v>
      </c>
      <c r="D89" s="19">
        <v>101.53138</v>
      </c>
      <c r="E89" s="21">
        <v>0</v>
      </c>
      <c r="F89" s="19">
        <v>100</v>
      </c>
      <c r="G89" s="19">
        <v>1</v>
      </c>
      <c r="H89" s="16">
        <v>2</v>
      </c>
    </row>
    <row r="90" spans="1:8" x14ac:dyDescent="0.15">
      <c r="A90" s="19">
        <v>109.57111999999999</v>
      </c>
      <c r="B90" s="19">
        <v>24.5</v>
      </c>
      <c r="C90" s="20">
        <v>4.0407159999999998E-2</v>
      </c>
      <c r="D90" s="19">
        <v>101.51367999999999</v>
      </c>
      <c r="E90" s="21">
        <v>0</v>
      </c>
      <c r="F90" s="19">
        <v>100</v>
      </c>
      <c r="G90" s="19">
        <v>1</v>
      </c>
      <c r="H90" s="16">
        <v>2</v>
      </c>
    </row>
    <row r="91" spans="1:8" x14ac:dyDescent="0.15">
      <c r="A91" s="19">
        <v>109.55774</v>
      </c>
      <c r="B91" s="19">
        <v>25</v>
      </c>
      <c r="C91" s="20">
        <v>3.8922690000000003E-2</v>
      </c>
      <c r="D91" s="19">
        <v>101.49975999999999</v>
      </c>
      <c r="E91" s="21">
        <v>0</v>
      </c>
      <c r="F91" s="19">
        <v>100</v>
      </c>
      <c r="G91" s="19">
        <v>1</v>
      </c>
      <c r="H91" s="16">
        <v>2</v>
      </c>
    </row>
    <row r="92" spans="1:8" x14ac:dyDescent="0.15">
      <c r="A92" s="19">
        <v>109.55150999999999</v>
      </c>
      <c r="B92" s="19">
        <v>25.5</v>
      </c>
      <c r="C92" s="20">
        <v>3.966592E-2</v>
      </c>
      <c r="D92" s="19">
        <v>101.52627</v>
      </c>
      <c r="E92" s="21">
        <v>0</v>
      </c>
      <c r="F92" s="19">
        <v>100</v>
      </c>
      <c r="G92" s="19">
        <v>1</v>
      </c>
      <c r="H92" s="16">
        <v>2</v>
      </c>
    </row>
    <row r="93" spans="1:8" x14ac:dyDescent="0.15">
      <c r="A93" s="19">
        <v>109.56026</v>
      </c>
      <c r="B93" s="19">
        <v>26</v>
      </c>
      <c r="C93" s="20">
        <v>3.9459340000000002E-2</v>
      </c>
      <c r="D93" s="19">
        <v>101.47795000000001</v>
      </c>
      <c r="E93" s="21">
        <v>0</v>
      </c>
      <c r="F93" s="19">
        <v>100</v>
      </c>
      <c r="G93" s="19">
        <v>1</v>
      </c>
      <c r="H93" s="16">
        <v>2</v>
      </c>
    </row>
    <row r="94" spans="1:8" x14ac:dyDescent="0.15">
      <c r="A94" s="19">
        <v>109.57508</v>
      </c>
      <c r="B94" s="19">
        <v>26.5</v>
      </c>
      <c r="C94" s="20">
        <v>3.9039259999999999E-2</v>
      </c>
      <c r="D94" s="19">
        <v>101.52045</v>
      </c>
      <c r="E94" s="21">
        <v>0</v>
      </c>
      <c r="F94" s="19">
        <v>100</v>
      </c>
      <c r="G94" s="19">
        <v>1</v>
      </c>
      <c r="H94" s="16">
        <v>2</v>
      </c>
    </row>
    <row r="95" spans="1:8" x14ac:dyDescent="0.15">
      <c r="A95" s="19">
        <v>109.58866</v>
      </c>
      <c r="B95" s="19">
        <v>27</v>
      </c>
      <c r="C95" s="20">
        <v>3.8819109999999997E-2</v>
      </c>
      <c r="D95" s="19">
        <v>101.45363</v>
      </c>
      <c r="E95" s="21">
        <v>0</v>
      </c>
      <c r="F95" s="19">
        <v>100</v>
      </c>
      <c r="G95" s="19">
        <v>1</v>
      </c>
      <c r="H95" s="16">
        <v>2</v>
      </c>
    </row>
    <row r="96" spans="1:8" x14ac:dyDescent="0.15">
      <c r="A96" s="19">
        <v>109.61214</v>
      </c>
      <c r="B96" s="19">
        <v>27.5</v>
      </c>
      <c r="C96" s="20">
        <v>3.9725200000000002E-2</v>
      </c>
      <c r="D96" s="19">
        <v>101.61563</v>
      </c>
      <c r="E96" s="21">
        <v>0</v>
      </c>
      <c r="F96" s="19">
        <v>100</v>
      </c>
      <c r="G96" s="19">
        <v>1</v>
      </c>
      <c r="H96" s="16">
        <v>2</v>
      </c>
    </row>
    <row r="97" spans="1:8" x14ac:dyDescent="0.15">
      <c r="A97" s="19">
        <v>109.6426</v>
      </c>
      <c r="B97" s="19">
        <v>28</v>
      </c>
      <c r="C97" s="20">
        <v>3.917872E-2</v>
      </c>
      <c r="D97" s="19">
        <v>101.54071999999999</v>
      </c>
      <c r="E97" s="21">
        <v>0</v>
      </c>
      <c r="F97" s="19">
        <v>100</v>
      </c>
      <c r="G97" s="19">
        <v>1</v>
      </c>
      <c r="H97" s="16">
        <v>2</v>
      </c>
    </row>
    <row r="98" spans="1:8" x14ac:dyDescent="0.15">
      <c r="A98" s="19">
        <v>109.67227</v>
      </c>
      <c r="B98" s="19">
        <v>28.5</v>
      </c>
      <c r="C98" s="20">
        <v>3.8135759999999998E-2</v>
      </c>
      <c r="D98" s="19">
        <v>101.52963</v>
      </c>
      <c r="E98" s="21">
        <v>0</v>
      </c>
      <c r="F98" s="19">
        <v>100</v>
      </c>
      <c r="G98" s="19">
        <v>1</v>
      </c>
      <c r="H98" s="16">
        <v>2</v>
      </c>
    </row>
    <row r="99" spans="1:8" x14ac:dyDescent="0.15">
      <c r="A99" s="19">
        <v>109.7016</v>
      </c>
      <c r="B99" s="19">
        <v>29</v>
      </c>
      <c r="C99" s="20">
        <v>3.7380740000000003E-2</v>
      </c>
      <c r="D99" s="19">
        <v>101.48857</v>
      </c>
      <c r="E99" s="21">
        <v>0</v>
      </c>
      <c r="F99" s="19">
        <v>100</v>
      </c>
      <c r="G99" s="19">
        <v>1</v>
      </c>
      <c r="H99" s="16">
        <v>2</v>
      </c>
    </row>
    <row r="100" spans="1:8" x14ac:dyDescent="0.15">
      <c r="A100" s="19">
        <v>109.73076</v>
      </c>
      <c r="B100" s="19">
        <v>29.5</v>
      </c>
      <c r="C100" s="20">
        <v>3.8130339999999999E-2</v>
      </c>
      <c r="D100" s="19">
        <v>101.49469000000001</v>
      </c>
      <c r="E100" s="21">
        <v>0</v>
      </c>
      <c r="F100" s="19">
        <v>100</v>
      </c>
      <c r="G100" s="19">
        <v>1</v>
      </c>
      <c r="H100" s="16">
        <v>2</v>
      </c>
    </row>
    <row r="101" spans="1:8" x14ac:dyDescent="0.15">
      <c r="A101" s="19">
        <v>109.76088</v>
      </c>
      <c r="B101" s="19">
        <v>30</v>
      </c>
      <c r="C101" s="20">
        <v>3.9011530000000003E-2</v>
      </c>
      <c r="D101" s="19">
        <v>101.50906000000001</v>
      </c>
      <c r="E101" s="21">
        <v>0</v>
      </c>
      <c r="F101" s="19">
        <v>100</v>
      </c>
      <c r="G101" s="19">
        <v>1</v>
      </c>
      <c r="H101" s="16">
        <v>2</v>
      </c>
    </row>
    <row r="102" spans="1:8" x14ac:dyDescent="0.15">
      <c r="A102" s="19">
        <v>109.78643</v>
      </c>
      <c r="B102" s="19">
        <v>30.5</v>
      </c>
      <c r="C102" s="20">
        <v>3.7953580000000001E-2</v>
      </c>
      <c r="D102" s="19">
        <v>101.45428</v>
      </c>
      <c r="E102" s="21">
        <v>0</v>
      </c>
      <c r="F102" s="19">
        <v>100</v>
      </c>
      <c r="G102" s="19">
        <v>1</v>
      </c>
      <c r="H102" s="16">
        <v>2</v>
      </c>
    </row>
    <row r="103" spans="1:8" x14ac:dyDescent="0.15">
      <c r="A103" s="19">
        <v>109.81345</v>
      </c>
      <c r="B103" s="19">
        <v>31</v>
      </c>
      <c r="C103" s="20">
        <v>3.9605420000000002E-2</v>
      </c>
      <c r="D103" s="19">
        <v>101.51643</v>
      </c>
      <c r="E103" s="21">
        <v>0</v>
      </c>
      <c r="F103" s="19">
        <v>100</v>
      </c>
      <c r="G103" s="19">
        <v>1</v>
      </c>
      <c r="H103" s="16">
        <v>2</v>
      </c>
    </row>
    <row r="104" spans="1:8" x14ac:dyDescent="0.15">
      <c r="A104" s="19">
        <v>109.84292000000001</v>
      </c>
      <c r="B104" s="19">
        <v>31.5</v>
      </c>
      <c r="C104" s="20">
        <v>3.7871479999999999E-2</v>
      </c>
      <c r="D104" s="19">
        <v>101.45659999999999</v>
      </c>
      <c r="E104" s="21">
        <v>0</v>
      </c>
      <c r="F104" s="19">
        <v>100</v>
      </c>
      <c r="G104" s="19">
        <v>1</v>
      </c>
      <c r="H104" s="16">
        <v>2</v>
      </c>
    </row>
    <row r="105" spans="1:8" x14ac:dyDescent="0.15">
      <c r="A105" s="19">
        <v>109.89797</v>
      </c>
      <c r="B105" s="19">
        <v>32</v>
      </c>
      <c r="C105" s="20">
        <v>4.6370399999999999E-2</v>
      </c>
      <c r="D105" s="19">
        <v>101.48009</v>
      </c>
      <c r="E105" s="21">
        <v>0</v>
      </c>
      <c r="F105" s="19">
        <v>100</v>
      </c>
      <c r="G105" s="19">
        <v>1</v>
      </c>
      <c r="H105" s="16">
        <v>3</v>
      </c>
    </row>
    <row r="106" spans="1:8" x14ac:dyDescent="0.15">
      <c r="A106" s="19">
        <v>110.15326</v>
      </c>
      <c r="B106" s="19">
        <v>32.5</v>
      </c>
      <c r="C106" s="20">
        <v>8.2722019999999993E-2</v>
      </c>
      <c r="D106" s="19">
        <v>101.46061</v>
      </c>
      <c r="E106" s="21">
        <v>0</v>
      </c>
      <c r="F106" s="19">
        <v>100</v>
      </c>
      <c r="G106" s="19">
        <v>1</v>
      </c>
      <c r="H106" s="16">
        <v>3</v>
      </c>
    </row>
    <row r="107" spans="1:8" x14ac:dyDescent="0.15">
      <c r="A107" s="19">
        <v>110.78972</v>
      </c>
      <c r="B107" s="19">
        <v>33</v>
      </c>
      <c r="C107" s="19">
        <v>0.12740000000000001</v>
      </c>
      <c r="D107" s="19">
        <v>101.50662</v>
      </c>
      <c r="E107" s="21">
        <v>0</v>
      </c>
      <c r="F107" s="19">
        <v>100</v>
      </c>
      <c r="G107" s="19">
        <v>1</v>
      </c>
      <c r="H107" s="16">
        <v>3</v>
      </c>
    </row>
    <row r="108" spans="1:8" x14ac:dyDescent="0.15">
      <c r="A108" s="19">
        <v>111.88923</v>
      </c>
      <c r="B108" s="19">
        <v>33.5</v>
      </c>
      <c r="C108" s="19">
        <v>0.17143</v>
      </c>
      <c r="D108" s="19">
        <v>101.45668999999999</v>
      </c>
      <c r="E108" s="21">
        <v>0</v>
      </c>
      <c r="F108" s="19">
        <v>100</v>
      </c>
      <c r="G108" s="19">
        <v>1</v>
      </c>
      <c r="H108" s="16">
        <v>3</v>
      </c>
    </row>
    <row r="109" spans="1:8" x14ac:dyDescent="0.15">
      <c r="A109" s="19">
        <v>113.4466</v>
      </c>
      <c r="B109" s="19">
        <v>34</v>
      </c>
      <c r="C109" s="19">
        <v>0.21032000000000001</v>
      </c>
      <c r="D109" s="19">
        <v>101.52682</v>
      </c>
      <c r="E109" s="21">
        <v>0</v>
      </c>
      <c r="F109" s="19">
        <v>100</v>
      </c>
      <c r="G109" s="19">
        <v>1</v>
      </c>
      <c r="H109" s="16">
        <v>3</v>
      </c>
    </row>
    <row r="110" spans="1:8" x14ac:dyDescent="0.15">
      <c r="A110" s="19">
        <v>115.39122999999999</v>
      </c>
      <c r="B110" s="19">
        <v>34.5</v>
      </c>
      <c r="C110" s="19">
        <v>0.2374</v>
      </c>
      <c r="D110" s="19">
        <v>101.52949</v>
      </c>
      <c r="E110" s="21">
        <v>0</v>
      </c>
      <c r="F110" s="19">
        <v>100</v>
      </c>
      <c r="G110" s="19">
        <v>1</v>
      </c>
      <c r="H110" s="16">
        <v>3</v>
      </c>
    </row>
    <row r="111" spans="1:8" x14ac:dyDescent="0.15">
      <c r="A111" s="19">
        <v>117.6378</v>
      </c>
      <c r="B111" s="19">
        <v>35</v>
      </c>
      <c r="C111" s="19">
        <v>0.25891999999999998</v>
      </c>
      <c r="D111" s="19">
        <v>101.53525999999999</v>
      </c>
      <c r="E111" s="21">
        <v>0</v>
      </c>
      <c r="F111" s="19">
        <v>100</v>
      </c>
      <c r="G111" s="19">
        <v>1</v>
      </c>
      <c r="H111" s="16">
        <v>3</v>
      </c>
    </row>
    <row r="112" spans="1:8" x14ac:dyDescent="0.15">
      <c r="A112" s="19">
        <v>120.10439</v>
      </c>
      <c r="B112" s="19">
        <v>35.5</v>
      </c>
      <c r="C112" s="19">
        <v>0.27483000000000002</v>
      </c>
      <c r="D112" s="19">
        <v>101.50821000000001</v>
      </c>
      <c r="E112" s="21">
        <v>0</v>
      </c>
      <c r="F112" s="19">
        <v>100</v>
      </c>
      <c r="G112" s="19">
        <v>1</v>
      </c>
      <c r="H112" s="16">
        <v>3</v>
      </c>
    </row>
    <row r="113" spans="1:8" x14ac:dyDescent="0.15">
      <c r="A113" s="19">
        <v>122.71549</v>
      </c>
      <c r="B113" s="19">
        <v>36</v>
      </c>
      <c r="C113" s="19">
        <v>0.28827999999999998</v>
      </c>
      <c r="D113" s="19">
        <v>101.33969</v>
      </c>
      <c r="E113" s="21">
        <v>0</v>
      </c>
      <c r="F113" s="19">
        <v>100</v>
      </c>
      <c r="G113" s="19">
        <v>1</v>
      </c>
      <c r="H113" s="16">
        <v>3</v>
      </c>
    </row>
    <row r="114" spans="1:8" x14ac:dyDescent="0.15">
      <c r="A114" s="19">
        <v>125.44497</v>
      </c>
      <c r="B114" s="19">
        <v>36.5</v>
      </c>
      <c r="C114" s="19">
        <v>0.30404999999999999</v>
      </c>
      <c r="D114" s="19">
        <v>101.46341</v>
      </c>
      <c r="E114" s="21">
        <v>0</v>
      </c>
      <c r="F114" s="19">
        <v>100</v>
      </c>
      <c r="G114" s="19">
        <v>1</v>
      </c>
      <c r="H114" s="16">
        <v>3</v>
      </c>
    </row>
    <row r="115" spans="1:8" x14ac:dyDescent="0.15">
      <c r="A115" s="19">
        <v>128.26858999999999</v>
      </c>
      <c r="B115" s="19">
        <v>37</v>
      </c>
      <c r="C115" s="19">
        <v>0.32250000000000001</v>
      </c>
      <c r="D115" s="19">
        <v>101.44878</v>
      </c>
      <c r="E115" s="21">
        <v>0</v>
      </c>
      <c r="F115" s="19">
        <v>100</v>
      </c>
      <c r="G115" s="19">
        <v>1</v>
      </c>
      <c r="H115" s="16">
        <v>3</v>
      </c>
    </row>
    <row r="116" spans="1:8" x14ac:dyDescent="0.15">
      <c r="A116" s="19">
        <v>131.1661</v>
      </c>
      <c r="B116" s="19">
        <v>37.5</v>
      </c>
      <c r="C116" s="19">
        <v>0.34523999999999999</v>
      </c>
      <c r="D116" s="19">
        <v>101.441</v>
      </c>
      <c r="E116" s="21">
        <v>0</v>
      </c>
      <c r="F116" s="19">
        <v>100</v>
      </c>
      <c r="G116" s="19">
        <v>1</v>
      </c>
      <c r="H116" s="16">
        <v>3</v>
      </c>
    </row>
    <row r="117" spans="1:8" x14ac:dyDescent="0.15">
      <c r="A117" s="19">
        <v>134.13655</v>
      </c>
      <c r="B117" s="19">
        <v>38</v>
      </c>
      <c r="C117" s="19">
        <v>0.36809999999999998</v>
      </c>
      <c r="D117" s="19">
        <v>101.45815</v>
      </c>
      <c r="E117" s="21">
        <v>0</v>
      </c>
      <c r="F117" s="19">
        <v>100</v>
      </c>
      <c r="G117" s="19">
        <v>1</v>
      </c>
      <c r="H117" s="16">
        <v>3</v>
      </c>
    </row>
    <row r="118" spans="1:8" x14ac:dyDescent="0.15">
      <c r="A118" s="19">
        <v>137.16235</v>
      </c>
      <c r="B118" s="19">
        <v>38.5</v>
      </c>
      <c r="C118" s="19">
        <v>0.39071</v>
      </c>
      <c r="D118" s="19">
        <v>101.47013</v>
      </c>
      <c r="E118" s="21">
        <v>0</v>
      </c>
      <c r="F118" s="19">
        <v>100</v>
      </c>
      <c r="G118" s="19">
        <v>1</v>
      </c>
      <c r="H118" s="16">
        <v>3</v>
      </c>
    </row>
    <row r="119" spans="1:8" x14ac:dyDescent="0.15">
      <c r="A119" s="19">
        <v>140.23607999999999</v>
      </c>
      <c r="B119" s="19">
        <v>39</v>
      </c>
      <c r="C119" s="19">
        <v>0.41004000000000002</v>
      </c>
      <c r="D119" s="19">
        <v>101.48802999999999</v>
      </c>
      <c r="E119" s="21">
        <v>0</v>
      </c>
      <c r="F119" s="19">
        <v>100</v>
      </c>
      <c r="G119" s="19">
        <v>1</v>
      </c>
      <c r="H119" s="16">
        <v>3</v>
      </c>
    </row>
    <row r="120" spans="1:8" x14ac:dyDescent="0.15">
      <c r="A120" s="19">
        <v>143.33106000000001</v>
      </c>
      <c r="B120" s="19">
        <v>39.5</v>
      </c>
      <c r="C120" s="19">
        <v>0.42780000000000001</v>
      </c>
      <c r="D120" s="19">
        <v>101.37716</v>
      </c>
      <c r="E120" s="21">
        <v>0</v>
      </c>
      <c r="F120" s="19">
        <v>100</v>
      </c>
      <c r="G120" s="19">
        <v>1</v>
      </c>
      <c r="H120" s="16">
        <v>3</v>
      </c>
    </row>
    <row r="121" spans="1:8" x14ac:dyDescent="0.15">
      <c r="A121" s="19">
        <v>146.42464000000001</v>
      </c>
      <c r="B121" s="19">
        <v>40</v>
      </c>
      <c r="C121" s="19">
        <v>0.44401000000000002</v>
      </c>
      <c r="D121" s="19">
        <v>101.45242</v>
      </c>
      <c r="E121" s="21">
        <v>0</v>
      </c>
      <c r="F121" s="19">
        <v>100</v>
      </c>
      <c r="G121" s="19">
        <v>1</v>
      </c>
      <c r="H121" s="16">
        <v>3</v>
      </c>
    </row>
    <row r="122" spans="1:8" x14ac:dyDescent="0.15">
      <c r="A122" s="19">
        <v>149.49968000000001</v>
      </c>
      <c r="B122" s="19">
        <v>40.5</v>
      </c>
      <c r="C122" s="19">
        <v>0.45667999999999997</v>
      </c>
      <c r="D122" s="19">
        <v>101.46173</v>
      </c>
      <c r="E122" s="21">
        <v>0</v>
      </c>
      <c r="F122" s="19">
        <v>100</v>
      </c>
      <c r="G122" s="19">
        <v>1</v>
      </c>
      <c r="H122" s="16">
        <v>3</v>
      </c>
    </row>
    <row r="123" spans="1:8" x14ac:dyDescent="0.15">
      <c r="A123" s="19">
        <v>152.54312999999999</v>
      </c>
      <c r="B123" s="19">
        <v>41</v>
      </c>
      <c r="C123" s="19">
        <v>0.47047</v>
      </c>
      <c r="D123" s="19">
        <v>101.41692999999999</v>
      </c>
      <c r="E123" s="21">
        <v>0</v>
      </c>
      <c r="F123" s="19">
        <v>100</v>
      </c>
      <c r="G123" s="19">
        <v>1</v>
      </c>
      <c r="H123" s="16">
        <v>3</v>
      </c>
    </row>
    <row r="124" spans="1:8" x14ac:dyDescent="0.15">
      <c r="A124" s="19">
        <v>155.54235</v>
      </c>
      <c r="B124" s="19">
        <v>41.5</v>
      </c>
      <c r="C124" s="19">
        <v>0.48282999999999998</v>
      </c>
      <c r="D124" s="19">
        <v>101.34916</v>
      </c>
      <c r="E124" s="21">
        <v>0</v>
      </c>
      <c r="F124" s="19">
        <v>100</v>
      </c>
      <c r="G124" s="19">
        <v>1</v>
      </c>
      <c r="H124" s="16">
        <v>3</v>
      </c>
    </row>
    <row r="125" spans="1:8" x14ac:dyDescent="0.15">
      <c r="A125" s="19">
        <v>158.50960000000001</v>
      </c>
      <c r="B125" s="19">
        <v>42</v>
      </c>
      <c r="C125" s="19">
        <v>0.49734</v>
      </c>
      <c r="D125" s="19">
        <v>101.32248</v>
      </c>
      <c r="E125" s="21">
        <v>0</v>
      </c>
      <c r="F125" s="19">
        <v>100</v>
      </c>
      <c r="G125" s="19">
        <v>1</v>
      </c>
      <c r="H125" s="16">
        <v>3</v>
      </c>
    </row>
    <row r="126" spans="1:8" x14ac:dyDescent="0.15">
      <c r="A126" s="19">
        <v>161.44176999999999</v>
      </c>
      <c r="B126" s="19">
        <v>42.5</v>
      </c>
      <c r="C126" s="19">
        <v>0.51171</v>
      </c>
      <c r="D126" s="19">
        <v>101.40179999999999</v>
      </c>
      <c r="E126" s="21">
        <v>0</v>
      </c>
      <c r="F126" s="19">
        <v>100</v>
      </c>
      <c r="G126" s="19">
        <v>1</v>
      </c>
      <c r="H126" s="16">
        <v>3</v>
      </c>
    </row>
    <row r="127" spans="1:8" x14ac:dyDescent="0.15">
      <c r="A127" s="19">
        <v>164.31986000000001</v>
      </c>
      <c r="B127" s="19">
        <v>43</v>
      </c>
      <c r="C127" s="19">
        <v>0.52446999999999999</v>
      </c>
      <c r="D127" s="19">
        <v>101.35651</v>
      </c>
      <c r="E127" s="21">
        <v>0</v>
      </c>
      <c r="F127" s="19">
        <v>100</v>
      </c>
      <c r="G127" s="19">
        <v>1</v>
      </c>
      <c r="H127" s="16">
        <v>3</v>
      </c>
    </row>
    <row r="128" spans="1:8" x14ac:dyDescent="0.15">
      <c r="A128" s="19">
        <v>167.15826000000001</v>
      </c>
      <c r="B128" s="19">
        <v>43.5</v>
      </c>
      <c r="C128" s="19">
        <v>0.53837999999999997</v>
      </c>
      <c r="D128" s="19">
        <v>101.24387</v>
      </c>
      <c r="E128" s="21">
        <v>0</v>
      </c>
      <c r="F128" s="19">
        <v>100</v>
      </c>
      <c r="G128" s="19">
        <v>1</v>
      </c>
      <c r="H128" s="16">
        <v>3</v>
      </c>
    </row>
    <row r="129" spans="1:8" x14ac:dyDescent="0.15">
      <c r="A129" s="19">
        <v>169.95615000000001</v>
      </c>
      <c r="B129" s="19">
        <v>44</v>
      </c>
      <c r="C129" s="19">
        <v>0.54998000000000002</v>
      </c>
      <c r="D129" s="19">
        <v>101.23793000000001</v>
      </c>
      <c r="E129" s="21">
        <v>0</v>
      </c>
      <c r="F129" s="19">
        <v>100</v>
      </c>
      <c r="G129" s="19">
        <v>1</v>
      </c>
      <c r="H129" s="16">
        <v>3</v>
      </c>
    </row>
    <row r="130" spans="1:8" x14ac:dyDescent="0.15">
      <c r="A130" s="19">
        <v>172.71692999999999</v>
      </c>
      <c r="B130" s="19">
        <v>44.5</v>
      </c>
      <c r="C130" s="19">
        <v>0.56401000000000001</v>
      </c>
      <c r="D130" s="19">
        <v>101.13858</v>
      </c>
      <c r="E130" s="21">
        <v>0</v>
      </c>
      <c r="F130" s="19">
        <v>100</v>
      </c>
      <c r="G130" s="19">
        <v>1</v>
      </c>
      <c r="H130" s="16">
        <v>3</v>
      </c>
    </row>
    <row r="131" spans="1:8" x14ac:dyDescent="0.15">
      <c r="A131" s="19">
        <v>175.43816000000001</v>
      </c>
      <c r="B131" s="19">
        <v>45</v>
      </c>
      <c r="C131" s="19">
        <v>0.57804999999999995</v>
      </c>
      <c r="D131" s="19">
        <v>101.22444</v>
      </c>
      <c r="E131" s="21">
        <v>0</v>
      </c>
      <c r="F131" s="19">
        <v>100</v>
      </c>
      <c r="G131" s="19">
        <v>1</v>
      </c>
      <c r="H131" s="16">
        <v>3</v>
      </c>
    </row>
    <row r="132" spans="1:8" x14ac:dyDescent="0.15">
      <c r="A132" s="19">
        <v>178.12348</v>
      </c>
      <c r="B132" s="19">
        <v>45.5</v>
      </c>
      <c r="C132" s="19">
        <v>0.59136</v>
      </c>
      <c r="D132" s="19">
        <v>101.21531</v>
      </c>
      <c r="E132" s="21">
        <v>0</v>
      </c>
      <c r="F132" s="19">
        <v>100</v>
      </c>
      <c r="G132" s="19">
        <v>1</v>
      </c>
      <c r="H132" s="16">
        <v>3</v>
      </c>
    </row>
    <row r="133" spans="1:8" x14ac:dyDescent="0.15">
      <c r="A133" s="19">
        <v>180.78513000000001</v>
      </c>
      <c r="B133" s="19">
        <v>46</v>
      </c>
      <c r="C133" s="19">
        <v>0.60533000000000003</v>
      </c>
      <c r="D133" s="19">
        <v>101.20341000000001</v>
      </c>
      <c r="E133" s="21">
        <v>0</v>
      </c>
      <c r="F133" s="19">
        <v>100</v>
      </c>
      <c r="G133" s="19">
        <v>1</v>
      </c>
      <c r="H133" s="16">
        <v>3</v>
      </c>
    </row>
    <row r="134" spans="1:8" x14ac:dyDescent="0.15">
      <c r="A134" s="19">
        <v>183.41525999999999</v>
      </c>
      <c r="B134" s="19">
        <v>46.5</v>
      </c>
      <c r="C134" s="19">
        <v>0.62178</v>
      </c>
      <c r="D134" s="19">
        <v>101.1677</v>
      </c>
      <c r="E134" s="21">
        <v>0</v>
      </c>
      <c r="F134" s="19">
        <v>100</v>
      </c>
      <c r="G134" s="19">
        <v>1</v>
      </c>
      <c r="H134" s="16">
        <v>3</v>
      </c>
    </row>
    <row r="135" spans="1:8" x14ac:dyDescent="0.15">
      <c r="A135" s="19">
        <v>186.02851000000001</v>
      </c>
      <c r="B135" s="19">
        <v>47</v>
      </c>
      <c r="C135" s="19">
        <v>0.63546000000000002</v>
      </c>
      <c r="D135" s="19">
        <v>101.18161000000001</v>
      </c>
      <c r="E135" s="21">
        <v>0</v>
      </c>
      <c r="F135" s="19">
        <v>100</v>
      </c>
      <c r="G135" s="19">
        <v>1</v>
      </c>
      <c r="H135" s="16">
        <v>3</v>
      </c>
    </row>
    <row r="136" spans="1:8" x14ac:dyDescent="0.15">
      <c r="A136" s="19">
        <v>188.62164999999999</v>
      </c>
      <c r="B136" s="19">
        <v>47.5</v>
      </c>
      <c r="C136" s="19">
        <v>0.64895999999999998</v>
      </c>
      <c r="D136" s="19">
        <v>101.13634</v>
      </c>
      <c r="E136" s="21">
        <v>0</v>
      </c>
      <c r="F136" s="19">
        <v>100</v>
      </c>
      <c r="G136" s="19">
        <v>1</v>
      </c>
      <c r="H136" s="16">
        <v>3</v>
      </c>
    </row>
    <row r="137" spans="1:8" x14ac:dyDescent="0.15">
      <c r="A137" s="19">
        <v>191.19576000000001</v>
      </c>
      <c r="B137" s="19">
        <v>48</v>
      </c>
      <c r="C137" s="19">
        <v>0.66513999999999995</v>
      </c>
      <c r="D137" s="19">
        <v>101.06804</v>
      </c>
      <c r="E137" s="21">
        <v>0</v>
      </c>
      <c r="F137" s="19">
        <v>100</v>
      </c>
      <c r="G137" s="19">
        <v>1</v>
      </c>
      <c r="H137" s="16">
        <v>3</v>
      </c>
    </row>
    <row r="138" spans="1:8" x14ac:dyDescent="0.15">
      <c r="A138" s="19">
        <v>193.74628999999999</v>
      </c>
      <c r="B138" s="19">
        <v>48.5</v>
      </c>
      <c r="C138" s="19">
        <v>0.68006</v>
      </c>
      <c r="D138" s="19">
        <v>101.02545000000001</v>
      </c>
      <c r="E138" s="21">
        <v>0</v>
      </c>
      <c r="F138" s="19">
        <v>100</v>
      </c>
      <c r="G138" s="19">
        <v>1</v>
      </c>
      <c r="H138" s="16">
        <v>3</v>
      </c>
    </row>
    <row r="139" spans="1:8" x14ac:dyDescent="0.15">
      <c r="A139" s="19">
        <v>196.29229000000001</v>
      </c>
      <c r="B139" s="19">
        <v>49</v>
      </c>
      <c r="C139" s="19">
        <v>0.69574999999999998</v>
      </c>
      <c r="D139" s="19">
        <v>101.0652</v>
      </c>
      <c r="E139" s="21">
        <v>0</v>
      </c>
      <c r="F139" s="19">
        <v>100</v>
      </c>
      <c r="G139" s="19">
        <v>1</v>
      </c>
      <c r="H139" s="16">
        <v>3</v>
      </c>
    </row>
    <row r="140" spans="1:8" x14ac:dyDescent="0.15">
      <c r="A140" s="19">
        <v>198.82696999999999</v>
      </c>
      <c r="B140" s="19">
        <v>49.5</v>
      </c>
      <c r="C140" s="19">
        <v>0.71304999999999996</v>
      </c>
      <c r="D140" s="19">
        <v>100.9224</v>
      </c>
      <c r="E140" s="21">
        <v>0</v>
      </c>
      <c r="F140" s="19">
        <v>100</v>
      </c>
      <c r="G140" s="19">
        <v>1</v>
      </c>
      <c r="H140" s="16">
        <v>3</v>
      </c>
    </row>
    <row r="141" spans="1:8" x14ac:dyDescent="0.15">
      <c r="A141" s="19">
        <v>201.34698</v>
      </c>
      <c r="B141" s="19">
        <v>50</v>
      </c>
      <c r="C141" s="19">
        <v>0.72582999999999998</v>
      </c>
      <c r="D141" s="19">
        <v>100.94635</v>
      </c>
      <c r="E141" s="21">
        <v>0</v>
      </c>
      <c r="F141" s="19">
        <v>100</v>
      </c>
      <c r="G141" s="19">
        <v>1</v>
      </c>
      <c r="H141" s="16">
        <v>3</v>
      </c>
    </row>
    <row r="142" spans="1:8" x14ac:dyDescent="0.15">
      <c r="A142" s="19">
        <v>203.85993999999999</v>
      </c>
      <c r="B142" s="19">
        <v>50.5</v>
      </c>
      <c r="C142" s="19">
        <v>0.74192999999999998</v>
      </c>
      <c r="D142" s="19">
        <v>100.9028</v>
      </c>
      <c r="E142" s="21">
        <v>0</v>
      </c>
      <c r="F142" s="19">
        <v>100</v>
      </c>
      <c r="G142" s="19">
        <v>1</v>
      </c>
      <c r="H142" s="16">
        <v>3</v>
      </c>
    </row>
    <row r="143" spans="1:8" x14ac:dyDescent="0.15">
      <c r="A143" s="19">
        <v>206.35942</v>
      </c>
      <c r="B143" s="19">
        <v>51</v>
      </c>
      <c r="C143" s="19">
        <v>0.76</v>
      </c>
      <c r="D143" s="19">
        <v>100.92679</v>
      </c>
      <c r="E143" s="21">
        <v>0</v>
      </c>
      <c r="F143" s="19">
        <v>100</v>
      </c>
      <c r="G143" s="19">
        <v>1</v>
      </c>
      <c r="H143" s="16">
        <v>3</v>
      </c>
    </row>
    <row r="144" spans="1:8" x14ac:dyDescent="0.15">
      <c r="A144" s="19">
        <v>208.85312999999999</v>
      </c>
      <c r="B144" s="19">
        <v>51.5</v>
      </c>
      <c r="C144" s="19">
        <v>0.77646000000000004</v>
      </c>
      <c r="D144" s="19">
        <v>100.88992</v>
      </c>
      <c r="E144" s="21">
        <v>0</v>
      </c>
      <c r="F144" s="19">
        <v>100</v>
      </c>
      <c r="G144" s="19">
        <v>1</v>
      </c>
      <c r="H144" s="16">
        <v>3</v>
      </c>
    </row>
    <row r="145" spans="1:8" x14ac:dyDescent="0.15">
      <c r="A145" s="19">
        <v>211.35056</v>
      </c>
      <c r="B145" s="19">
        <v>52</v>
      </c>
      <c r="C145" s="19">
        <v>0.79222999999999999</v>
      </c>
      <c r="D145" s="19">
        <v>100.81218</v>
      </c>
      <c r="E145" s="21">
        <v>0</v>
      </c>
      <c r="F145" s="19">
        <v>100</v>
      </c>
      <c r="G145" s="19">
        <v>1</v>
      </c>
      <c r="H145" s="16">
        <v>3</v>
      </c>
    </row>
    <row r="146" spans="1:8" x14ac:dyDescent="0.15">
      <c r="A146" s="19">
        <v>213.84877</v>
      </c>
      <c r="B146" s="19">
        <v>52.5</v>
      </c>
      <c r="C146" s="19">
        <v>0.80825000000000002</v>
      </c>
      <c r="D146" s="19">
        <v>100.78183</v>
      </c>
      <c r="E146" s="21">
        <v>0</v>
      </c>
      <c r="F146" s="19">
        <v>100</v>
      </c>
      <c r="G146" s="19">
        <v>1</v>
      </c>
      <c r="H146" s="16">
        <v>3</v>
      </c>
    </row>
    <row r="147" spans="1:8" x14ac:dyDescent="0.15">
      <c r="A147" s="19">
        <v>216.33658</v>
      </c>
      <c r="B147" s="19">
        <v>53</v>
      </c>
      <c r="C147" s="19">
        <v>0.82735999999999998</v>
      </c>
      <c r="D147" s="19">
        <v>100.74491</v>
      </c>
      <c r="E147" s="21">
        <v>0</v>
      </c>
      <c r="F147" s="19">
        <v>100</v>
      </c>
      <c r="G147" s="19">
        <v>1</v>
      </c>
      <c r="H147" s="16">
        <v>3</v>
      </c>
    </row>
    <row r="148" spans="1:8" x14ac:dyDescent="0.15">
      <c r="A148" s="19">
        <v>218.82561000000001</v>
      </c>
      <c r="B148" s="19">
        <v>53.5</v>
      </c>
      <c r="C148" s="19">
        <v>0.84362999999999999</v>
      </c>
      <c r="D148" s="19">
        <v>100.75270999999999</v>
      </c>
      <c r="E148" s="21">
        <v>0</v>
      </c>
      <c r="F148" s="19">
        <v>100</v>
      </c>
      <c r="G148" s="19">
        <v>1</v>
      </c>
      <c r="H148" s="16">
        <v>3</v>
      </c>
    </row>
    <row r="149" spans="1:8" x14ac:dyDescent="0.15">
      <c r="A149" s="19">
        <v>221.30937</v>
      </c>
      <c r="B149" s="19">
        <v>54</v>
      </c>
      <c r="C149" s="19">
        <v>0.85841999999999996</v>
      </c>
      <c r="D149" s="19">
        <v>100.69662</v>
      </c>
      <c r="E149" s="21">
        <v>0</v>
      </c>
      <c r="F149" s="19">
        <v>100</v>
      </c>
      <c r="G149" s="19">
        <v>1</v>
      </c>
      <c r="H149" s="16">
        <v>3</v>
      </c>
    </row>
    <row r="150" spans="1:8" x14ac:dyDescent="0.15">
      <c r="A150" s="19">
        <v>223.79271</v>
      </c>
      <c r="B150" s="19">
        <v>54.5</v>
      </c>
      <c r="C150" s="19">
        <v>0.87626999999999999</v>
      </c>
      <c r="D150" s="19">
        <v>100.60877000000001</v>
      </c>
      <c r="E150" s="21">
        <v>0</v>
      </c>
      <c r="F150" s="19">
        <v>100</v>
      </c>
      <c r="G150" s="19">
        <v>1</v>
      </c>
      <c r="H150" s="16">
        <v>3</v>
      </c>
    </row>
    <row r="151" spans="1:8" x14ac:dyDescent="0.15">
      <c r="A151" s="19">
        <v>226.27652</v>
      </c>
      <c r="B151" s="19">
        <v>55</v>
      </c>
      <c r="C151" s="19">
        <v>0.89346000000000003</v>
      </c>
      <c r="D151" s="19">
        <v>100.63367</v>
      </c>
      <c r="E151" s="21">
        <v>0</v>
      </c>
      <c r="F151" s="19">
        <v>100</v>
      </c>
      <c r="G151" s="19">
        <v>1</v>
      </c>
      <c r="H151" s="16">
        <v>3</v>
      </c>
    </row>
    <row r="152" spans="1:8" x14ac:dyDescent="0.15">
      <c r="A152" s="19">
        <v>228.76561000000001</v>
      </c>
      <c r="B152" s="19">
        <v>55.5</v>
      </c>
      <c r="C152" s="19">
        <v>0.90959999999999996</v>
      </c>
      <c r="D152" s="19">
        <v>100.55613</v>
      </c>
      <c r="E152" s="21">
        <v>0</v>
      </c>
      <c r="F152" s="19">
        <v>100</v>
      </c>
      <c r="G152" s="19">
        <v>1</v>
      </c>
      <c r="H152" s="16">
        <v>3</v>
      </c>
    </row>
    <row r="153" spans="1:8" x14ac:dyDescent="0.15">
      <c r="A153" s="19">
        <v>231.24757</v>
      </c>
      <c r="B153" s="19">
        <v>56</v>
      </c>
      <c r="C153" s="19">
        <v>0.92613000000000001</v>
      </c>
      <c r="D153" s="19">
        <v>100.59483</v>
      </c>
      <c r="E153" s="21">
        <v>0</v>
      </c>
      <c r="F153" s="19">
        <v>100</v>
      </c>
      <c r="G153" s="19">
        <v>1</v>
      </c>
      <c r="H153" s="16">
        <v>3</v>
      </c>
    </row>
    <row r="154" spans="1:8" x14ac:dyDescent="0.15">
      <c r="A154" s="19">
        <v>233.73689999999999</v>
      </c>
      <c r="B154" s="19">
        <v>56.5</v>
      </c>
      <c r="C154" s="19">
        <v>0.94223999999999997</v>
      </c>
      <c r="D154" s="19">
        <v>100.53877</v>
      </c>
      <c r="E154" s="21">
        <v>0</v>
      </c>
      <c r="F154" s="19">
        <v>100</v>
      </c>
      <c r="G154" s="19">
        <v>1</v>
      </c>
      <c r="H154" s="16">
        <v>3</v>
      </c>
    </row>
    <row r="155" spans="1:8" x14ac:dyDescent="0.15">
      <c r="A155" s="19">
        <v>236.21852999999999</v>
      </c>
      <c r="B155" s="19">
        <v>57</v>
      </c>
      <c r="C155" s="19">
        <v>0.96062999999999998</v>
      </c>
      <c r="D155" s="19">
        <v>100.58659</v>
      </c>
      <c r="E155" s="21">
        <v>0</v>
      </c>
      <c r="F155" s="19">
        <v>100</v>
      </c>
      <c r="G155" s="19">
        <v>1</v>
      </c>
      <c r="H155" s="16">
        <v>3</v>
      </c>
    </row>
    <row r="156" spans="1:8" x14ac:dyDescent="0.15">
      <c r="A156" s="19">
        <v>238.70407</v>
      </c>
      <c r="B156" s="19">
        <v>57.5</v>
      </c>
      <c r="C156" s="19">
        <v>0.97438000000000002</v>
      </c>
      <c r="D156" s="19">
        <v>100.44524</v>
      </c>
      <c r="E156" s="21">
        <v>0</v>
      </c>
      <c r="F156" s="19">
        <v>100</v>
      </c>
      <c r="G156" s="19">
        <v>1</v>
      </c>
      <c r="H156" s="16">
        <v>3</v>
      </c>
    </row>
    <row r="157" spans="1:8" x14ac:dyDescent="0.15">
      <c r="A157" s="19">
        <v>241.18966</v>
      </c>
      <c r="B157" s="19">
        <v>58</v>
      </c>
      <c r="C157" s="19">
        <v>0.99073</v>
      </c>
      <c r="D157" s="19">
        <v>100.45474</v>
      </c>
      <c r="E157" s="21">
        <v>0</v>
      </c>
      <c r="F157" s="19">
        <v>100</v>
      </c>
      <c r="G157" s="19">
        <v>1</v>
      </c>
      <c r="H157" s="16">
        <v>3</v>
      </c>
    </row>
    <row r="158" spans="1:8" x14ac:dyDescent="0.15">
      <c r="A158" s="19">
        <v>243.67113000000001</v>
      </c>
      <c r="B158" s="19">
        <v>58.5</v>
      </c>
      <c r="C158" s="19">
        <v>1.00736</v>
      </c>
      <c r="D158" s="19">
        <v>100.33938999999999</v>
      </c>
      <c r="E158" s="21">
        <v>0</v>
      </c>
      <c r="F158" s="19">
        <v>100</v>
      </c>
      <c r="G158" s="19">
        <v>1</v>
      </c>
      <c r="H158" s="16">
        <v>3</v>
      </c>
    </row>
    <row r="159" spans="1:8" x14ac:dyDescent="0.15">
      <c r="A159" s="19">
        <v>246.15425999999999</v>
      </c>
      <c r="B159" s="19">
        <v>59</v>
      </c>
      <c r="C159" s="19">
        <v>1.02464</v>
      </c>
      <c r="D159" s="19">
        <v>100.38551</v>
      </c>
      <c r="E159" s="21">
        <v>0</v>
      </c>
      <c r="F159" s="19">
        <v>100</v>
      </c>
      <c r="G159" s="19">
        <v>1</v>
      </c>
      <c r="H159" s="16">
        <v>3</v>
      </c>
    </row>
    <row r="160" spans="1:8" x14ac:dyDescent="0.15">
      <c r="A160" s="19">
        <v>248.64410000000001</v>
      </c>
      <c r="B160" s="19">
        <v>59.5</v>
      </c>
      <c r="C160" s="19">
        <v>1.0396700000000001</v>
      </c>
      <c r="D160" s="19">
        <v>100.36235000000001</v>
      </c>
      <c r="E160" s="21">
        <v>0</v>
      </c>
      <c r="F160" s="19">
        <v>100</v>
      </c>
      <c r="G160" s="19">
        <v>1</v>
      </c>
      <c r="H160" s="16">
        <v>3</v>
      </c>
    </row>
    <row r="161" spans="1:8" x14ac:dyDescent="0.15">
      <c r="A161" s="19">
        <v>250.97868</v>
      </c>
      <c r="B161" s="19">
        <v>60</v>
      </c>
      <c r="C161" s="19">
        <v>0.97363999999999995</v>
      </c>
      <c r="D161" s="19">
        <v>100.28681</v>
      </c>
      <c r="E161" s="21">
        <v>0</v>
      </c>
      <c r="F161" s="19">
        <v>100</v>
      </c>
      <c r="G161" s="19">
        <v>1</v>
      </c>
      <c r="H161" s="16">
        <v>4</v>
      </c>
    </row>
    <row r="162" spans="1:8" x14ac:dyDescent="0.15">
      <c r="A162" s="19">
        <v>252.74084999999999</v>
      </c>
      <c r="B162" s="19">
        <v>60.5</v>
      </c>
      <c r="C162" s="19">
        <v>0.74017999999999995</v>
      </c>
      <c r="D162" s="19">
        <v>100.29961</v>
      </c>
      <c r="E162" s="21">
        <v>0</v>
      </c>
      <c r="F162" s="19">
        <v>100</v>
      </c>
      <c r="G162" s="19">
        <v>1</v>
      </c>
      <c r="H162" s="16">
        <v>4</v>
      </c>
    </row>
    <row r="163" spans="1:8" x14ac:dyDescent="0.15">
      <c r="A163" s="19">
        <v>253.85077999999999</v>
      </c>
      <c r="B163" s="19">
        <v>61</v>
      </c>
      <c r="C163" s="19">
        <v>0.52749000000000001</v>
      </c>
      <c r="D163" s="19">
        <v>100.21955</v>
      </c>
      <c r="E163" s="21">
        <v>0</v>
      </c>
      <c r="F163" s="19">
        <v>100</v>
      </c>
      <c r="G163" s="19">
        <v>1</v>
      </c>
      <c r="H163" s="16">
        <v>4</v>
      </c>
    </row>
    <row r="164" spans="1:8" x14ac:dyDescent="0.15">
      <c r="A164" s="19">
        <v>254.4025</v>
      </c>
      <c r="B164" s="19">
        <v>61.5</v>
      </c>
      <c r="C164" s="19">
        <v>0.40386</v>
      </c>
      <c r="D164" s="19">
        <v>100.1848</v>
      </c>
      <c r="E164" s="20">
        <v>0</v>
      </c>
      <c r="F164" s="19">
        <v>100</v>
      </c>
      <c r="G164" s="19">
        <v>1</v>
      </c>
      <c r="H164" s="16">
        <v>4</v>
      </c>
    </row>
    <row r="165" spans="1:8" x14ac:dyDescent="0.15">
      <c r="A165" s="19">
        <v>254.61555000000001</v>
      </c>
      <c r="B165" s="19">
        <v>62</v>
      </c>
      <c r="C165" s="19">
        <v>0.36196</v>
      </c>
      <c r="D165" s="19">
        <v>100.17752</v>
      </c>
      <c r="E165" s="20">
        <v>0</v>
      </c>
      <c r="F165" s="19">
        <v>100</v>
      </c>
      <c r="G165" s="19">
        <v>1</v>
      </c>
      <c r="H165" s="16">
        <v>4</v>
      </c>
    </row>
    <row r="166" spans="1:8" x14ac:dyDescent="0.15">
      <c r="A166" s="19">
        <v>254.68744000000001</v>
      </c>
      <c r="B166" s="19">
        <v>62.5</v>
      </c>
      <c r="C166" s="19">
        <v>0.36342999999999998</v>
      </c>
      <c r="D166" s="19">
        <v>100.05119000000001</v>
      </c>
      <c r="E166" s="20">
        <v>0</v>
      </c>
      <c r="F166" s="19">
        <v>100</v>
      </c>
      <c r="G166" s="19">
        <v>1</v>
      </c>
      <c r="H166" s="16">
        <v>4</v>
      </c>
    </row>
    <row r="167" spans="1:8" x14ac:dyDescent="0.15">
      <c r="A167" s="19">
        <v>254.70643999999999</v>
      </c>
      <c r="B167" s="19">
        <v>63</v>
      </c>
      <c r="C167" s="19">
        <v>0.37175000000000002</v>
      </c>
      <c r="D167" s="19">
        <v>100.12736</v>
      </c>
      <c r="E167" s="20">
        <v>-1.139587E-304</v>
      </c>
      <c r="F167" s="19">
        <v>100</v>
      </c>
      <c r="G167" s="19">
        <v>1</v>
      </c>
      <c r="H167" s="16">
        <v>4</v>
      </c>
    </row>
    <row r="168" spans="1:8" x14ac:dyDescent="0.15">
      <c r="A168" s="19">
        <v>254.68594999999999</v>
      </c>
      <c r="B168" s="19">
        <v>63.5</v>
      </c>
      <c r="C168" s="19">
        <v>0.36703999999999998</v>
      </c>
      <c r="D168" s="19">
        <v>99.972639999999998</v>
      </c>
      <c r="E168" s="20">
        <v>-5.9734200000000004E-299</v>
      </c>
      <c r="F168" s="19">
        <v>100</v>
      </c>
      <c r="G168" s="19">
        <v>1</v>
      </c>
      <c r="H168" s="16">
        <v>4</v>
      </c>
    </row>
    <row r="169" spans="1:8" x14ac:dyDescent="0.15">
      <c r="A169" s="19">
        <v>254.60571999999999</v>
      </c>
      <c r="B169" s="19">
        <v>64</v>
      </c>
      <c r="C169" s="19">
        <v>0.34619</v>
      </c>
      <c r="D169" s="19">
        <v>100.07926999999999</v>
      </c>
      <c r="E169" s="20">
        <v>-3.1311110000000001E-293</v>
      </c>
      <c r="F169" s="19">
        <v>100</v>
      </c>
      <c r="G169" s="19">
        <v>1</v>
      </c>
      <c r="H169" s="16">
        <v>4</v>
      </c>
    </row>
    <row r="170" spans="1:8" x14ac:dyDescent="0.15">
      <c r="A170" s="19">
        <v>254.44812999999999</v>
      </c>
      <c r="B170" s="19">
        <v>64.5</v>
      </c>
      <c r="C170" s="19">
        <v>0.31841000000000003</v>
      </c>
      <c r="D170" s="19">
        <v>100.00134</v>
      </c>
      <c r="E170" s="20">
        <v>-1.641247E-287</v>
      </c>
      <c r="F170" s="19">
        <v>100</v>
      </c>
      <c r="G170" s="19">
        <v>1</v>
      </c>
      <c r="H170" s="16">
        <v>4</v>
      </c>
    </row>
    <row r="171" spans="1:8" x14ac:dyDescent="0.15">
      <c r="A171" s="19">
        <v>254.21370999999999</v>
      </c>
      <c r="B171" s="19">
        <v>65</v>
      </c>
      <c r="C171" s="19">
        <v>0.29575000000000001</v>
      </c>
      <c r="D171" s="19">
        <v>99.915329999999997</v>
      </c>
      <c r="E171" s="20">
        <v>-8.6029909999999993E-282</v>
      </c>
      <c r="F171" s="19">
        <v>100</v>
      </c>
      <c r="G171" s="19">
        <v>1</v>
      </c>
      <c r="H171" s="16">
        <v>4</v>
      </c>
    </row>
    <row r="172" spans="1:8" x14ac:dyDescent="0.15">
      <c r="A172" s="19">
        <v>253.91896</v>
      </c>
      <c r="B172" s="19">
        <v>65.5</v>
      </c>
      <c r="C172" s="19">
        <v>0.28201999999999999</v>
      </c>
      <c r="D172" s="19">
        <v>100.01582999999999</v>
      </c>
      <c r="E172" s="20">
        <v>-4.5094639999999997E-276</v>
      </c>
      <c r="F172" s="19">
        <v>100</v>
      </c>
      <c r="G172" s="19">
        <v>1</v>
      </c>
      <c r="H172" s="16">
        <v>4</v>
      </c>
    </row>
    <row r="173" spans="1:8" x14ac:dyDescent="0.15">
      <c r="A173" s="19">
        <v>253.59401</v>
      </c>
      <c r="B173" s="19">
        <v>66</v>
      </c>
      <c r="C173" s="19">
        <v>0.27771000000000001</v>
      </c>
      <c r="D173" s="19">
        <v>100.03870000000001</v>
      </c>
      <c r="E173" s="20">
        <v>-2.3637439999999999E-270</v>
      </c>
      <c r="F173" s="19">
        <v>100</v>
      </c>
      <c r="G173" s="19">
        <v>1</v>
      </c>
      <c r="H173" s="16">
        <v>4</v>
      </c>
    </row>
    <row r="174" spans="1:8" x14ac:dyDescent="0.15">
      <c r="A174" s="19">
        <v>253.26667</v>
      </c>
      <c r="B174" s="19">
        <v>66.5</v>
      </c>
      <c r="C174" s="19">
        <v>0.27845999999999999</v>
      </c>
      <c r="D174" s="19">
        <v>99.868859999999998</v>
      </c>
      <c r="E174" s="20">
        <v>-1.2390130000000001E-264</v>
      </c>
      <c r="F174" s="19">
        <v>100</v>
      </c>
      <c r="G174" s="19">
        <v>1</v>
      </c>
      <c r="H174" s="16">
        <v>4</v>
      </c>
    </row>
    <row r="175" spans="1:8" x14ac:dyDescent="0.15">
      <c r="A175" s="19">
        <v>252.94848999999999</v>
      </c>
      <c r="B175" s="19">
        <v>67</v>
      </c>
      <c r="C175" s="19">
        <v>0.28294999999999998</v>
      </c>
      <c r="D175" s="19">
        <v>99.977599999999995</v>
      </c>
      <c r="E175" s="20">
        <v>-6.494585E-259</v>
      </c>
      <c r="F175" s="19">
        <v>100</v>
      </c>
      <c r="G175" s="19">
        <v>1</v>
      </c>
      <c r="H175" s="16">
        <v>4</v>
      </c>
    </row>
    <row r="176" spans="1:8" x14ac:dyDescent="0.15">
      <c r="A176" s="19">
        <v>252.65146999999999</v>
      </c>
      <c r="B176" s="19">
        <v>67.5</v>
      </c>
      <c r="C176" s="19">
        <v>0.28627999999999998</v>
      </c>
      <c r="D176" s="19">
        <v>100.08150000000001</v>
      </c>
      <c r="E176" s="20">
        <v>-3.4042919999999998E-253</v>
      </c>
      <c r="F176" s="19">
        <v>100</v>
      </c>
      <c r="G176" s="19">
        <v>1</v>
      </c>
      <c r="H176" s="16">
        <v>4</v>
      </c>
    </row>
    <row r="177" spans="1:8" x14ac:dyDescent="0.15">
      <c r="A177" s="19">
        <v>252.37953999999999</v>
      </c>
      <c r="B177" s="19">
        <v>68</v>
      </c>
      <c r="C177" s="19">
        <v>0.28950999999999999</v>
      </c>
      <c r="D177" s="19">
        <v>99.985169999999997</v>
      </c>
      <c r="E177" s="20">
        <v>-1.7844419999999999E-247</v>
      </c>
      <c r="F177" s="19">
        <v>100</v>
      </c>
      <c r="G177" s="19">
        <v>1</v>
      </c>
      <c r="H177" s="16">
        <v>4</v>
      </c>
    </row>
    <row r="178" spans="1:8" x14ac:dyDescent="0.15">
      <c r="A178" s="19">
        <v>252.12206</v>
      </c>
      <c r="B178" s="19">
        <v>68.5</v>
      </c>
      <c r="C178" s="19">
        <v>0.29058</v>
      </c>
      <c r="D178" s="19">
        <v>99.867410000000007</v>
      </c>
      <c r="E178" s="20">
        <v>-9.3535789999999998E-242</v>
      </c>
      <c r="F178" s="19">
        <v>100</v>
      </c>
      <c r="G178" s="19">
        <v>1</v>
      </c>
      <c r="H178" s="16">
        <v>4</v>
      </c>
    </row>
    <row r="179" spans="1:8" x14ac:dyDescent="0.15">
      <c r="A179" s="19">
        <v>251.87765999999999</v>
      </c>
      <c r="B179" s="19">
        <v>69</v>
      </c>
      <c r="C179" s="19">
        <v>0.29504999999999998</v>
      </c>
      <c r="D179" s="19">
        <v>100.03127000000001</v>
      </c>
      <c r="E179" s="20">
        <v>-4.9029030000000003E-236</v>
      </c>
      <c r="F179" s="19">
        <v>100</v>
      </c>
      <c r="G179" s="19">
        <v>1</v>
      </c>
      <c r="H179" s="16">
        <v>4</v>
      </c>
    </row>
    <row r="180" spans="1:8" x14ac:dyDescent="0.15">
      <c r="A180" s="19">
        <v>251.65429</v>
      </c>
      <c r="B180" s="19">
        <v>69.5</v>
      </c>
      <c r="C180" s="19">
        <v>0.29633999999999999</v>
      </c>
      <c r="D180" s="19">
        <v>99.976219999999998</v>
      </c>
      <c r="E180" s="20">
        <v>-2.569974E-230</v>
      </c>
      <c r="F180" s="19">
        <v>100</v>
      </c>
      <c r="G180" s="19">
        <v>1</v>
      </c>
      <c r="H180" s="16">
        <v>4</v>
      </c>
    </row>
    <row r="181" spans="1:8" x14ac:dyDescent="0.15">
      <c r="A181" s="19">
        <v>251.44768999999999</v>
      </c>
      <c r="B181" s="19">
        <v>70</v>
      </c>
      <c r="C181" s="19">
        <v>0.30007</v>
      </c>
      <c r="D181" s="19">
        <v>99.950900000000004</v>
      </c>
      <c r="E181" s="20">
        <v>-1.347114E-224</v>
      </c>
      <c r="F181" s="19">
        <v>100</v>
      </c>
      <c r="G181" s="19">
        <v>1</v>
      </c>
      <c r="H181" s="16">
        <v>4</v>
      </c>
    </row>
    <row r="182" spans="1:8" x14ac:dyDescent="0.15">
      <c r="A182" s="19">
        <v>251.26364000000001</v>
      </c>
      <c r="B182" s="19">
        <v>70.5</v>
      </c>
      <c r="C182" s="19">
        <v>0.30264999999999997</v>
      </c>
      <c r="D182" s="19">
        <v>99.869489999999999</v>
      </c>
      <c r="E182" s="20">
        <v>-7.0612189999999999E-219</v>
      </c>
      <c r="F182" s="19">
        <v>100</v>
      </c>
      <c r="G182" s="19">
        <v>1</v>
      </c>
      <c r="H182" s="16">
        <v>4</v>
      </c>
    </row>
    <row r="183" spans="1:8" x14ac:dyDescent="0.15">
      <c r="A183" s="19">
        <v>251.10321999999999</v>
      </c>
      <c r="B183" s="19">
        <v>71</v>
      </c>
      <c r="C183" s="19">
        <v>0.30618000000000001</v>
      </c>
      <c r="D183" s="19">
        <v>99.984229999999997</v>
      </c>
      <c r="E183" s="20">
        <v>-3.7013079999999999E-213</v>
      </c>
      <c r="F183" s="19">
        <v>100</v>
      </c>
      <c r="G183" s="19">
        <v>1</v>
      </c>
      <c r="H183" s="16">
        <v>4</v>
      </c>
    </row>
    <row r="184" spans="1:8" x14ac:dyDescent="0.15">
      <c r="A184" s="19">
        <v>250.95722000000001</v>
      </c>
      <c r="B184" s="19">
        <v>71.5</v>
      </c>
      <c r="C184" s="19">
        <v>0.30942999999999998</v>
      </c>
      <c r="D184" s="19">
        <v>99.975930000000005</v>
      </c>
      <c r="E184" s="20">
        <v>-1.940129E-207</v>
      </c>
      <c r="F184" s="19">
        <v>100</v>
      </c>
      <c r="G184" s="19">
        <v>1</v>
      </c>
      <c r="H184" s="16">
        <v>4</v>
      </c>
    </row>
    <row r="185" spans="1:8" x14ac:dyDescent="0.15">
      <c r="A185" s="19">
        <v>250.82731000000001</v>
      </c>
      <c r="B185" s="19">
        <v>72</v>
      </c>
      <c r="C185" s="19">
        <v>0.31262000000000001</v>
      </c>
      <c r="D185" s="19">
        <v>99.893330000000006</v>
      </c>
      <c r="E185" s="20">
        <v>-1.0169650000000001E-201</v>
      </c>
      <c r="F185" s="19">
        <v>100</v>
      </c>
      <c r="G185" s="19">
        <v>1</v>
      </c>
      <c r="H185" s="16">
        <v>4</v>
      </c>
    </row>
    <row r="186" spans="1:8" x14ac:dyDescent="0.15">
      <c r="A186" s="19">
        <v>250.71151</v>
      </c>
      <c r="B186" s="19">
        <v>72.5</v>
      </c>
      <c r="C186" s="19">
        <v>0.31445000000000001</v>
      </c>
      <c r="D186" s="19">
        <v>99.899410000000003</v>
      </c>
      <c r="E186" s="20">
        <v>-5.330668E-196</v>
      </c>
      <c r="F186" s="19">
        <v>100</v>
      </c>
      <c r="G186" s="19">
        <v>1</v>
      </c>
      <c r="H186" s="16">
        <v>4</v>
      </c>
    </row>
    <row r="187" spans="1:8" x14ac:dyDescent="0.15">
      <c r="A187" s="19">
        <v>250.61411000000001</v>
      </c>
      <c r="B187" s="19">
        <v>73</v>
      </c>
      <c r="C187" s="19">
        <v>0.31598999999999999</v>
      </c>
      <c r="D187" s="19">
        <v>99.81353</v>
      </c>
      <c r="E187" s="20">
        <v>-2.7941969999999998E-190</v>
      </c>
      <c r="F187" s="19">
        <v>100</v>
      </c>
      <c r="G187" s="19">
        <v>1</v>
      </c>
      <c r="H187" s="16">
        <v>4</v>
      </c>
    </row>
    <row r="188" spans="1:8" x14ac:dyDescent="0.15">
      <c r="A188" s="19">
        <v>250.52789000000001</v>
      </c>
      <c r="B188" s="19">
        <v>73.5</v>
      </c>
      <c r="C188" s="19">
        <v>0.31758999999999998</v>
      </c>
      <c r="D188" s="19">
        <v>99.907399999999996</v>
      </c>
      <c r="E188" s="20">
        <v>-1.4646460000000001E-184</v>
      </c>
      <c r="F188" s="19">
        <v>100</v>
      </c>
      <c r="G188" s="19">
        <v>1</v>
      </c>
      <c r="H188" s="16">
        <v>4</v>
      </c>
    </row>
    <row r="189" spans="1:8" x14ac:dyDescent="0.15">
      <c r="A189" s="19">
        <v>250.44924</v>
      </c>
      <c r="B189" s="19">
        <v>74</v>
      </c>
      <c r="C189" s="19">
        <v>0.31783</v>
      </c>
      <c r="D189" s="19">
        <v>99.781490000000005</v>
      </c>
      <c r="E189" s="20">
        <v>-7.6772919999999998E-179</v>
      </c>
      <c r="F189" s="19">
        <v>100</v>
      </c>
      <c r="G189" s="19">
        <v>1</v>
      </c>
      <c r="H189" s="16">
        <v>4</v>
      </c>
    </row>
    <row r="190" spans="1:8" x14ac:dyDescent="0.15">
      <c r="A190" s="19">
        <v>250.37875</v>
      </c>
      <c r="B190" s="19">
        <v>74.5</v>
      </c>
      <c r="C190" s="19">
        <v>0.31977</v>
      </c>
      <c r="D190" s="19">
        <v>99.862229999999997</v>
      </c>
      <c r="E190" s="20">
        <v>-4.0242370000000002E-173</v>
      </c>
      <c r="F190" s="19">
        <v>100</v>
      </c>
      <c r="G190" s="19">
        <v>1</v>
      </c>
      <c r="H190" s="16">
        <v>4</v>
      </c>
    </row>
    <row r="191" spans="1:8" x14ac:dyDescent="0.15">
      <c r="A191" s="19">
        <v>250.31966</v>
      </c>
      <c r="B191" s="19">
        <v>75</v>
      </c>
      <c r="C191" s="19">
        <v>0.32191999999999998</v>
      </c>
      <c r="D191" s="19">
        <v>99.881249999999994</v>
      </c>
      <c r="E191" s="20">
        <v>-2.1094000000000002E-167</v>
      </c>
      <c r="F191" s="19">
        <v>100</v>
      </c>
      <c r="G191" s="19">
        <v>1</v>
      </c>
      <c r="H191" s="16">
        <v>4</v>
      </c>
    </row>
    <row r="192" spans="1:8" x14ac:dyDescent="0.15">
      <c r="A192" s="19">
        <v>250.27088000000001</v>
      </c>
      <c r="B192" s="19">
        <v>75.5</v>
      </c>
      <c r="C192" s="19">
        <v>0.32430999999999999</v>
      </c>
      <c r="D192" s="19">
        <v>99.740080000000006</v>
      </c>
      <c r="E192" s="20">
        <v>-1.105693E-161</v>
      </c>
      <c r="F192" s="19">
        <v>100</v>
      </c>
      <c r="G192" s="19">
        <v>1</v>
      </c>
      <c r="H192" s="16">
        <v>4</v>
      </c>
    </row>
    <row r="193" spans="1:8" x14ac:dyDescent="0.15">
      <c r="A193" s="19">
        <v>250.23371</v>
      </c>
      <c r="B193" s="19">
        <v>76</v>
      </c>
      <c r="C193" s="19">
        <v>0.32546000000000003</v>
      </c>
      <c r="D193" s="19">
        <v>99.861969999999999</v>
      </c>
      <c r="E193" s="20">
        <v>-5.7957540000000002E-156</v>
      </c>
      <c r="F193" s="19">
        <v>100</v>
      </c>
      <c r="G193" s="19">
        <v>1</v>
      </c>
      <c r="H193" s="16">
        <v>4</v>
      </c>
    </row>
    <row r="194" spans="1:8" x14ac:dyDescent="0.15">
      <c r="A194" s="19">
        <v>250.19982999999999</v>
      </c>
      <c r="B194" s="19">
        <v>76.5</v>
      </c>
      <c r="C194" s="19">
        <v>0.32565</v>
      </c>
      <c r="D194" s="19">
        <v>99.893960000000007</v>
      </c>
      <c r="E194" s="20">
        <v>-3.0379829999999997E-150</v>
      </c>
      <c r="F194" s="19">
        <v>100</v>
      </c>
      <c r="G194" s="19">
        <v>1</v>
      </c>
      <c r="H194" s="16">
        <v>4</v>
      </c>
    </row>
    <row r="195" spans="1:8" x14ac:dyDescent="0.15">
      <c r="A195" s="19">
        <v>250.16878</v>
      </c>
      <c r="B195" s="19">
        <v>77</v>
      </c>
      <c r="C195" s="19">
        <v>0.32488</v>
      </c>
      <c r="D195" s="19">
        <v>99.880020000000002</v>
      </c>
      <c r="E195" s="20">
        <v>-1.592432E-144</v>
      </c>
      <c r="F195" s="19">
        <v>100</v>
      </c>
      <c r="G195" s="19">
        <v>1</v>
      </c>
      <c r="H195" s="16">
        <v>4</v>
      </c>
    </row>
    <row r="196" spans="1:8" x14ac:dyDescent="0.15">
      <c r="A196" s="19">
        <v>250.14603</v>
      </c>
      <c r="B196" s="19">
        <v>77.5</v>
      </c>
      <c r="C196" s="19">
        <v>0.32550000000000001</v>
      </c>
      <c r="D196" s="19">
        <v>99.8048</v>
      </c>
      <c r="E196" s="20">
        <v>-8.3471140000000006E-139</v>
      </c>
      <c r="F196" s="19">
        <v>100</v>
      </c>
      <c r="G196" s="19">
        <v>1</v>
      </c>
      <c r="H196" s="16">
        <v>4</v>
      </c>
    </row>
    <row r="197" spans="1:8" x14ac:dyDescent="0.15">
      <c r="A197" s="19">
        <v>250.12712999999999</v>
      </c>
      <c r="B197" s="19">
        <v>78</v>
      </c>
      <c r="C197" s="19">
        <v>0.32634999999999997</v>
      </c>
      <c r="D197" s="19">
        <v>99.785070000000005</v>
      </c>
      <c r="E197" s="20">
        <v>-4.3753399999999998E-133</v>
      </c>
      <c r="F197" s="19">
        <v>100</v>
      </c>
      <c r="G197" s="19">
        <v>1</v>
      </c>
      <c r="H197" s="16">
        <v>4</v>
      </c>
    </row>
    <row r="198" spans="1:8" x14ac:dyDescent="0.15">
      <c r="A198" s="19">
        <v>250.10995</v>
      </c>
      <c r="B198" s="19">
        <v>78.5</v>
      </c>
      <c r="C198" s="19">
        <v>0.32634999999999997</v>
      </c>
      <c r="D198" s="19">
        <v>99.970699999999994</v>
      </c>
      <c r="E198" s="20">
        <v>-2.29344E-127</v>
      </c>
      <c r="F198" s="19">
        <v>100</v>
      </c>
      <c r="G198" s="19">
        <v>1</v>
      </c>
      <c r="H198" s="16">
        <v>4</v>
      </c>
    </row>
    <row r="199" spans="1:8" x14ac:dyDescent="0.15">
      <c r="A199" s="19">
        <v>250.09541999999999</v>
      </c>
      <c r="B199" s="19">
        <v>79</v>
      </c>
      <c r="C199" s="19">
        <v>0.32800000000000001</v>
      </c>
      <c r="D199" s="19">
        <v>99.846209999999999</v>
      </c>
      <c r="E199" s="20">
        <v>-1.202161E-121</v>
      </c>
      <c r="F199" s="19">
        <v>100</v>
      </c>
      <c r="G199" s="19">
        <v>1</v>
      </c>
      <c r="H199" s="16">
        <v>4</v>
      </c>
    </row>
    <row r="200" spans="1:8" x14ac:dyDescent="0.15">
      <c r="A200" s="19">
        <v>250.08421000000001</v>
      </c>
      <c r="B200" s="19">
        <v>79.5</v>
      </c>
      <c r="C200" s="19">
        <v>0.32890000000000003</v>
      </c>
      <c r="D200" s="19">
        <v>99.780450000000002</v>
      </c>
      <c r="E200" s="20">
        <v>-6.301418E-116</v>
      </c>
      <c r="F200" s="19">
        <v>100</v>
      </c>
      <c r="G200" s="19">
        <v>1</v>
      </c>
      <c r="H200" s="16">
        <v>4</v>
      </c>
    </row>
    <row r="201" spans="1:8" x14ac:dyDescent="0.15">
      <c r="A201" s="19">
        <v>250.07657</v>
      </c>
      <c r="B201" s="19">
        <v>80</v>
      </c>
      <c r="C201" s="19">
        <v>0.32865</v>
      </c>
      <c r="D201" s="19">
        <v>99.839969999999994</v>
      </c>
      <c r="E201" s="20">
        <v>-3.3030389999999998E-110</v>
      </c>
      <c r="F201" s="19">
        <v>100</v>
      </c>
      <c r="G201" s="19">
        <v>1</v>
      </c>
      <c r="H201" s="16">
        <v>4</v>
      </c>
    </row>
    <row r="202" spans="1:8" x14ac:dyDescent="0.15">
      <c r="A202" s="19">
        <v>250.06786</v>
      </c>
      <c r="B202" s="19">
        <v>80.5</v>
      </c>
      <c r="C202" s="19">
        <v>0.32845000000000002</v>
      </c>
      <c r="D202" s="19">
        <v>99.820629999999994</v>
      </c>
      <c r="E202" s="20">
        <v>-1.7313670000000001E-104</v>
      </c>
      <c r="F202" s="19">
        <v>100</v>
      </c>
      <c r="G202" s="19">
        <v>1</v>
      </c>
      <c r="H202" s="16">
        <v>4</v>
      </c>
    </row>
    <row r="203" spans="1:8" x14ac:dyDescent="0.15">
      <c r="A203" s="19">
        <v>250.05710999999999</v>
      </c>
      <c r="B203" s="19">
        <v>81</v>
      </c>
      <c r="C203" s="19">
        <v>0.32801000000000002</v>
      </c>
      <c r="D203" s="19">
        <v>99.78098</v>
      </c>
      <c r="E203" s="20">
        <v>-9.0753769999999999E-99</v>
      </c>
      <c r="F203" s="19">
        <v>100</v>
      </c>
      <c r="G203" s="19">
        <v>1</v>
      </c>
      <c r="H203" s="16">
        <v>4</v>
      </c>
    </row>
    <row r="204" spans="1:8" x14ac:dyDescent="0.15">
      <c r="A204" s="19">
        <v>250.04574</v>
      </c>
      <c r="B204" s="19">
        <v>81.5</v>
      </c>
      <c r="C204" s="19">
        <v>0.32795000000000002</v>
      </c>
      <c r="D204" s="19">
        <v>99.704049999999995</v>
      </c>
      <c r="E204" s="20">
        <v>-4.7570769999999999E-93</v>
      </c>
      <c r="F204" s="19">
        <v>100</v>
      </c>
      <c r="G204" s="19">
        <v>1</v>
      </c>
      <c r="H204" s="16">
        <v>4</v>
      </c>
    </row>
    <row r="205" spans="1:8" x14ac:dyDescent="0.15">
      <c r="A205" s="19">
        <v>250.04067000000001</v>
      </c>
      <c r="B205" s="19">
        <v>82</v>
      </c>
      <c r="C205" s="19">
        <v>0.32889000000000002</v>
      </c>
      <c r="D205" s="19">
        <v>99.815529999999995</v>
      </c>
      <c r="E205" s="20">
        <v>-2.4935359999999999E-87</v>
      </c>
      <c r="F205" s="19">
        <v>100</v>
      </c>
      <c r="G205" s="19">
        <v>1</v>
      </c>
      <c r="H205" s="16">
        <v>4</v>
      </c>
    </row>
    <row r="206" spans="1:8" x14ac:dyDescent="0.15">
      <c r="A206" s="19">
        <v>250.03782000000001</v>
      </c>
      <c r="B206" s="19">
        <v>82.5</v>
      </c>
      <c r="C206" s="19">
        <v>0.32923000000000002</v>
      </c>
      <c r="D206" s="19">
        <v>99.892210000000006</v>
      </c>
      <c r="E206" s="20">
        <v>-1.3070470000000001E-81</v>
      </c>
      <c r="F206" s="19">
        <v>100</v>
      </c>
      <c r="G206" s="19">
        <v>1</v>
      </c>
      <c r="H206" s="16">
        <v>4</v>
      </c>
    </row>
    <row r="207" spans="1:8" x14ac:dyDescent="0.15">
      <c r="A207" s="19">
        <v>250.03594000000001</v>
      </c>
      <c r="B207" s="19">
        <v>83</v>
      </c>
      <c r="C207" s="19">
        <v>0.32895000000000002</v>
      </c>
      <c r="D207" s="19">
        <v>99.788269999999997</v>
      </c>
      <c r="E207" s="20">
        <v>-6.8511990000000001E-76</v>
      </c>
      <c r="F207" s="19">
        <v>100</v>
      </c>
      <c r="G207" s="19">
        <v>1</v>
      </c>
      <c r="H207" s="16">
        <v>4</v>
      </c>
    </row>
    <row r="208" spans="1:8" x14ac:dyDescent="0.15">
      <c r="A208" s="19">
        <v>250.03336999999999</v>
      </c>
      <c r="B208" s="19">
        <v>83.5</v>
      </c>
      <c r="C208" s="19">
        <v>0.33013999999999999</v>
      </c>
      <c r="D208" s="19">
        <v>99.885710000000003</v>
      </c>
      <c r="E208" s="20">
        <v>-3.5912199999999999E-70</v>
      </c>
      <c r="F208" s="19">
        <v>100</v>
      </c>
      <c r="G208" s="19">
        <v>1</v>
      </c>
      <c r="H208" s="16">
        <v>4</v>
      </c>
    </row>
    <row r="209" spans="1:8" x14ac:dyDescent="0.15">
      <c r="A209" s="19">
        <v>250.03138999999999</v>
      </c>
      <c r="B209" s="19">
        <v>84</v>
      </c>
      <c r="C209" s="19">
        <v>0.32929999999999998</v>
      </c>
      <c r="D209" s="19">
        <v>99.842219999999998</v>
      </c>
      <c r="E209" s="20">
        <v>-1.882424E-64</v>
      </c>
      <c r="F209" s="19">
        <v>100</v>
      </c>
      <c r="G209" s="19">
        <v>1</v>
      </c>
      <c r="H209" s="16">
        <v>4</v>
      </c>
    </row>
    <row r="210" spans="1:8" x14ac:dyDescent="0.15">
      <c r="A210" s="19">
        <v>250.02952999999999</v>
      </c>
      <c r="B210" s="19">
        <v>84.5</v>
      </c>
      <c r="C210" s="19">
        <v>0.32890999999999998</v>
      </c>
      <c r="D210" s="19">
        <v>99.781480000000002</v>
      </c>
      <c r="E210" s="20">
        <v>-9.8671789999999994E-59</v>
      </c>
      <c r="F210" s="19">
        <v>100</v>
      </c>
      <c r="G210" s="19">
        <v>1</v>
      </c>
      <c r="H210" s="16">
        <v>4</v>
      </c>
    </row>
    <row r="211" spans="1:8" x14ac:dyDescent="0.15">
      <c r="A211" s="19">
        <v>250.02786</v>
      </c>
      <c r="B211" s="19">
        <v>85</v>
      </c>
      <c r="C211" s="19">
        <v>0.32854</v>
      </c>
      <c r="D211" s="19">
        <v>99.644819999999996</v>
      </c>
      <c r="E211" s="20">
        <v>-5.172119E-53</v>
      </c>
      <c r="F211" s="19">
        <v>100</v>
      </c>
      <c r="G211" s="19">
        <v>1</v>
      </c>
      <c r="H211" s="16">
        <v>4</v>
      </c>
    </row>
    <row r="212" spans="1:8" x14ac:dyDescent="0.15">
      <c r="A212" s="19">
        <v>250.02601000000001</v>
      </c>
      <c r="B212" s="19">
        <v>85.5</v>
      </c>
      <c r="C212" s="19">
        <v>0.32885999999999999</v>
      </c>
      <c r="D212" s="19">
        <v>99.87997</v>
      </c>
      <c r="E212" s="20">
        <v>-2.7110900000000002E-47</v>
      </c>
      <c r="F212" s="19">
        <v>100</v>
      </c>
      <c r="G212" s="19">
        <v>1</v>
      </c>
      <c r="H212" s="16">
        <v>4</v>
      </c>
    </row>
    <row r="213" spans="1:8" x14ac:dyDescent="0.15">
      <c r="A213" s="19">
        <v>250.02137999999999</v>
      </c>
      <c r="B213" s="19">
        <v>86</v>
      </c>
      <c r="C213" s="19">
        <v>0.33045000000000002</v>
      </c>
      <c r="D213" s="19">
        <v>99.752399999999994</v>
      </c>
      <c r="E213" s="20">
        <v>-1.421083E-41</v>
      </c>
      <c r="F213" s="19">
        <v>100</v>
      </c>
      <c r="G213" s="19">
        <v>1</v>
      </c>
      <c r="H213" s="16">
        <v>4</v>
      </c>
    </row>
    <row r="214" spans="1:8" x14ac:dyDescent="0.15">
      <c r="A214" s="19">
        <v>250.02074999999999</v>
      </c>
      <c r="B214" s="19">
        <v>86.5</v>
      </c>
      <c r="C214" s="19">
        <v>0.33151000000000003</v>
      </c>
      <c r="D214" s="19">
        <v>99.8155</v>
      </c>
      <c r="E214" s="20">
        <v>-7.4489479999999995E-36</v>
      </c>
      <c r="F214" s="19">
        <v>100</v>
      </c>
      <c r="G214" s="19">
        <v>1</v>
      </c>
      <c r="H214" s="16">
        <v>4</v>
      </c>
    </row>
    <row r="215" spans="1:8" x14ac:dyDescent="0.15">
      <c r="A215" s="19">
        <v>250.02073999999999</v>
      </c>
      <c r="B215" s="19">
        <v>87</v>
      </c>
      <c r="C215" s="19">
        <v>0.33039000000000002</v>
      </c>
      <c r="D215" s="19">
        <v>99.7042</v>
      </c>
      <c r="E215" s="20">
        <v>-3.9045449999999999E-30</v>
      </c>
      <c r="F215" s="19">
        <v>100</v>
      </c>
      <c r="G215" s="19">
        <v>1</v>
      </c>
      <c r="H215" s="16">
        <v>4</v>
      </c>
    </row>
    <row r="216" spans="1:8" x14ac:dyDescent="0.15">
      <c r="A216" s="19">
        <v>250.02233000000001</v>
      </c>
      <c r="B216" s="19">
        <v>87.5</v>
      </c>
      <c r="C216" s="19">
        <v>0.33082</v>
      </c>
      <c r="D216" s="19">
        <v>99.7346</v>
      </c>
      <c r="E216" s="20">
        <v>-2.0466610000000001E-24</v>
      </c>
      <c r="F216" s="19">
        <v>100</v>
      </c>
      <c r="G216" s="19">
        <v>1</v>
      </c>
      <c r="H216" s="16">
        <v>4</v>
      </c>
    </row>
    <row r="217" spans="1:8" x14ac:dyDescent="0.15">
      <c r="A217" s="19">
        <v>250.02311</v>
      </c>
      <c r="B217" s="19">
        <v>88</v>
      </c>
      <c r="C217" s="19">
        <v>0.32944000000000001</v>
      </c>
      <c r="D217" s="19">
        <v>99.738690000000005</v>
      </c>
      <c r="E217" s="20">
        <v>-1.0728059999999999E-18</v>
      </c>
      <c r="F217" s="19">
        <v>100</v>
      </c>
      <c r="G217" s="19">
        <v>1</v>
      </c>
      <c r="H217" s="16">
        <v>4</v>
      </c>
    </row>
    <row r="218" spans="1:8" x14ac:dyDescent="0.15">
      <c r="A218" s="19">
        <v>250.02520000000001</v>
      </c>
      <c r="B218" s="19">
        <v>88.5</v>
      </c>
      <c r="C218" s="19">
        <v>0.32938000000000001</v>
      </c>
      <c r="D218" s="19">
        <v>99.725809999999996</v>
      </c>
      <c r="E218" s="20">
        <v>-5.623372E-13</v>
      </c>
      <c r="F218" s="19">
        <v>100</v>
      </c>
      <c r="G218" s="19">
        <v>1</v>
      </c>
      <c r="H218" s="16">
        <v>4</v>
      </c>
    </row>
    <row r="219" spans="1:8" x14ac:dyDescent="0.15">
      <c r="A219" s="19">
        <v>250.02322000000001</v>
      </c>
      <c r="B219" s="19">
        <v>89</v>
      </c>
      <c r="C219" s="19">
        <v>0.32932</v>
      </c>
      <c r="D219" s="19">
        <v>99.781809999999993</v>
      </c>
      <c r="E219" s="20">
        <v>-2.9476249999999999E-7</v>
      </c>
      <c r="F219" s="19">
        <v>100</v>
      </c>
      <c r="G219" s="19">
        <v>1</v>
      </c>
      <c r="H219" s="16">
        <v>4</v>
      </c>
    </row>
    <row r="220" spans="1:8" x14ac:dyDescent="0.15">
      <c r="A220" s="19">
        <v>250.02655999999999</v>
      </c>
      <c r="B220" s="19">
        <v>89.5</v>
      </c>
      <c r="C220" s="19">
        <v>0.33144000000000001</v>
      </c>
      <c r="D220" s="19">
        <v>99.776049999999998</v>
      </c>
      <c r="E220" s="19">
        <v>-0.15451000000000001</v>
      </c>
      <c r="F220" s="19">
        <v>100.15451</v>
      </c>
      <c r="G220" s="19">
        <v>1</v>
      </c>
      <c r="H220" s="16">
        <v>4</v>
      </c>
    </row>
    <row r="221" spans="1:8" x14ac:dyDescent="0.15">
      <c r="A221" s="19">
        <v>250.02995000000001</v>
      </c>
      <c r="B221" s="19">
        <v>90</v>
      </c>
      <c r="C221" s="19">
        <v>0.32976</v>
      </c>
      <c r="D221" s="19">
        <v>99.738510000000005</v>
      </c>
      <c r="E221" s="19">
        <v>20.000630000000001</v>
      </c>
      <c r="F221" s="19">
        <v>79.999369999999999</v>
      </c>
      <c r="G221" s="19">
        <v>1</v>
      </c>
      <c r="H221" s="16">
        <v>5</v>
      </c>
    </row>
    <row r="222" spans="1:8" x14ac:dyDescent="0.15">
      <c r="A222" s="19">
        <v>250.07247000000001</v>
      </c>
      <c r="B222" s="19">
        <v>90.5</v>
      </c>
      <c r="C222" s="19">
        <v>1.4252899999999999</v>
      </c>
      <c r="D222" s="19">
        <v>99.905969999999996</v>
      </c>
      <c r="E222" s="19">
        <v>20</v>
      </c>
      <c r="F222" s="19">
        <v>80</v>
      </c>
      <c r="G222" s="19">
        <v>1</v>
      </c>
      <c r="H222" s="16">
        <v>5</v>
      </c>
    </row>
    <row r="223" spans="1:8" x14ac:dyDescent="0.15">
      <c r="A223" s="19">
        <v>250.14171999999999</v>
      </c>
      <c r="B223" s="19">
        <v>91</v>
      </c>
      <c r="C223" s="19">
        <v>1.9795199999999999</v>
      </c>
      <c r="D223" s="19">
        <v>100.12372999999999</v>
      </c>
      <c r="E223" s="19">
        <v>20</v>
      </c>
      <c r="F223" s="19">
        <v>80</v>
      </c>
      <c r="G223" s="19">
        <v>1</v>
      </c>
      <c r="H223" s="16">
        <v>5</v>
      </c>
    </row>
    <row r="224" spans="1:8" x14ac:dyDescent="0.15">
      <c r="A224" s="19">
        <v>250.17527000000001</v>
      </c>
      <c r="B224" s="19">
        <v>91.5</v>
      </c>
      <c r="C224" s="19">
        <v>1.77275</v>
      </c>
      <c r="D224" s="19">
        <v>100.19843</v>
      </c>
      <c r="E224" s="19">
        <v>20</v>
      </c>
      <c r="F224" s="19">
        <v>80</v>
      </c>
      <c r="G224" s="19">
        <v>1</v>
      </c>
      <c r="H224" s="16">
        <v>5</v>
      </c>
    </row>
    <row r="225" spans="1:8" x14ac:dyDescent="0.15">
      <c r="A225" s="19">
        <v>250.16636</v>
      </c>
      <c r="B225" s="19">
        <v>92</v>
      </c>
      <c r="C225" s="19">
        <v>1.5606100000000001</v>
      </c>
      <c r="D225" s="19">
        <v>100.15464</v>
      </c>
      <c r="E225" s="19">
        <v>20</v>
      </c>
      <c r="F225" s="19">
        <v>80</v>
      </c>
      <c r="G225" s="19">
        <v>1</v>
      </c>
      <c r="H225" s="16">
        <v>5</v>
      </c>
    </row>
    <row r="226" spans="1:8" x14ac:dyDescent="0.15">
      <c r="A226" s="19">
        <v>250.13444999999999</v>
      </c>
      <c r="B226" s="19">
        <v>92.5</v>
      </c>
      <c r="C226" s="19">
        <v>1.41482</v>
      </c>
      <c r="D226" s="19">
        <v>100.26729</v>
      </c>
      <c r="E226" s="19">
        <v>20</v>
      </c>
      <c r="F226" s="19">
        <v>80</v>
      </c>
      <c r="G226" s="19">
        <v>1</v>
      </c>
      <c r="H226" s="16">
        <v>5</v>
      </c>
    </row>
    <row r="227" spans="1:8" x14ac:dyDescent="0.15">
      <c r="A227" s="19">
        <v>250.10865999999999</v>
      </c>
      <c r="B227" s="19">
        <v>93</v>
      </c>
      <c r="C227" s="19">
        <v>1.3165899999999999</v>
      </c>
      <c r="D227" s="19">
        <v>100.10890999999999</v>
      </c>
      <c r="E227" s="19">
        <v>20</v>
      </c>
      <c r="F227" s="19">
        <v>80</v>
      </c>
      <c r="G227" s="19">
        <v>1</v>
      </c>
      <c r="H227" s="16">
        <v>5</v>
      </c>
    </row>
    <row r="228" spans="1:8" x14ac:dyDescent="0.15">
      <c r="A228" s="19">
        <v>250.09214</v>
      </c>
      <c r="B228" s="19">
        <v>93.5</v>
      </c>
      <c r="C228" s="19">
        <v>1.24736</v>
      </c>
      <c r="D228" s="19">
        <v>100.14182</v>
      </c>
      <c r="E228" s="19">
        <v>20</v>
      </c>
      <c r="F228" s="19">
        <v>80</v>
      </c>
      <c r="G228" s="19">
        <v>1</v>
      </c>
      <c r="H228" s="16">
        <v>5</v>
      </c>
    </row>
    <row r="229" spans="1:8" x14ac:dyDescent="0.15">
      <c r="A229" s="19">
        <v>250.07830999999999</v>
      </c>
      <c r="B229" s="19">
        <v>94</v>
      </c>
      <c r="C229" s="19">
        <v>1.19092</v>
      </c>
      <c r="D229" s="19">
        <v>100.25499000000001</v>
      </c>
      <c r="E229" s="19">
        <v>20</v>
      </c>
      <c r="F229" s="19">
        <v>80</v>
      </c>
      <c r="G229" s="19">
        <v>1</v>
      </c>
      <c r="H229" s="16">
        <v>5</v>
      </c>
    </row>
    <row r="230" spans="1:8" x14ac:dyDescent="0.15">
      <c r="A230" s="19">
        <v>250.07071999999999</v>
      </c>
      <c r="B230" s="19">
        <v>94.5</v>
      </c>
      <c r="C230" s="19">
        <v>1.1434299999999999</v>
      </c>
      <c r="D230" s="19">
        <v>100.13798</v>
      </c>
      <c r="E230" s="19">
        <v>20</v>
      </c>
      <c r="F230" s="19">
        <v>80</v>
      </c>
      <c r="G230" s="19">
        <v>1</v>
      </c>
      <c r="H230" s="16">
        <v>5</v>
      </c>
    </row>
    <row r="231" spans="1:8" x14ac:dyDescent="0.15">
      <c r="A231" s="19">
        <v>250.05874</v>
      </c>
      <c r="B231" s="19">
        <v>95</v>
      </c>
      <c r="C231" s="19">
        <v>1.1061300000000001</v>
      </c>
      <c r="D231" s="19">
        <v>100.17148</v>
      </c>
      <c r="E231" s="19">
        <v>20</v>
      </c>
      <c r="F231" s="19">
        <v>80</v>
      </c>
      <c r="G231" s="19">
        <v>1</v>
      </c>
      <c r="H231" s="16">
        <v>5</v>
      </c>
    </row>
    <row r="232" spans="1:8" x14ac:dyDescent="0.15">
      <c r="A232" s="19">
        <v>250.04786999999999</v>
      </c>
      <c r="B232" s="19">
        <v>95.5</v>
      </c>
      <c r="C232" s="19">
        <v>1.0694900000000001</v>
      </c>
      <c r="D232" s="19">
        <v>100.15102</v>
      </c>
      <c r="E232" s="19">
        <v>20</v>
      </c>
      <c r="F232" s="19">
        <v>80</v>
      </c>
      <c r="G232" s="19">
        <v>1</v>
      </c>
      <c r="H232" s="16">
        <v>5</v>
      </c>
    </row>
    <row r="233" spans="1:8" x14ac:dyDescent="0.15">
      <c r="A233" s="19">
        <v>250.03592</v>
      </c>
      <c r="B233" s="19">
        <v>96</v>
      </c>
      <c r="C233" s="19">
        <v>1.0422</v>
      </c>
      <c r="D233" s="19">
        <v>100.0791</v>
      </c>
      <c r="E233" s="19">
        <v>20</v>
      </c>
      <c r="F233" s="19">
        <v>80</v>
      </c>
      <c r="G233" s="19">
        <v>1</v>
      </c>
      <c r="H233" s="16">
        <v>5</v>
      </c>
    </row>
    <row r="234" spans="1:8" x14ac:dyDescent="0.15">
      <c r="A234" s="19">
        <v>250.02594999999999</v>
      </c>
      <c r="B234" s="19">
        <v>96.5</v>
      </c>
      <c r="C234" s="19">
        <v>1.0164</v>
      </c>
      <c r="D234" s="19">
        <v>100.20910000000001</v>
      </c>
      <c r="E234" s="19">
        <v>20</v>
      </c>
      <c r="F234" s="19">
        <v>80</v>
      </c>
      <c r="G234" s="19">
        <v>1</v>
      </c>
      <c r="H234" s="16">
        <v>5</v>
      </c>
    </row>
    <row r="235" spans="1:8" x14ac:dyDescent="0.15">
      <c r="A235" s="19">
        <v>250.02296999999999</v>
      </c>
      <c r="B235" s="19">
        <v>97</v>
      </c>
      <c r="C235" s="19">
        <v>0.99522999999999995</v>
      </c>
      <c r="D235" s="19">
        <v>100.06921</v>
      </c>
      <c r="E235" s="19">
        <v>20</v>
      </c>
      <c r="F235" s="19">
        <v>80</v>
      </c>
      <c r="G235" s="19">
        <v>1</v>
      </c>
      <c r="H235" s="16">
        <v>5</v>
      </c>
    </row>
    <row r="236" spans="1:8" x14ac:dyDescent="0.15">
      <c r="A236" s="19">
        <v>250.01794000000001</v>
      </c>
      <c r="B236" s="19">
        <v>97.5</v>
      </c>
      <c r="C236" s="19">
        <v>0.97507999999999995</v>
      </c>
      <c r="D236" s="19">
        <v>100.11503</v>
      </c>
      <c r="E236" s="19">
        <v>20</v>
      </c>
      <c r="F236" s="19">
        <v>80</v>
      </c>
      <c r="G236" s="19">
        <v>1</v>
      </c>
      <c r="H236" s="16">
        <v>5</v>
      </c>
    </row>
    <row r="237" spans="1:8" x14ac:dyDescent="0.15">
      <c r="A237" s="19">
        <v>250.00979000000001</v>
      </c>
      <c r="B237" s="19">
        <v>98</v>
      </c>
      <c r="C237" s="19">
        <v>0.95648</v>
      </c>
      <c r="D237" s="19">
        <v>100.11665000000001</v>
      </c>
      <c r="E237" s="19">
        <v>20</v>
      </c>
      <c r="F237" s="19">
        <v>80</v>
      </c>
      <c r="G237" s="19">
        <v>1</v>
      </c>
      <c r="H237" s="16">
        <v>5</v>
      </c>
    </row>
    <row r="238" spans="1:8" x14ac:dyDescent="0.15">
      <c r="A238" s="19">
        <v>250.01222999999999</v>
      </c>
      <c r="B238" s="19">
        <v>98.5</v>
      </c>
      <c r="C238" s="19">
        <v>0.93872999999999995</v>
      </c>
      <c r="D238" s="19">
        <v>100.03751</v>
      </c>
      <c r="E238" s="19">
        <v>20</v>
      </c>
      <c r="F238" s="19">
        <v>80</v>
      </c>
      <c r="G238" s="19">
        <v>1</v>
      </c>
      <c r="H238" s="16">
        <v>5</v>
      </c>
    </row>
    <row r="239" spans="1:8" x14ac:dyDescent="0.15">
      <c r="A239" s="19">
        <v>250.01089999999999</v>
      </c>
      <c r="B239" s="19">
        <v>99</v>
      </c>
      <c r="C239" s="19">
        <v>0.92383999999999999</v>
      </c>
      <c r="D239" s="19">
        <v>100.12275</v>
      </c>
      <c r="E239" s="19">
        <v>20</v>
      </c>
      <c r="F239" s="19">
        <v>80</v>
      </c>
      <c r="G239" s="19">
        <v>1</v>
      </c>
      <c r="H239" s="16">
        <v>5</v>
      </c>
    </row>
    <row r="240" spans="1:8" x14ac:dyDescent="0.15">
      <c r="A240" s="19">
        <v>250.01214999999999</v>
      </c>
      <c r="B240" s="19">
        <v>99.5</v>
      </c>
      <c r="C240" s="19">
        <v>0.90873000000000004</v>
      </c>
      <c r="D240" s="19">
        <v>100.08249000000001</v>
      </c>
      <c r="E240" s="19">
        <v>20</v>
      </c>
      <c r="F240" s="19">
        <v>80</v>
      </c>
      <c r="G240" s="19">
        <v>1</v>
      </c>
      <c r="H240" s="16">
        <v>5</v>
      </c>
    </row>
    <row r="241" spans="1:8" x14ac:dyDescent="0.15">
      <c r="A241" s="19">
        <v>250.00521000000001</v>
      </c>
      <c r="B241" s="19">
        <v>100</v>
      </c>
      <c r="C241" s="19">
        <v>0.89427000000000001</v>
      </c>
      <c r="D241" s="19">
        <v>99.991519999999994</v>
      </c>
      <c r="E241" s="19">
        <v>20</v>
      </c>
      <c r="F241" s="19">
        <v>80</v>
      </c>
      <c r="G241" s="19">
        <v>1</v>
      </c>
      <c r="H241" s="16">
        <v>5</v>
      </c>
    </row>
    <row r="242" spans="1:8" x14ac:dyDescent="0.15">
      <c r="A242" s="19">
        <v>250.00295</v>
      </c>
      <c r="B242" s="19">
        <v>100.5</v>
      </c>
      <c r="C242" s="19">
        <v>0.88363999999999998</v>
      </c>
      <c r="D242" s="19">
        <v>100.05369</v>
      </c>
      <c r="E242" s="19">
        <v>20</v>
      </c>
      <c r="F242" s="19">
        <v>80</v>
      </c>
      <c r="G242" s="19">
        <v>1</v>
      </c>
      <c r="H242" s="16">
        <v>5</v>
      </c>
    </row>
    <row r="243" spans="1:8" x14ac:dyDescent="0.15">
      <c r="A243" s="19">
        <v>250.00106</v>
      </c>
      <c r="B243" s="19">
        <v>101</v>
      </c>
      <c r="C243" s="19">
        <v>0.87141000000000002</v>
      </c>
      <c r="D243" s="19">
        <v>100.01926</v>
      </c>
      <c r="E243" s="19">
        <v>20</v>
      </c>
      <c r="F243" s="19">
        <v>80</v>
      </c>
      <c r="G243" s="19">
        <v>1</v>
      </c>
      <c r="H243" s="16">
        <v>5</v>
      </c>
    </row>
    <row r="244" spans="1:8" x14ac:dyDescent="0.15">
      <c r="A244" s="19">
        <v>250.00067000000001</v>
      </c>
      <c r="B244" s="19">
        <v>101.5</v>
      </c>
      <c r="C244" s="19">
        <v>0.86070000000000002</v>
      </c>
      <c r="D244" s="19">
        <v>100.05103</v>
      </c>
      <c r="E244" s="19">
        <v>20</v>
      </c>
      <c r="F244" s="19">
        <v>80</v>
      </c>
      <c r="G244" s="19">
        <v>1</v>
      </c>
      <c r="H244" s="16">
        <v>5</v>
      </c>
    </row>
    <row r="245" spans="1:8" x14ac:dyDescent="0.15">
      <c r="A245" s="19">
        <v>250.00003000000001</v>
      </c>
      <c r="B245" s="19">
        <v>102</v>
      </c>
      <c r="C245" s="19">
        <v>0.85094999999999998</v>
      </c>
      <c r="D245" s="19">
        <v>99.880700000000004</v>
      </c>
      <c r="E245" s="19">
        <v>20</v>
      </c>
      <c r="F245" s="19">
        <v>80</v>
      </c>
      <c r="G245" s="19">
        <v>1</v>
      </c>
      <c r="H245" s="16">
        <v>5</v>
      </c>
    </row>
    <row r="246" spans="1:8" x14ac:dyDescent="0.15">
      <c r="A246" s="19">
        <v>249.99850000000001</v>
      </c>
      <c r="B246" s="19">
        <v>102.5</v>
      </c>
      <c r="C246" s="19">
        <v>0.84294999999999998</v>
      </c>
      <c r="D246" s="19">
        <v>99.968389999999999</v>
      </c>
      <c r="E246" s="19">
        <v>20</v>
      </c>
      <c r="F246" s="19">
        <v>80</v>
      </c>
      <c r="G246" s="19">
        <v>1</v>
      </c>
      <c r="H246" s="16">
        <v>5</v>
      </c>
    </row>
    <row r="247" spans="1:8" x14ac:dyDescent="0.15">
      <c r="A247" s="19">
        <v>250.00361000000001</v>
      </c>
      <c r="B247" s="19">
        <v>103</v>
      </c>
      <c r="C247" s="19">
        <v>0.83460000000000001</v>
      </c>
      <c r="D247" s="19">
        <v>99.920860000000005</v>
      </c>
      <c r="E247" s="19">
        <v>20</v>
      </c>
      <c r="F247" s="19">
        <v>80</v>
      </c>
      <c r="G247" s="19">
        <v>1</v>
      </c>
      <c r="H247" s="16">
        <v>5</v>
      </c>
    </row>
    <row r="248" spans="1:8" x14ac:dyDescent="0.15">
      <c r="A248" s="19">
        <v>250.00814</v>
      </c>
      <c r="B248" s="19">
        <v>103.5</v>
      </c>
      <c r="C248" s="19">
        <v>0.82450999999999997</v>
      </c>
      <c r="D248" s="19">
        <v>99.922830000000005</v>
      </c>
      <c r="E248" s="19">
        <v>20</v>
      </c>
      <c r="F248" s="19">
        <v>80</v>
      </c>
      <c r="G248" s="19">
        <v>1</v>
      </c>
      <c r="H248" s="16">
        <v>5</v>
      </c>
    </row>
    <row r="249" spans="1:8" x14ac:dyDescent="0.15">
      <c r="A249" s="19">
        <v>250.00530000000001</v>
      </c>
      <c r="B249" s="19">
        <v>104</v>
      </c>
      <c r="C249" s="19">
        <v>0.81549000000000005</v>
      </c>
      <c r="D249" s="19">
        <v>99.962909999999994</v>
      </c>
      <c r="E249" s="19">
        <v>20</v>
      </c>
      <c r="F249" s="19">
        <v>80</v>
      </c>
      <c r="G249" s="19">
        <v>1</v>
      </c>
      <c r="H249" s="16">
        <v>5</v>
      </c>
    </row>
    <row r="250" spans="1:8" x14ac:dyDescent="0.15">
      <c r="A250" s="19">
        <v>249.99921000000001</v>
      </c>
      <c r="B250" s="19">
        <v>104.5</v>
      </c>
      <c r="C250" s="19">
        <v>0.80806</v>
      </c>
      <c r="D250" s="19">
        <v>99.896860000000004</v>
      </c>
      <c r="E250" s="19">
        <v>20</v>
      </c>
      <c r="F250" s="19">
        <v>80</v>
      </c>
      <c r="G250" s="19">
        <v>1</v>
      </c>
      <c r="H250" s="16">
        <v>5</v>
      </c>
    </row>
    <row r="251" spans="1:8" x14ac:dyDescent="0.15">
      <c r="A251" s="19">
        <v>249.99790999999999</v>
      </c>
      <c r="B251" s="19">
        <v>105</v>
      </c>
      <c r="C251" s="19">
        <v>0.80037999999999998</v>
      </c>
      <c r="D251" s="19">
        <v>99.952960000000004</v>
      </c>
      <c r="E251" s="19">
        <v>20</v>
      </c>
      <c r="F251" s="19">
        <v>80</v>
      </c>
      <c r="G251" s="19">
        <v>1</v>
      </c>
      <c r="H251" s="16">
        <v>5</v>
      </c>
    </row>
    <row r="252" spans="1:8" x14ac:dyDescent="0.15">
      <c r="A252" s="19">
        <v>249.99923999999999</v>
      </c>
      <c r="B252" s="19">
        <v>105.5</v>
      </c>
      <c r="C252" s="19">
        <v>0.79391999999999996</v>
      </c>
      <c r="D252" s="19">
        <v>99.868920000000003</v>
      </c>
      <c r="E252" s="19">
        <v>20</v>
      </c>
      <c r="F252" s="19">
        <v>80</v>
      </c>
      <c r="G252" s="19">
        <v>1</v>
      </c>
      <c r="H252" s="16">
        <v>5</v>
      </c>
    </row>
    <row r="253" spans="1:8" x14ac:dyDescent="0.15">
      <c r="A253" s="19">
        <v>250.00264999999999</v>
      </c>
      <c r="B253" s="19">
        <v>106</v>
      </c>
      <c r="C253" s="19">
        <v>0.78825000000000001</v>
      </c>
      <c r="D253" s="19">
        <v>99.868700000000004</v>
      </c>
      <c r="E253" s="19">
        <v>20</v>
      </c>
      <c r="F253" s="19">
        <v>80</v>
      </c>
      <c r="G253" s="19">
        <v>1</v>
      </c>
      <c r="H253" s="16">
        <v>5</v>
      </c>
    </row>
    <row r="254" spans="1:8" x14ac:dyDescent="0.15">
      <c r="A254" s="19">
        <v>250.00622999999999</v>
      </c>
      <c r="B254" s="19">
        <v>106.5</v>
      </c>
      <c r="C254" s="19">
        <v>0.78197000000000005</v>
      </c>
      <c r="D254" s="19">
        <v>99.887200000000007</v>
      </c>
      <c r="E254" s="19">
        <v>20</v>
      </c>
      <c r="F254" s="19">
        <v>80</v>
      </c>
      <c r="G254" s="19">
        <v>1</v>
      </c>
      <c r="H254" s="16">
        <v>5</v>
      </c>
    </row>
    <row r="255" spans="1:8" x14ac:dyDescent="0.15">
      <c r="A255" s="19">
        <v>250.00339</v>
      </c>
      <c r="B255" s="19">
        <v>107</v>
      </c>
      <c r="C255" s="19">
        <v>0.77456999999999998</v>
      </c>
      <c r="D255" s="19">
        <v>99.826070000000001</v>
      </c>
      <c r="E255" s="19">
        <v>20</v>
      </c>
      <c r="F255" s="19">
        <v>80</v>
      </c>
      <c r="G255" s="19">
        <v>1</v>
      </c>
      <c r="H255" s="16">
        <v>5</v>
      </c>
    </row>
    <row r="256" spans="1:8" x14ac:dyDescent="0.15">
      <c r="A256" s="19">
        <v>250.00538</v>
      </c>
      <c r="B256" s="19">
        <v>107.5</v>
      </c>
      <c r="C256" s="19">
        <v>0.76919999999999999</v>
      </c>
      <c r="D256" s="19">
        <v>99.835750000000004</v>
      </c>
      <c r="E256" s="19">
        <v>20</v>
      </c>
      <c r="F256" s="19">
        <v>80</v>
      </c>
      <c r="G256" s="19">
        <v>1</v>
      </c>
      <c r="H256" s="16">
        <v>5</v>
      </c>
    </row>
    <row r="257" spans="1:8" x14ac:dyDescent="0.15">
      <c r="A257" s="19">
        <v>250.00948</v>
      </c>
      <c r="B257" s="19">
        <v>108</v>
      </c>
      <c r="C257" s="19">
        <v>0.76244999999999996</v>
      </c>
      <c r="D257" s="19">
        <v>99.88946</v>
      </c>
      <c r="E257" s="19">
        <v>20</v>
      </c>
      <c r="F257" s="19">
        <v>80</v>
      </c>
      <c r="G257" s="19">
        <v>1</v>
      </c>
      <c r="H257" s="16">
        <v>5</v>
      </c>
    </row>
    <row r="258" spans="1:8" x14ac:dyDescent="0.15">
      <c r="A258" s="19">
        <v>250.00637</v>
      </c>
      <c r="B258" s="19">
        <v>108.5</v>
      </c>
      <c r="C258" s="19">
        <v>0.75619000000000003</v>
      </c>
      <c r="D258" s="19">
        <v>99.793459999999996</v>
      </c>
      <c r="E258" s="19">
        <v>20</v>
      </c>
      <c r="F258" s="19">
        <v>80</v>
      </c>
      <c r="G258" s="19">
        <v>1</v>
      </c>
      <c r="H258" s="16">
        <v>5</v>
      </c>
    </row>
    <row r="259" spans="1:8" x14ac:dyDescent="0.15">
      <c r="A259" s="19">
        <v>250.00560999999999</v>
      </c>
      <c r="B259" s="19">
        <v>109</v>
      </c>
      <c r="C259" s="19">
        <v>0.74978</v>
      </c>
      <c r="D259" s="19">
        <v>99.818169999999995</v>
      </c>
      <c r="E259" s="19">
        <v>20</v>
      </c>
      <c r="F259" s="19">
        <v>80</v>
      </c>
      <c r="G259" s="19">
        <v>1</v>
      </c>
      <c r="H259" s="16">
        <v>5</v>
      </c>
    </row>
    <row r="260" spans="1:8" x14ac:dyDescent="0.15">
      <c r="A260" s="19">
        <v>250.00101000000001</v>
      </c>
      <c r="B260" s="19">
        <v>109.5</v>
      </c>
      <c r="C260" s="19">
        <v>0.74553000000000003</v>
      </c>
      <c r="D260" s="19">
        <v>99.744299999999996</v>
      </c>
      <c r="E260" s="19">
        <v>20</v>
      </c>
      <c r="F260" s="19">
        <v>80</v>
      </c>
      <c r="G260" s="19">
        <v>1</v>
      </c>
      <c r="H260" s="16">
        <v>5</v>
      </c>
    </row>
    <row r="261" spans="1:8" x14ac:dyDescent="0.15">
      <c r="A261" s="19">
        <v>250.00396000000001</v>
      </c>
      <c r="B261" s="19">
        <v>110</v>
      </c>
      <c r="C261" s="19">
        <v>0.74267000000000005</v>
      </c>
      <c r="D261" s="19">
        <v>99.797269999999997</v>
      </c>
      <c r="E261" s="19">
        <v>20</v>
      </c>
      <c r="F261" s="19">
        <v>80</v>
      </c>
      <c r="G261" s="19">
        <v>1</v>
      </c>
      <c r="H261" s="16">
        <v>5</v>
      </c>
    </row>
    <row r="262" spans="1:8" x14ac:dyDescent="0.15">
      <c r="A262" s="19">
        <v>250.00226000000001</v>
      </c>
      <c r="B262" s="19">
        <v>110.5</v>
      </c>
      <c r="C262" s="19">
        <v>0.73695999999999995</v>
      </c>
      <c r="D262" s="19">
        <v>99.643439999999998</v>
      </c>
      <c r="E262" s="19">
        <v>20</v>
      </c>
      <c r="F262" s="19">
        <v>80</v>
      </c>
      <c r="G262" s="19">
        <v>1</v>
      </c>
      <c r="H262" s="16">
        <v>5</v>
      </c>
    </row>
    <row r="263" spans="1:8" x14ac:dyDescent="0.15">
      <c r="A263" s="19">
        <v>250.00264999999999</v>
      </c>
      <c r="B263" s="19">
        <v>111</v>
      </c>
      <c r="C263" s="19">
        <v>0.73258999999999996</v>
      </c>
      <c r="D263" s="19">
        <v>99.741780000000006</v>
      </c>
      <c r="E263" s="19">
        <v>20</v>
      </c>
      <c r="F263" s="19">
        <v>80</v>
      </c>
      <c r="G263" s="19">
        <v>1</v>
      </c>
      <c r="H263" s="16">
        <v>5</v>
      </c>
    </row>
    <row r="264" spans="1:8" x14ac:dyDescent="0.15">
      <c r="A264" s="19">
        <v>250.00683000000001</v>
      </c>
      <c r="B264" s="19">
        <v>111.5</v>
      </c>
      <c r="C264" s="19">
        <v>0.72755000000000003</v>
      </c>
      <c r="D264" s="19">
        <v>99.591480000000004</v>
      </c>
      <c r="E264" s="19">
        <v>20</v>
      </c>
      <c r="F264" s="19">
        <v>80</v>
      </c>
      <c r="G264" s="19">
        <v>1</v>
      </c>
      <c r="H264" s="16">
        <v>5</v>
      </c>
    </row>
    <row r="265" spans="1:8" x14ac:dyDescent="0.15">
      <c r="A265" s="19">
        <v>250.00819000000001</v>
      </c>
      <c r="B265" s="19">
        <v>112</v>
      </c>
      <c r="C265" s="19">
        <v>0.72348000000000001</v>
      </c>
      <c r="D265" s="19">
        <v>99.690190000000001</v>
      </c>
      <c r="E265" s="19">
        <v>20</v>
      </c>
      <c r="F265" s="19">
        <v>80</v>
      </c>
      <c r="G265" s="19">
        <v>1</v>
      </c>
      <c r="H265" s="16">
        <v>5</v>
      </c>
    </row>
    <row r="266" spans="1:8" x14ac:dyDescent="0.15">
      <c r="A266" s="19">
        <v>250.01192</v>
      </c>
      <c r="B266" s="19">
        <v>112.5</v>
      </c>
      <c r="C266" s="19">
        <v>0.71901999999999999</v>
      </c>
      <c r="D266" s="19">
        <v>99.668340000000001</v>
      </c>
      <c r="E266" s="19">
        <v>20</v>
      </c>
      <c r="F266" s="19">
        <v>80</v>
      </c>
      <c r="G266" s="19">
        <v>1</v>
      </c>
      <c r="H266" s="16">
        <v>5</v>
      </c>
    </row>
    <row r="267" spans="1:8" x14ac:dyDescent="0.15">
      <c r="A267" s="19">
        <v>250.01358999999999</v>
      </c>
      <c r="B267" s="19">
        <v>113</v>
      </c>
      <c r="C267" s="19">
        <v>0.71414999999999995</v>
      </c>
      <c r="D267" s="19">
        <v>99.673649999999995</v>
      </c>
      <c r="E267" s="19">
        <v>20</v>
      </c>
      <c r="F267" s="19">
        <v>80</v>
      </c>
      <c r="G267" s="19">
        <v>1</v>
      </c>
      <c r="H267" s="16">
        <v>5</v>
      </c>
    </row>
    <row r="268" spans="1:8" x14ac:dyDescent="0.15">
      <c r="A268" s="19">
        <v>250.01488000000001</v>
      </c>
      <c r="B268" s="19">
        <v>113.5</v>
      </c>
      <c r="C268" s="19">
        <v>0.70914999999999995</v>
      </c>
      <c r="D268" s="19">
        <v>99.654110000000003</v>
      </c>
      <c r="E268" s="19">
        <v>20</v>
      </c>
      <c r="F268" s="19">
        <v>80</v>
      </c>
      <c r="G268" s="19">
        <v>1</v>
      </c>
      <c r="H268" s="16">
        <v>5</v>
      </c>
    </row>
    <row r="269" spans="1:8" x14ac:dyDescent="0.15">
      <c r="A269" s="19">
        <v>250.01315</v>
      </c>
      <c r="B269" s="19">
        <v>114</v>
      </c>
      <c r="C269" s="19">
        <v>0.70482</v>
      </c>
      <c r="D269" s="19">
        <v>99.628550000000004</v>
      </c>
      <c r="E269" s="19">
        <v>20</v>
      </c>
      <c r="F269" s="19">
        <v>80</v>
      </c>
      <c r="G269" s="19">
        <v>1</v>
      </c>
      <c r="H269" s="16">
        <v>5</v>
      </c>
    </row>
    <row r="270" spans="1:8" x14ac:dyDescent="0.15">
      <c r="A270" s="19">
        <v>250.01102</v>
      </c>
      <c r="B270" s="19">
        <v>114.5</v>
      </c>
      <c r="C270" s="19">
        <v>0.70191000000000003</v>
      </c>
      <c r="D270" s="19">
        <v>99.535420000000002</v>
      </c>
      <c r="E270" s="19">
        <v>20</v>
      </c>
      <c r="F270" s="19">
        <v>80</v>
      </c>
      <c r="G270" s="19">
        <v>1</v>
      </c>
      <c r="H270" s="16">
        <v>5</v>
      </c>
    </row>
    <row r="271" spans="1:8" x14ac:dyDescent="0.15">
      <c r="A271" s="19">
        <v>250.00921</v>
      </c>
      <c r="B271" s="19">
        <v>115</v>
      </c>
      <c r="C271" s="19">
        <v>0.69894999999999996</v>
      </c>
      <c r="D271" s="19">
        <v>99.492900000000006</v>
      </c>
      <c r="E271" s="19">
        <v>20</v>
      </c>
      <c r="F271" s="19">
        <v>80</v>
      </c>
      <c r="G271" s="19">
        <v>1</v>
      </c>
      <c r="H271" s="16">
        <v>5</v>
      </c>
    </row>
    <row r="272" spans="1:8" x14ac:dyDescent="0.15">
      <c r="A272" s="19">
        <v>250.01255</v>
      </c>
      <c r="B272" s="19">
        <v>115.5</v>
      </c>
      <c r="C272" s="19">
        <v>0.69494</v>
      </c>
      <c r="D272" s="19">
        <v>99.503739999999993</v>
      </c>
      <c r="E272" s="19">
        <v>20</v>
      </c>
      <c r="F272" s="19">
        <v>80</v>
      </c>
      <c r="G272" s="19">
        <v>1</v>
      </c>
      <c r="H272" s="16">
        <v>5</v>
      </c>
    </row>
    <row r="273" spans="1:8" x14ac:dyDescent="0.15">
      <c r="A273" s="19">
        <v>250.01014000000001</v>
      </c>
      <c r="B273" s="19">
        <v>116</v>
      </c>
      <c r="C273" s="19">
        <v>0.69244000000000006</v>
      </c>
      <c r="D273" s="19">
        <v>99.477119999999999</v>
      </c>
      <c r="E273" s="19">
        <v>20</v>
      </c>
      <c r="F273" s="19">
        <v>80</v>
      </c>
      <c r="G273" s="19">
        <v>1</v>
      </c>
      <c r="H273" s="16">
        <v>5</v>
      </c>
    </row>
    <row r="274" spans="1:8" x14ac:dyDescent="0.15">
      <c r="A274" s="19">
        <v>250.00550999999999</v>
      </c>
      <c r="B274" s="19">
        <v>116.5</v>
      </c>
      <c r="C274" s="19">
        <v>0.68733</v>
      </c>
      <c r="D274" s="19">
        <v>99.54495</v>
      </c>
      <c r="E274" s="19">
        <v>20</v>
      </c>
      <c r="F274" s="19">
        <v>80</v>
      </c>
      <c r="G274" s="19">
        <v>1</v>
      </c>
      <c r="H274" s="16">
        <v>5</v>
      </c>
    </row>
    <row r="275" spans="1:8" x14ac:dyDescent="0.15">
      <c r="A275" s="19">
        <v>250.00757999999999</v>
      </c>
      <c r="B275" s="19">
        <v>117</v>
      </c>
      <c r="C275" s="19">
        <v>0.68535000000000001</v>
      </c>
      <c r="D275" s="19">
        <v>99.484070000000003</v>
      </c>
      <c r="E275" s="19">
        <v>20</v>
      </c>
      <c r="F275" s="19">
        <v>80</v>
      </c>
      <c r="G275" s="19">
        <v>1</v>
      </c>
      <c r="H275" s="16">
        <v>5</v>
      </c>
    </row>
    <row r="276" spans="1:8" x14ac:dyDescent="0.15">
      <c r="A276" s="19">
        <v>250.01309000000001</v>
      </c>
      <c r="B276" s="19">
        <v>117.5</v>
      </c>
      <c r="C276" s="19">
        <v>0.68188000000000004</v>
      </c>
      <c r="D276" s="19">
        <v>99.415940000000006</v>
      </c>
      <c r="E276" s="19">
        <v>20</v>
      </c>
      <c r="F276" s="19">
        <v>80</v>
      </c>
      <c r="G276" s="19">
        <v>1</v>
      </c>
      <c r="H276" s="16">
        <v>5</v>
      </c>
    </row>
    <row r="277" spans="1:8" x14ac:dyDescent="0.15">
      <c r="A277" s="19">
        <v>250.01600999999999</v>
      </c>
      <c r="B277" s="19">
        <v>118</v>
      </c>
      <c r="C277" s="19">
        <v>0.67869000000000002</v>
      </c>
      <c r="D277" s="19">
        <v>99.466189999999997</v>
      </c>
      <c r="E277" s="19">
        <v>20</v>
      </c>
      <c r="F277" s="19">
        <v>80</v>
      </c>
      <c r="G277" s="19">
        <v>1</v>
      </c>
      <c r="H277" s="16">
        <v>5</v>
      </c>
    </row>
    <row r="278" spans="1:8" x14ac:dyDescent="0.15">
      <c r="A278" s="19">
        <v>250.01659000000001</v>
      </c>
      <c r="B278" s="19">
        <v>118.5</v>
      </c>
      <c r="C278" s="19">
        <v>0.67466999999999999</v>
      </c>
      <c r="D278" s="19">
        <v>99.467969999999994</v>
      </c>
      <c r="E278" s="19">
        <v>20</v>
      </c>
      <c r="F278" s="19">
        <v>80</v>
      </c>
      <c r="G278" s="19">
        <v>1</v>
      </c>
      <c r="H278" s="16">
        <v>5</v>
      </c>
    </row>
    <row r="279" spans="1:8" x14ac:dyDescent="0.15">
      <c r="A279" s="19">
        <v>250.01618999999999</v>
      </c>
      <c r="B279" s="19">
        <v>119</v>
      </c>
      <c r="C279" s="19">
        <v>0.67159000000000002</v>
      </c>
      <c r="D279" s="19">
        <v>99.411799999999999</v>
      </c>
      <c r="E279" s="19">
        <v>20</v>
      </c>
      <c r="F279" s="19">
        <v>80</v>
      </c>
      <c r="G279" s="19">
        <v>1</v>
      </c>
      <c r="H279" s="16">
        <v>5</v>
      </c>
    </row>
    <row r="280" spans="1:8" x14ac:dyDescent="0.15">
      <c r="A280" s="19">
        <v>250.01452</v>
      </c>
      <c r="B280" s="19">
        <v>119.5</v>
      </c>
      <c r="C280" s="19">
        <v>0.67044999999999999</v>
      </c>
      <c r="D280" s="19">
        <v>99.33972</v>
      </c>
      <c r="E280" s="19">
        <v>20</v>
      </c>
      <c r="F280" s="19">
        <v>80</v>
      </c>
      <c r="G280" s="19">
        <v>1</v>
      </c>
      <c r="H280" s="16">
        <v>5</v>
      </c>
    </row>
    <row r="281" spans="1:8" x14ac:dyDescent="0.15">
      <c r="A281" s="19">
        <v>250.01414</v>
      </c>
      <c r="B281" s="19">
        <v>120</v>
      </c>
      <c r="C281" s="19">
        <v>0.66708999999999996</v>
      </c>
      <c r="D281" s="19">
        <v>99.337999999999994</v>
      </c>
      <c r="E281" s="19">
        <v>20</v>
      </c>
      <c r="F281" s="19">
        <v>80</v>
      </c>
      <c r="G281" s="19">
        <v>1</v>
      </c>
      <c r="H281" s="16">
        <v>5</v>
      </c>
    </row>
    <row r="282" spans="1:8" x14ac:dyDescent="0.15">
      <c r="A282" s="19">
        <v>250.01590999999999</v>
      </c>
      <c r="B282" s="19">
        <v>120.5</v>
      </c>
      <c r="C282" s="19">
        <v>0.66398999999999997</v>
      </c>
      <c r="D282" s="19">
        <v>99.371470000000002</v>
      </c>
      <c r="E282" s="19">
        <v>20</v>
      </c>
      <c r="F282" s="19">
        <v>80</v>
      </c>
      <c r="G282" s="19">
        <v>1</v>
      </c>
      <c r="H282" s="16">
        <v>5</v>
      </c>
    </row>
    <row r="283" spans="1:8" x14ac:dyDescent="0.15">
      <c r="A283" s="19">
        <v>250.01845</v>
      </c>
      <c r="B283" s="19">
        <v>121</v>
      </c>
      <c r="C283" s="19">
        <v>0.66173000000000004</v>
      </c>
      <c r="D283" s="19">
        <v>99.343459999999993</v>
      </c>
      <c r="E283" s="19">
        <v>20</v>
      </c>
      <c r="F283" s="19">
        <v>80</v>
      </c>
      <c r="G283" s="19">
        <v>1</v>
      </c>
      <c r="H283" s="16">
        <v>5</v>
      </c>
    </row>
    <row r="284" spans="1:8" x14ac:dyDescent="0.15">
      <c r="A284" s="19">
        <v>250.01889</v>
      </c>
      <c r="B284" s="19">
        <v>121.5</v>
      </c>
      <c r="C284" s="19">
        <v>0.6583</v>
      </c>
      <c r="D284" s="19">
        <v>99.359110000000001</v>
      </c>
      <c r="E284" s="19">
        <v>20</v>
      </c>
      <c r="F284" s="19">
        <v>80</v>
      </c>
      <c r="G284" s="19">
        <v>1</v>
      </c>
      <c r="H284" s="16">
        <v>5</v>
      </c>
    </row>
    <row r="285" spans="1:8" x14ac:dyDescent="0.15">
      <c r="A285" s="19">
        <v>250.01692</v>
      </c>
      <c r="B285" s="19">
        <v>122</v>
      </c>
      <c r="C285" s="19">
        <v>0.65725</v>
      </c>
      <c r="D285" s="19">
        <v>99.325909999999993</v>
      </c>
      <c r="E285" s="19">
        <v>20</v>
      </c>
      <c r="F285" s="19">
        <v>80</v>
      </c>
      <c r="G285" s="19">
        <v>1</v>
      </c>
      <c r="H285" s="16">
        <v>5</v>
      </c>
    </row>
    <row r="286" spans="1:8" x14ac:dyDescent="0.15">
      <c r="A286" s="19">
        <v>250.01599999999999</v>
      </c>
      <c r="B286" s="19">
        <v>122.5</v>
      </c>
      <c r="C286" s="19">
        <v>0.65427999999999997</v>
      </c>
      <c r="D286" s="19">
        <v>99.328569999999999</v>
      </c>
      <c r="E286" s="19">
        <v>20</v>
      </c>
      <c r="F286" s="19">
        <v>80</v>
      </c>
      <c r="G286" s="19">
        <v>1</v>
      </c>
      <c r="H286" s="16">
        <v>5</v>
      </c>
    </row>
    <row r="287" spans="1:8" x14ac:dyDescent="0.15">
      <c r="A287" s="19">
        <v>250.01434</v>
      </c>
      <c r="B287" s="19">
        <v>123</v>
      </c>
      <c r="C287" s="19">
        <v>0.65081999999999995</v>
      </c>
      <c r="D287" s="19">
        <v>99.347080000000005</v>
      </c>
      <c r="E287" s="19">
        <v>20</v>
      </c>
      <c r="F287" s="19">
        <v>80</v>
      </c>
      <c r="G287" s="19">
        <v>1</v>
      </c>
      <c r="H287" s="16">
        <v>5</v>
      </c>
    </row>
    <row r="288" spans="1:8" x14ac:dyDescent="0.15">
      <c r="A288" s="19">
        <v>250.01167000000001</v>
      </c>
      <c r="B288" s="19">
        <v>123.5</v>
      </c>
      <c r="C288" s="19">
        <v>0.64790000000000003</v>
      </c>
      <c r="D288" s="19">
        <v>99.30395</v>
      </c>
      <c r="E288" s="19">
        <v>20</v>
      </c>
      <c r="F288" s="19">
        <v>80</v>
      </c>
      <c r="G288" s="19">
        <v>1</v>
      </c>
      <c r="H288" s="16">
        <v>5</v>
      </c>
    </row>
    <row r="289" spans="1:8" x14ac:dyDescent="0.15">
      <c r="A289" s="19">
        <v>250.00961000000001</v>
      </c>
      <c r="B289" s="19">
        <v>124</v>
      </c>
      <c r="C289" s="19">
        <v>0.64603999999999995</v>
      </c>
      <c r="D289" s="19">
        <v>99.258309999999994</v>
      </c>
      <c r="E289" s="19">
        <v>20</v>
      </c>
      <c r="F289" s="19">
        <v>80</v>
      </c>
      <c r="G289" s="19">
        <v>1</v>
      </c>
      <c r="H289" s="16">
        <v>5</v>
      </c>
    </row>
    <row r="290" spans="1:8" x14ac:dyDescent="0.15">
      <c r="A290" s="19">
        <v>250.01141999999999</v>
      </c>
      <c r="B290" s="19">
        <v>124.5</v>
      </c>
      <c r="C290" s="19">
        <v>0.64534999999999998</v>
      </c>
      <c r="D290" s="19">
        <v>99.252470000000002</v>
      </c>
      <c r="E290" s="19">
        <v>20</v>
      </c>
      <c r="F290" s="19">
        <v>80</v>
      </c>
      <c r="G290" s="19">
        <v>1</v>
      </c>
      <c r="H290" s="16">
        <v>5</v>
      </c>
    </row>
    <row r="291" spans="1:8" x14ac:dyDescent="0.15">
      <c r="A291" s="19">
        <v>250.01589999999999</v>
      </c>
      <c r="B291" s="19">
        <v>125</v>
      </c>
      <c r="C291" s="19">
        <v>0.64234000000000002</v>
      </c>
      <c r="D291" s="19">
        <v>99.326149999999998</v>
      </c>
      <c r="E291" s="19">
        <v>20</v>
      </c>
      <c r="F291" s="19">
        <v>80</v>
      </c>
      <c r="G291" s="19">
        <v>1</v>
      </c>
      <c r="H291" s="16">
        <v>5</v>
      </c>
    </row>
    <row r="292" spans="1:8" x14ac:dyDescent="0.15">
      <c r="A292" s="19">
        <v>250.01595</v>
      </c>
      <c r="B292" s="19">
        <v>125.5</v>
      </c>
      <c r="C292" s="19">
        <v>0.63987000000000005</v>
      </c>
      <c r="D292" s="19">
        <v>99.273510000000002</v>
      </c>
      <c r="E292" s="19">
        <v>20</v>
      </c>
      <c r="F292" s="19">
        <v>80</v>
      </c>
      <c r="G292" s="19">
        <v>1</v>
      </c>
      <c r="H292" s="16">
        <v>5</v>
      </c>
    </row>
    <row r="293" spans="1:8" x14ac:dyDescent="0.15">
      <c r="A293" s="19">
        <v>250.01709</v>
      </c>
      <c r="B293" s="19">
        <v>126</v>
      </c>
      <c r="C293" s="19">
        <v>0.63722999999999996</v>
      </c>
      <c r="D293" s="19">
        <v>99.212119999999999</v>
      </c>
      <c r="E293" s="19">
        <v>20</v>
      </c>
      <c r="F293" s="19">
        <v>80</v>
      </c>
      <c r="G293" s="19">
        <v>1</v>
      </c>
      <c r="H293" s="16">
        <v>5</v>
      </c>
    </row>
    <row r="294" spans="1:8" x14ac:dyDescent="0.15">
      <c r="A294" s="19">
        <v>250.01804000000001</v>
      </c>
      <c r="B294" s="19">
        <v>126.5</v>
      </c>
      <c r="C294" s="19">
        <v>0.63388999999999995</v>
      </c>
      <c r="D294" s="19">
        <v>99.255340000000004</v>
      </c>
      <c r="E294" s="19">
        <v>20</v>
      </c>
      <c r="F294" s="19">
        <v>80</v>
      </c>
      <c r="G294" s="19">
        <v>1</v>
      </c>
      <c r="H294" s="16">
        <v>5</v>
      </c>
    </row>
    <row r="295" spans="1:8" x14ac:dyDescent="0.15">
      <c r="A295" s="19">
        <v>250.01822999999999</v>
      </c>
      <c r="B295" s="19">
        <v>127</v>
      </c>
      <c r="C295" s="19">
        <v>0.63238000000000005</v>
      </c>
      <c r="D295" s="19">
        <v>99.21163</v>
      </c>
      <c r="E295" s="19">
        <v>20</v>
      </c>
      <c r="F295" s="19">
        <v>80</v>
      </c>
      <c r="G295" s="19">
        <v>1</v>
      </c>
      <c r="H295" s="16">
        <v>5</v>
      </c>
    </row>
    <row r="296" spans="1:8" x14ac:dyDescent="0.15">
      <c r="A296" s="19">
        <v>250.01783</v>
      </c>
      <c r="B296" s="19">
        <v>127.5</v>
      </c>
      <c r="C296" s="19">
        <v>0.62987000000000004</v>
      </c>
      <c r="D296" s="19">
        <v>99.257180000000005</v>
      </c>
      <c r="E296" s="19">
        <v>20</v>
      </c>
      <c r="F296" s="19">
        <v>80</v>
      </c>
      <c r="G296" s="19">
        <v>1</v>
      </c>
      <c r="H296" s="16">
        <v>5</v>
      </c>
    </row>
    <row r="297" spans="1:8" x14ac:dyDescent="0.15">
      <c r="A297" s="19">
        <v>250.01536999999999</v>
      </c>
      <c r="B297" s="19">
        <v>128</v>
      </c>
      <c r="C297" s="19">
        <v>0.62809999999999999</v>
      </c>
      <c r="D297" s="19">
        <v>99.010490000000004</v>
      </c>
      <c r="E297" s="19">
        <v>20</v>
      </c>
      <c r="F297" s="19">
        <v>80</v>
      </c>
      <c r="G297" s="19">
        <v>1</v>
      </c>
      <c r="H297" s="16">
        <v>5</v>
      </c>
    </row>
    <row r="298" spans="1:8" x14ac:dyDescent="0.15">
      <c r="A298" s="19">
        <v>250.0112</v>
      </c>
      <c r="B298" s="19">
        <v>128.5</v>
      </c>
      <c r="C298" s="19">
        <v>0.62524999999999997</v>
      </c>
      <c r="D298" s="19">
        <v>99.045000000000002</v>
      </c>
      <c r="E298" s="19">
        <v>20</v>
      </c>
      <c r="F298" s="19">
        <v>80</v>
      </c>
      <c r="G298" s="19">
        <v>1</v>
      </c>
      <c r="H298" s="16">
        <v>5</v>
      </c>
    </row>
    <row r="299" spans="1:8" x14ac:dyDescent="0.15">
      <c r="A299" s="19">
        <v>250.01107999999999</v>
      </c>
      <c r="B299" s="19">
        <v>129</v>
      </c>
      <c r="C299" s="19">
        <v>0.62363000000000002</v>
      </c>
      <c r="D299" s="19">
        <v>99.128309999999999</v>
      </c>
      <c r="E299" s="19">
        <v>20</v>
      </c>
      <c r="F299" s="19">
        <v>80</v>
      </c>
      <c r="G299" s="19">
        <v>1</v>
      </c>
      <c r="H299" s="16">
        <v>5</v>
      </c>
    </row>
    <row r="300" spans="1:8" x14ac:dyDescent="0.15">
      <c r="A300" s="19">
        <v>250.01183</v>
      </c>
      <c r="B300" s="19">
        <v>129.5</v>
      </c>
      <c r="C300" s="19">
        <v>0.62429999999999997</v>
      </c>
      <c r="D300" s="19">
        <v>99.044039999999995</v>
      </c>
      <c r="E300" s="19">
        <v>20</v>
      </c>
      <c r="F300" s="19">
        <v>80</v>
      </c>
      <c r="G300" s="19">
        <v>1</v>
      </c>
      <c r="H300" s="16">
        <v>5</v>
      </c>
    </row>
    <row r="301" spans="1:8" x14ac:dyDescent="0.15">
      <c r="A301" s="19">
        <v>250.01156</v>
      </c>
      <c r="B301" s="19">
        <v>130</v>
      </c>
      <c r="C301" s="19">
        <v>0.62287999999999999</v>
      </c>
      <c r="D301" s="19">
        <v>98.990830000000003</v>
      </c>
      <c r="E301" s="19">
        <v>20</v>
      </c>
      <c r="F301" s="19">
        <v>80</v>
      </c>
      <c r="G301" s="19">
        <v>1</v>
      </c>
      <c r="H301" s="16">
        <v>5</v>
      </c>
    </row>
    <row r="302" spans="1:8" x14ac:dyDescent="0.15">
      <c r="A302" s="19">
        <v>250.01664</v>
      </c>
      <c r="B302" s="19">
        <v>130.5</v>
      </c>
      <c r="C302" s="19">
        <v>0.62092000000000003</v>
      </c>
      <c r="D302" s="19">
        <v>99.11748</v>
      </c>
      <c r="E302" s="19">
        <v>20</v>
      </c>
      <c r="F302" s="19">
        <v>80</v>
      </c>
      <c r="G302" s="19">
        <v>1</v>
      </c>
      <c r="H302" s="16">
        <v>5</v>
      </c>
    </row>
    <row r="303" spans="1:8" x14ac:dyDescent="0.15">
      <c r="A303" s="19">
        <v>250.01721000000001</v>
      </c>
      <c r="B303" s="19">
        <v>131</v>
      </c>
      <c r="C303" s="19">
        <v>0.61638999999999999</v>
      </c>
      <c r="D303" s="19">
        <v>99.033860000000004</v>
      </c>
      <c r="E303" s="19">
        <v>20</v>
      </c>
      <c r="F303" s="19">
        <v>80</v>
      </c>
      <c r="G303" s="19">
        <v>1</v>
      </c>
      <c r="H303" s="16">
        <v>5</v>
      </c>
    </row>
    <row r="304" spans="1:8" x14ac:dyDescent="0.15">
      <c r="A304" s="19">
        <v>250.01629</v>
      </c>
      <c r="B304" s="19">
        <v>131.5</v>
      </c>
      <c r="C304" s="19">
        <v>0.61395999999999995</v>
      </c>
      <c r="D304" s="19">
        <v>99.045969999999997</v>
      </c>
      <c r="E304" s="19">
        <v>20</v>
      </c>
      <c r="F304" s="19">
        <v>80</v>
      </c>
      <c r="G304" s="19">
        <v>1</v>
      </c>
      <c r="H304" s="16">
        <v>5</v>
      </c>
    </row>
    <row r="305" spans="1:8" x14ac:dyDescent="0.15">
      <c r="A305" s="19">
        <v>250.01512</v>
      </c>
      <c r="B305" s="19">
        <v>132</v>
      </c>
      <c r="C305" s="19">
        <v>0.61160999999999999</v>
      </c>
      <c r="D305" s="19">
        <v>98.933359999999993</v>
      </c>
      <c r="E305" s="19">
        <v>20</v>
      </c>
      <c r="F305" s="19">
        <v>80</v>
      </c>
      <c r="G305" s="19">
        <v>1</v>
      </c>
      <c r="H305" s="16">
        <v>5</v>
      </c>
    </row>
    <row r="306" spans="1:8" x14ac:dyDescent="0.15">
      <c r="A306" s="19">
        <v>250.01267999999999</v>
      </c>
      <c r="B306" s="19">
        <v>132.5</v>
      </c>
      <c r="C306" s="19">
        <v>0.61106000000000005</v>
      </c>
      <c r="D306" s="19">
        <v>98.953159999999997</v>
      </c>
      <c r="E306" s="19">
        <v>20</v>
      </c>
      <c r="F306" s="19">
        <v>80</v>
      </c>
      <c r="G306" s="19">
        <v>1</v>
      </c>
      <c r="H306" s="16">
        <v>5</v>
      </c>
    </row>
    <row r="307" spans="1:8" x14ac:dyDescent="0.15">
      <c r="A307" s="19">
        <v>250.01091</v>
      </c>
      <c r="B307" s="19">
        <v>133</v>
      </c>
      <c r="C307" s="19">
        <v>0.60926000000000002</v>
      </c>
      <c r="D307" s="19">
        <v>98.99597</v>
      </c>
      <c r="E307" s="19">
        <v>20</v>
      </c>
      <c r="F307" s="19">
        <v>80</v>
      </c>
      <c r="G307" s="19">
        <v>1</v>
      </c>
      <c r="H307" s="16">
        <v>5</v>
      </c>
    </row>
    <row r="308" spans="1:8" x14ac:dyDescent="0.15">
      <c r="A308" s="19">
        <v>250.0102</v>
      </c>
      <c r="B308" s="19">
        <v>133.5</v>
      </c>
      <c r="C308" s="19">
        <v>0.60750000000000004</v>
      </c>
      <c r="D308" s="19">
        <v>98.938929999999999</v>
      </c>
      <c r="E308" s="19">
        <v>20</v>
      </c>
      <c r="F308" s="19">
        <v>80</v>
      </c>
      <c r="G308" s="19">
        <v>1</v>
      </c>
      <c r="H308" s="16">
        <v>5</v>
      </c>
    </row>
    <row r="309" spans="1:8" x14ac:dyDescent="0.15">
      <c r="A309" s="19">
        <v>250.00572</v>
      </c>
      <c r="B309" s="19">
        <v>134</v>
      </c>
      <c r="C309" s="19">
        <v>0.60670999999999997</v>
      </c>
      <c r="D309" s="19">
        <v>98.972629999999995</v>
      </c>
      <c r="E309" s="19">
        <v>20</v>
      </c>
      <c r="F309" s="19">
        <v>80</v>
      </c>
      <c r="G309" s="19">
        <v>1</v>
      </c>
      <c r="H309" s="16">
        <v>5</v>
      </c>
    </row>
    <row r="310" spans="1:8" x14ac:dyDescent="0.15">
      <c r="A310" s="19">
        <v>250.00758999999999</v>
      </c>
      <c r="B310" s="19">
        <v>134.5</v>
      </c>
      <c r="C310" s="19">
        <v>0.60553000000000001</v>
      </c>
      <c r="D310" s="19">
        <v>98.866699999999994</v>
      </c>
      <c r="E310" s="19">
        <v>20</v>
      </c>
      <c r="F310" s="19">
        <v>80</v>
      </c>
      <c r="G310" s="19">
        <v>1</v>
      </c>
      <c r="H310" s="16">
        <v>5</v>
      </c>
    </row>
    <row r="311" spans="1:8" x14ac:dyDescent="0.15">
      <c r="A311" s="19">
        <v>250.01213000000001</v>
      </c>
      <c r="B311" s="19">
        <v>135</v>
      </c>
      <c r="C311" s="19">
        <v>0.60435000000000005</v>
      </c>
      <c r="D311" s="19">
        <v>98.912310000000005</v>
      </c>
      <c r="E311" s="19">
        <v>20</v>
      </c>
      <c r="F311" s="19">
        <v>80</v>
      </c>
      <c r="G311" s="19">
        <v>1</v>
      </c>
      <c r="H311" s="16">
        <v>5</v>
      </c>
    </row>
    <row r="312" spans="1:8" x14ac:dyDescent="0.15">
      <c r="A312" s="19">
        <v>250.01255</v>
      </c>
      <c r="B312" s="19">
        <v>135.5</v>
      </c>
      <c r="C312" s="19">
        <v>0.60311999999999999</v>
      </c>
      <c r="D312" s="19">
        <v>98.9024</v>
      </c>
      <c r="E312" s="19">
        <v>20</v>
      </c>
      <c r="F312" s="19">
        <v>80</v>
      </c>
      <c r="G312" s="19">
        <v>1</v>
      </c>
      <c r="H312" s="16">
        <v>5</v>
      </c>
    </row>
    <row r="313" spans="1:8" x14ac:dyDescent="0.15">
      <c r="A313" s="19">
        <v>250.01233999999999</v>
      </c>
      <c r="B313" s="19">
        <v>136</v>
      </c>
      <c r="C313" s="19">
        <v>0.60143000000000002</v>
      </c>
      <c r="D313" s="19">
        <v>98.932469999999995</v>
      </c>
      <c r="E313" s="19">
        <v>20</v>
      </c>
      <c r="F313" s="19">
        <v>80</v>
      </c>
      <c r="G313" s="19">
        <v>1</v>
      </c>
      <c r="H313" s="16">
        <v>5</v>
      </c>
    </row>
    <row r="314" spans="1:8" x14ac:dyDescent="0.15">
      <c r="A314" s="19">
        <v>250.01199</v>
      </c>
      <c r="B314" s="19">
        <v>136.5</v>
      </c>
      <c r="C314" s="19">
        <v>0.60052000000000005</v>
      </c>
      <c r="D314" s="19">
        <v>98.861969999999999</v>
      </c>
      <c r="E314" s="19">
        <v>20</v>
      </c>
      <c r="F314" s="19">
        <v>80</v>
      </c>
      <c r="G314" s="19">
        <v>1</v>
      </c>
      <c r="H314" s="16">
        <v>5</v>
      </c>
    </row>
    <row r="315" spans="1:8" x14ac:dyDescent="0.15">
      <c r="A315" s="19">
        <v>250.00821999999999</v>
      </c>
      <c r="B315" s="19">
        <v>137</v>
      </c>
      <c r="C315" s="19">
        <v>0.59799999999999998</v>
      </c>
      <c r="D315" s="19">
        <v>98.942089999999993</v>
      </c>
      <c r="E315" s="19">
        <v>20</v>
      </c>
      <c r="F315" s="19">
        <v>80</v>
      </c>
      <c r="G315" s="19">
        <v>1</v>
      </c>
      <c r="H315" s="16">
        <v>5</v>
      </c>
    </row>
    <row r="316" spans="1:8" x14ac:dyDescent="0.15">
      <c r="A316" s="19">
        <v>250.00873000000001</v>
      </c>
      <c r="B316" s="19">
        <v>137.5</v>
      </c>
      <c r="C316" s="19">
        <v>0.59592000000000001</v>
      </c>
      <c r="D316" s="19">
        <v>98.849000000000004</v>
      </c>
      <c r="E316" s="19">
        <v>20</v>
      </c>
      <c r="F316" s="19">
        <v>80</v>
      </c>
      <c r="G316" s="19">
        <v>1</v>
      </c>
      <c r="H316" s="16">
        <v>5</v>
      </c>
    </row>
    <row r="317" spans="1:8" x14ac:dyDescent="0.15">
      <c r="A317" s="19">
        <v>250.00943000000001</v>
      </c>
      <c r="B317" s="19">
        <v>138</v>
      </c>
      <c r="C317" s="19">
        <v>0.59486000000000006</v>
      </c>
      <c r="D317" s="19">
        <v>98.808139999999995</v>
      </c>
      <c r="E317" s="19">
        <v>20</v>
      </c>
      <c r="F317" s="19">
        <v>80</v>
      </c>
      <c r="G317" s="19">
        <v>1</v>
      </c>
      <c r="H317" s="16">
        <v>5</v>
      </c>
    </row>
    <row r="318" spans="1:8" x14ac:dyDescent="0.15">
      <c r="A318" s="19">
        <v>250.00917000000001</v>
      </c>
      <c r="B318" s="19">
        <v>138.5</v>
      </c>
      <c r="C318" s="19">
        <v>0.59579000000000004</v>
      </c>
      <c r="D318" s="19">
        <v>98.864099999999993</v>
      </c>
      <c r="E318" s="19">
        <v>20</v>
      </c>
      <c r="F318" s="19">
        <v>80</v>
      </c>
      <c r="G318" s="19">
        <v>1</v>
      </c>
      <c r="H318" s="16">
        <v>5</v>
      </c>
    </row>
    <row r="319" spans="1:8" x14ac:dyDescent="0.15">
      <c r="A319" s="19">
        <v>250.01522</v>
      </c>
      <c r="B319" s="19">
        <v>139</v>
      </c>
      <c r="C319" s="19">
        <v>0.59450999999999998</v>
      </c>
      <c r="D319" s="19">
        <v>98.752889999999994</v>
      </c>
      <c r="E319" s="19">
        <v>20</v>
      </c>
      <c r="F319" s="19">
        <v>80</v>
      </c>
      <c r="G319" s="19">
        <v>1</v>
      </c>
      <c r="H319" s="16">
        <v>5</v>
      </c>
    </row>
    <row r="320" spans="1:8" x14ac:dyDescent="0.15">
      <c r="A320" s="19">
        <v>250.02309</v>
      </c>
      <c r="B320" s="19">
        <v>139.5</v>
      </c>
      <c r="C320" s="19">
        <v>0.59248999999999996</v>
      </c>
      <c r="D320" s="19">
        <v>98.735429999999994</v>
      </c>
      <c r="E320" s="19">
        <v>20</v>
      </c>
      <c r="F320" s="19">
        <v>80</v>
      </c>
      <c r="G320" s="19">
        <v>1</v>
      </c>
      <c r="H320" s="16">
        <v>5</v>
      </c>
    </row>
    <row r="321" spans="1:8" x14ac:dyDescent="0.15">
      <c r="A321" s="19">
        <v>250.02268000000001</v>
      </c>
      <c r="B321" s="19">
        <v>140</v>
      </c>
      <c r="C321" s="19">
        <v>0.59006999999999998</v>
      </c>
      <c r="D321" s="19">
        <v>98.71799</v>
      </c>
      <c r="E321" s="19">
        <v>20</v>
      </c>
      <c r="F321" s="19">
        <v>80</v>
      </c>
      <c r="G321" s="19">
        <v>1</v>
      </c>
      <c r="H321" s="16">
        <v>5</v>
      </c>
    </row>
    <row r="322" spans="1:8" x14ac:dyDescent="0.15">
      <c r="A322" s="19">
        <v>250.02112</v>
      </c>
      <c r="B322" s="19">
        <v>140.5</v>
      </c>
      <c r="C322" s="19">
        <v>0.58853</v>
      </c>
      <c r="D322" s="19">
        <v>98.766819999999996</v>
      </c>
      <c r="E322" s="19">
        <v>20</v>
      </c>
      <c r="F322" s="19">
        <v>80</v>
      </c>
      <c r="G322" s="19">
        <v>1</v>
      </c>
      <c r="H322" s="16">
        <v>5</v>
      </c>
    </row>
    <row r="323" spans="1:8" x14ac:dyDescent="0.15">
      <c r="A323" s="19">
        <v>250.01969</v>
      </c>
      <c r="B323" s="19">
        <v>141</v>
      </c>
      <c r="C323" s="19">
        <v>0.58611999999999997</v>
      </c>
      <c r="D323" s="19">
        <v>98.679540000000003</v>
      </c>
      <c r="E323" s="19">
        <v>20</v>
      </c>
      <c r="F323" s="19">
        <v>80</v>
      </c>
      <c r="G323" s="19">
        <v>1</v>
      </c>
      <c r="H323" s="16">
        <v>5</v>
      </c>
    </row>
    <row r="324" spans="1:8" x14ac:dyDescent="0.15">
      <c r="A324" s="19">
        <v>250.01799</v>
      </c>
      <c r="B324" s="19">
        <v>141.5</v>
      </c>
      <c r="C324" s="19">
        <v>0.58457000000000003</v>
      </c>
      <c r="D324" s="19">
        <v>98.754009999999994</v>
      </c>
      <c r="E324" s="19">
        <v>20</v>
      </c>
      <c r="F324" s="19">
        <v>80</v>
      </c>
      <c r="G324" s="19">
        <v>1</v>
      </c>
      <c r="H324" s="16">
        <v>5</v>
      </c>
    </row>
    <row r="325" spans="1:8" x14ac:dyDescent="0.15">
      <c r="A325" s="19">
        <v>250.01821000000001</v>
      </c>
      <c r="B325" s="19">
        <v>142</v>
      </c>
      <c r="C325" s="19">
        <v>0.58294000000000001</v>
      </c>
      <c r="D325" s="19">
        <v>98.787289999999999</v>
      </c>
      <c r="E325" s="19">
        <v>20</v>
      </c>
      <c r="F325" s="19">
        <v>80</v>
      </c>
      <c r="G325" s="19">
        <v>1</v>
      </c>
      <c r="H325" s="16">
        <v>5</v>
      </c>
    </row>
    <row r="326" spans="1:8" x14ac:dyDescent="0.15">
      <c r="A326" s="19">
        <v>250.01696999999999</v>
      </c>
      <c r="B326" s="19">
        <v>142.5</v>
      </c>
      <c r="C326" s="19">
        <v>0.58281000000000005</v>
      </c>
      <c r="D326" s="19">
        <v>98.754840000000002</v>
      </c>
      <c r="E326" s="19">
        <v>20</v>
      </c>
      <c r="F326" s="19">
        <v>80</v>
      </c>
      <c r="G326" s="19">
        <v>1</v>
      </c>
      <c r="H326" s="16">
        <v>5</v>
      </c>
    </row>
    <row r="327" spans="1:8" x14ac:dyDescent="0.15">
      <c r="A327" s="19">
        <v>250.017</v>
      </c>
      <c r="B327" s="19">
        <v>143</v>
      </c>
      <c r="C327" s="19">
        <v>0.58077999999999996</v>
      </c>
      <c r="D327" s="19">
        <v>98.645070000000004</v>
      </c>
      <c r="E327" s="19">
        <v>20</v>
      </c>
      <c r="F327" s="19">
        <v>80</v>
      </c>
      <c r="G327" s="19">
        <v>1</v>
      </c>
      <c r="H327" s="16">
        <v>5</v>
      </c>
    </row>
    <row r="328" spans="1:8" x14ac:dyDescent="0.15">
      <c r="A328" s="19">
        <v>250.02033</v>
      </c>
      <c r="B328" s="19">
        <v>143.5</v>
      </c>
      <c r="C328" s="19">
        <v>0.57933000000000001</v>
      </c>
      <c r="D328" s="19">
        <v>98.669200000000004</v>
      </c>
      <c r="E328" s="19">
        <v>20</v>
      </c>
      <c r="F328" s="19">
        <v>80</v>
      </c>
      <c r="G328" s="19">
        <v>1</v>
      </c>
      <c r="H328" s="16">
        <v>5</v>
      </c>
    </row>
    <row r="329" spans="1:8" x14ac:dyDescent="0.15">
      <c r="A329" s="19">
        <v>250.02181999999999</v>
      </c>
      <c r="B329" s="19">
        <v>144</v>
      </c>
      <c r="C329" s="19">
        <v>0.57742000000000004</v>
      </c>
      <c r="D329" s="19">
        <v>98.631900000000002</v>
      </c>
      <c r="E329" s="19">
        <v>20</v>
      </c>
      <c r="F329" s="19">
        <v>80</v>
      </c>
      <c r="G329" s="19">
        <v>1</v>
      </c>
      <c r="H329" s="16">
        <v>5</v>
      </c>
    </row>
    <row r="330" spans="1:8" x14ac:dyDescent="0.15">
      <c r="A330" s="19">
        <v>250.02167</v>
      </c>
      <c r="B330" s="19">
        <v>144.5</v>
      </c>
      <c r="C330" s="19">
        <v>0.57725000000000004</v>
      </c>
      <c r="D330" s="19">
        <v>98.610240000000005</v>
      </c>
      <c r="E330" s="19">
        <v>20</v>
      </c>
      <c r="F330" s="19">
        <v>80</v>
      </c>
      <c r="G330" s="19">
        <v>1</v>
      </c>
      <c r="H330" s="16">
        <v>5</v>
      </c>
    </row>
    <row r="331" spans="1:8" x14ac:dyDescent="0.15">
      <c r="A331" s="19">
        <v>250.02437</v>
      </c>
      <c r="B331" s="19">
        <v>145</v>
      </c>
      <c r="C331" s="19">
        <v>0.57611999999999997</v>
      </c>
      <c r="D331" s="19">
        <v>98.626440000000002</v>
      </c>
      <c r="E331" s="19">
        <v>20</v>
      </c>
      <c r="F331" s="19">
        <v>80</v>
      </c>
      <c r="G331" s="19">
        <v>1</v>
      </c>
      <c r="H331" s="16">
        <v>5</v>
      </c>
    </row>
    <row r="332" spans="1:8" x14ac:dyDescent="0.15">
      <c r="A332" s="19">
        <v>250.02718999999999</v>
      </c>
      <c r="B332" s="19">
        <v>145.5</v>
      </c>
      <c r="C332" s="19">
        <v>0.57552999999999999</v>
      </c>
      <c r="D332" s="19">
        <v>98.630470000000003</v>
      </c>
      <c r="E332" s="19">
        <v>20</v>
      </c>
      <c r="F332" s="19">
        <v>80</v>
      </c>
      <c r="G332" s="19">
        <v>1</v>
      </c>
      <c r="H332" s="16">
        <v>5</v>
      </c>
    </row>
    <row r="333" spans="1:8" x14ac:dyDescent="0.15">
      <c r="A333" s="19">
        <v>250.02698000000001</v>
      </c>
      <c r="B333" s="19">
        <v>146</v>
      </c>
      <c r="C333" s="19">
        <v>0.57372000000000001</v>
      </c>
      <c r="D333" s="19">
        <v>98.484669999999994</v>
      </c>
      <c r="E333" s="19">
        <v>20</v>
      </c>
      <c r="F333" s="19">
        <v>80</v>
      </c>
      <c r="G333" s="19">
        <v>1</v>
      </c>
      <c r="H333" s="16">
        <v>5</v>
      </c>
    </row>
    <row r="334" spans="1:8" x14ac:dyDescent="0.15">
      <c r="A334" s="19">
        <v>250.02726999999999</v>
      </c>
      <c r="B334" s="19">
        <v>146.5</v>
      </c>
      <c r="C334" s="19">
        <v>0.57230000000000003</v>
      </c>
      <c r="D334" s="19">
        <v>98.575159999999997</v>
      </c>
      <c r="E334" s="19">
        <v>20</v>
      </c>
      <c r="F334" s="19">
        <v>80</v>
      </c>
      <c r="G334" s="19">
        <v>1</v>
      </c>
      <c r="H334" s="16">
        <v>5</v>
      </c>
    </row>
    <row r="335" spans="1:8" x14ac:dyDescent="0.15">
      <c r="A335" s="19">
        <v>250.02867000000001</v>
      </c>
      <c r="B335" s="19">
        <v>147</v>
      </c>
      <c r="C335" s="19">
        <v>0.56913999999999998</v>
      </c>
      <c r="D335" s="19">
        <v>98.522009999999995</v>
      </c>
      <c r="E335" s="19">
        <v>20</v>
      </c>
      <c r="F335" s="19">
        <v>80</v>
      </c>
      <c r="G335" s="19">
        <v>1</v>
      </c>
      <c r="H335" s="16">
        <v>5</v>
      </c>
    </row>
    <row r="336" spans="1:8" x14ac:dyDescent="0.15">
      <c r="A336" s="19">
        <v>250.02501000000001</v>
      </c>
      <c r="B336" s="19">
        <v>147.5</v>
      </c>
      <c r="C336" s="19">
        <v>0.56893000000000005</v>
      </c>
      <c r="D336" s="19">
        <v>98.496880000000004</v>
      </c>
      <c r="E336" s="19">
        <v>20</v>
      </c>
      <c r="F336" s="19">
        <v>80</v>
      </c>
      <c r="G336" s="19">
        <v>1</v>
      </c>
      <c r="H336" s="16">
        <v>5</v>
      </c>
    </row>
    <row r="337" spans="1:8" x14ac:dyDescent="0.15">
      <c r="A337" s="19">
        <v>250.02322000000001</v>
      </c>
      <c r="B337" s="19">
        <v>148</v>
      </c>
      <c r="C337" s="19">
        <v>0.56796999999999997</v>
      </c>
      <c r="D337" s="19">
        <v>98.480189999999993</v>
      </c>
      <c r="E337" s="19">
        <v>20</v>
      </c>
      <c r="F337" s="19">
        <v>80</v>
      </c>
      <c r="G337" s="19">
        <v>1</v>
      </c>
      <c r="H337" s="16">
        <v>5</v>
      </c>
    </row>
    <row r="338" spans="1:8" x14ac:dyDescent="0.15">
      <c r="A338" s="19">
        <v>250.01736</v>
      </c>
      <c r="B338" s="19">
        <v>148.5</v>
      </c>
      <c r="C338" s="19">
        <v>0.56625000000000003</v>
      </c>
      <c r="D338" s="19">
        <v>98.497020000000006</v>
      </c>
      <c r="E338" s="19">
        <v>20</v>
      </c>
      <c r="F338" s="19">
        <v>80</v>
      </c>
      <c r="G338" s="19">
        <v>1</v>
      </c>
      <c r="H338" s="16">
        <v>5</v>
      </c>
    </row>
    <row r="339" spans="1:8" x14ac:dyDescent="0.15">
      <c r="A339" s="19">
        <v>250.01335</v>
      </c>
      <c r="B339" s="19">
        <v>149</v>
      </c>
      <c r="C339" s="19">
        <v>0.56540999999999997</v>
      </c>
      <c r="D339" s="19">
        <v>98.551509999999993</v>
      </c>
      <c r="E339" s="19">
        <v>20</v>
      </c>
      <c r="F339" s="19">
        <v>80</v>
      </c>
      <c r="G339" s="19">
        <v>1</v>
      </c>
      <c r="H339" s="16">
        <v>5</v>
      </c>
    </row>
    <row r="340" spans="1:8" x14ac:dyDescent="0.15">
      <c r="A340" s="19">
        <v>250.01414</v>
      </c>
      <c r="B340" s="19">
        <v>149.5</v>
      </c>
      <c r="C340" s="19">
        <v>0.56579999999999997</v>
      </c>
      <c r="D340" s="19">
        <v>98.436940000000007</v>
      </c>
      <c r="E340" s="19">
        <v>20</v>
      </c>
      <c r="F340" s="19">
        <v>80</v>
      </c>
      <c r="G340" s="19">
        <v>1</v>
      </c>
      <c r="H340" s="16">
        <v>5</v>
      </c>
    </row>
    <row r="341" spans="1:8" x14ac:dyDescent="0.15">
      <c r="A341" s="19">
        <v>250.01582999999999</v>
      </c>
      <c r="B341" s="19">
        <v>150</v>
      </c>
      <c r="C341" s="19">
        <v>0.56428999999999996</v>
      </c>
      <c r="D341" s="19">
        <v>98.532430000000005</v>
      </c>
      <c r="E341" s="19">
        <v>20</v>
      </c>
      <c r="F341" s="19">
        <v>80</v>
      </c>
      <c r="G341" s="19">
        <v>1</v>
      </c>
      <c r="H341" s="16">
        <v>5</v>
      </c>
    </row>
    <row r="342" spans="1:8" x14ac:dyDescent="0.15">
      <c r="A342" s="19">
        <v>250.01558</v>
      </c>
      <c r="B342" s="19">
        <v>150.5</v>
      </c>
      <c r="C342" s="19">
        <v>0.56130000000000002</v>
      </c>
      <c r="D342" s="19">
        <v>98.530900000000003</v>
      </c>
      <c r="E342" s="19">
        <v>20</v>
      </c>
      <c r="F342" s="19">
        <v>80</v>
      </c>
      <c r="G342" s="19">
        <v>1</v>
      </c>
      <c r="H342" s="16">
        <v>5</v>
      </c>
    </row>
    <row r="343" spans="1:8" x14ac:dyDescent="0.15">
      <c r="A343" s="19">
        <v>250.01374000000001</v>
      </c>
      <c r="B343" s="19">
        <v>151</v>
      </c>
      <c r="C343" s="19">
        <v>0.56299999999999994</v>
      </c>
      <c r="D343" s="19">
        <v>98.350239999999999</v>
      </c>
      <c r="E343" s="19">
        <v>20</v>
      </c>
      <c r="F343" s="19">
        <v>80</v>
      </c>
      <c r="G343" s="19">
        <v>1</v>
      </c>
      <c r="H343" s="16">
        <v>5</v>
      </c>
    </row>
    <row r="344" spans="1:8" x14ac:dyDescent="0.15">
      <c r="A344" s="19">
        <v>250.01308</v>
      </c>
      <c r="B344" s="19">
        <v>151.5</v>
      </c>
      <c r="C344" s="19">
        <v>0.56123999999999996</v>
      </c>
      <c r="D344" s="19">
        <v>98.396720000000002</v>
      </c>
      <c r="E344" s="19">
        <v>20</v>
      </c>
      <c r="F344" s="19">
        <v>80</v>
      </c>
      <c r="G344" s="19">
        <v>1</v>
      </c>
      <c r="H344" s="16">
        <v>5</v>
      </c>
    </row>
    <row r="345" spans="1:8" x14ac:dyDescent="0.15">
      <c r="A345" s="19">
        <v>250.01642000000001</v>
      </c>
      <c r="B345" s="19">
        <v>152</v>
      </c>
      <c r="C345" s="19">
        <v>0.56054999999999999</v>
      </c>
      <c r="D345" s="19">
        <v>98.413409999999999</v>
      </c>
      <c r="E345" s="19">
        <v>20</v>
      </c>
      <c r="F345" s="19">
        <v>80</v>
      </c>
      <c r="G345" s="19">
        <v>1</v>
      </c>
      <c r="H345" s="16">
        <v>5</v>
      </c>
    </row>
    <row r="346" spans="1:8" x14ac:dyDescent="0.15">
      <c r="A346" s="19">
        <v>250.0172</v>
      </c>
      <c r="B346" s="19">
        <v>152.5</v>
      </c>
      <c r="C346" s="19">
        <v>0.55991000000000002</v>
      </c>
      <c r="D346" s="19">
        <v>98.328729999999993</v>
      </c>
      <c r="E346" s="19">
        <v>20</v>
      </c>
      <c r="F346" s="19">
        <v>80</v>
      </c>
      <c r="G346" s="19">
        <v>1</v>
      </c>
      <c r="H346" s="16">
        <v>5</v>
      </c>
    </row>
    <row r="347" spans="1:8" x14ac:dyDescent="0.15">
      <c r="A347" s="19">
        <v>250.01814999999999</v>
      </c>
      <c r="B347" s="19">
        <v>153</v>
      </c>
      <c r="C347" s="19">
        <v>0.55632999999999999</v>
      </c>
      <c r="D347" s="19">
        <v>98.367429999999999</v>
      </c>
      <c r="E347" s="19">
        <v>20</v>
      </c>
      <c r="F347" s="19">
        <v>80</v>
      </c>
      <c r="G347" s="19">
        <v>1</v>
      </c>
      <c r="H347" s="16">
        <v>5</v>
      </c>
    </row>
    <row r="348" spans="1:8" x14ac:dyDescent="0.15">
      <c r="A348" s="19">
        <v>250.02089000000001</v>
      </c>
      <c r="B348" s="19">
        <v>153.5</v>
      </c>
      <c r="C348" s="19">
        <v>0.55732000000000004</v>
      </c>
      <c r="D348" s="19">
        <v>98.377099999999999</v>
      </c>
      <c r="E348" s="19">
        <v>20</v>
      </c>
      <c r="F348" s="19">
        <v>80</v>
      </c>
      <c r="G348" s="19">
        <v>1</v>
      </c>
      <c r="H348" s="16">
        <v>5</v>
      </c>
    </row>
    <row r="349" spans="1:8" x14ac:dyDescent="0.15">
      <c r="A349" s="19">
        <v>250.02104</v>
      </c>
      <c r="B349" s="19">
        <v>154</v>
      </c>
      <c r="C349" s="19">
        <v>0.55581999999999998</v>
      </c>
      <c r="D349" s="19">
        <v>98.39913</v>
      </c>
      <c r="E349" s="19">
        <v>20</v>
      </c>
      <c r="F349" s="19">
        <v>80</v>
      </c>
      <c r="G349" s="19">
        <v>1</v>
      </c>
      <c r="H349" s="16">
        <v>5</v>
      </c>
    </row>
    <row r="350" spans="1:8" x14ac:dyDescent="0.15">
      <c r="A350" s="19">
        <v>250.01917</v>
      </c>
      <c r="B350" s="19">
        <v>154.5</v>
      </c>
      <c r="C350" s="19">
        <v>0.55367999999999995</v>
      </c>
      <c r="D350" s="19">
        <v>98.332620000000006</v>
      </c>
      <c r="E350" s="19">
        <v>20</v>
      </c>
      <c r="F350" s="19">
        <v>80</v>
      </c>
      <c r="G350" s="19">
        <v>1</v>
      </c>
      <c r="H350" s="16">
        <v>5</v>
      </c>
    </row>
    <row r="351" spans="1:8" x14ac:dyDescent="0.15">
      <c r="A351" s="19">
        <v>250.01523</v>
      </c>
      <c r="B351" s="19">
        <v>155</v>
      </c>
      <c r="C351" s="19">
        <v>0.55342000000000002</v>
      </c>
      <c r="D351" s="19">
        <v>98.322869999999995</v>
      </c>
      <c r="E351" s="19">
        <v>20</v>
      </c>
      <c r="F351" s="19">
        <v>80</v>
      </c>
      <c r="G351" s="19">
        <v>1</v>
      </c>
      <c r="H351" s="16">
        <v>5</v>
      </c>
    </row>
    <row r="352" spans="1:8" x14ac:dyDescent="0.15">
      <c r="A352" s="19">
        <v>250.01490999999999</v>
      </c>
      <c r="B352" s="19">
        <v>155.5</v>
      </c>
      <c r="C352" s="19">
        <v>0.55296000000000001</v>
      </c>
      <c r="D352" s="19">
        <v>98.27176</v>
      </c>
      <c r="E352" s="19">
        <v>20</v>
      </c>
      <c r="F352" s="19">
        <v>80</v>
      </c>
      <c r="G352" s="19">
        <v>1</v>
      </c>
      <c r="H352" s="16">
        <v>5</v>
      </c>
    </row>
    <row r="353" spans="1:8" x14ac:dyDescent="0.15">
      <c r="A353" s="19">
        <v>250.01867999999999</v>
      </c>
      <c r="B353" s="19">
        <v>156</v>
      </c>
      <c r="C353" s="19">
        <v>0.55350999999999995</v>
      </c>
      <c r="D353" s="19">
        <v>98.302369999999996</v>
      </c>
      <c r="E353" s="19">
        <v>20</v>
      </c>
      <c r="F353" s="19">
        <v>80</v>
      </c>
      <c r="G353" s="19">
        <v>1</v>
      </c>
      <c r="H353" s="16">
        <v>5</v>
      </c>
    </row>
    <row r="354" spans="1:8" x14ac:dyDescent="0.15">
      <c r="A354" s="19">
        <v>250.01652000000001</v>
      </c>
      <c r="B354" s="19">
        <v>156.5</v>
      </c>
      <c r="C354" s="19">
        <v>0.55134000000000005</v>
      </c>
      <c r="D354" s="19">
        <v>98.313910000000007</v>
      </c>
      <c r="E354" s="19">
        <v>20</v>
      </c>
      <c r="F354" s="19">
        <v>80</v>
      </c>
      <c r="G354" s="19">
        <v>1</v>
      </c>
      <c r="H354" s="16">
        <v>5</v>
      </c>
    </row>
    <row r="355" spans="1:8" x14ac:dyDescent="0.15">
      <c r="A355" s="19">
        <v>250.01510999999999</v>
      </c>
      <c r="B355" s="19">
        <v>157</v>
      </c>
      <c r="C355" s="19">
        <v>0.55030000000000001</v>
      </c>
      <c r="D355" s="19">
        <v>98.223870000000005</v>
      </c>
      <c r="E355" s="19">
        <v>20</v>
      </c>
      <c r="F355" s="19">
        <v>80</v>
      </c>
      <c r="G355" s="19">
        <v>1</v>
      </c>
      <c r="H355" s="16">
        <v>5</v>
      </c>
    </row>
    <row r="356" spans="1:8" x14ac:dyDescent="0.15">
      <c r="A356" s="19">
        <v>250.01312999999999</v>
      </c>
      <c r="B356" s="19">
        <v>157.5</v>
      </c>
      <c r="C356" s="19">
        <v>0.55012000000000005</v>
      </c>
      <c r="D356" s="19">
        <v>98.198719999999994</v>
      </c>
      <c r="E356" s="19">
        <v>20</v>
      </c>
      <c r="F356" s="19">
        <v>80</v>
      </c>
      <c r="G356" s="19">
        <v>1</v>
      </c>
      <c r="H356" s="16">
        <v>5</v>
      </c>
    </row>
    <row r="357" spans="1:8" x14ac:dyDescent="0.15">
      <c r="A357" s="19">
        <v>250.01541</v>
      </c>
      <c r="B357" s="19">
        <v>158</v>
      </c>
      <c r="C357" s="19">
        <v>0.54852000000000001</v>
      </c>
      <c r="D357" s="19">
        <v>98.20702</v>
      </c>
      <c r="E357" s="19">
        <v>20</v>
      </c>
      <c r="F357" s="19">
        <v>80</v>
      </c>
      <c r="G357" s="19">
        <v>1</v>
      </c>
      <c r="H357" s="16">
        <v>5</v>
      </c>
    </row>
    <row r="358" spans="1:8" x14ac:dyDescent="0.15">
      <c r="A358" s="19">
        <v>250.01579000000001</v>
      </c>
      <c r="B358" s="19">
        <v>158.5</v>
      </c>
      <c r="C358" s="19">
        <v>0.54867999999999995</v>
      </c>
      <c r="D358" s="19">
        <v>98.169539999999998</v>
      </c>
      <c r="E358" s="19">
        <v>20</v>
      </c>
      <c r="F358" s="19">
        <v>80</v>
      </c>
      <c r="G358" s="19">
        <v>1</v>
      </c>
      <c r="H358" s="16">
        <v>5</v>
      </c>
    </row>
    <row r="359" spans="1:8" x14ac:dyDescent="0.15">
      <c r="A359" s="19">
        <v>250.01731000000001</v>
      </c>
      <c r="B359" s="19">
        <v>159</v>
      </c>
      <c r="C359" s="19">
        <v>0.54867999999999995</v>
      </c>
      <c r="D359" s="19">
        <v>98.213769999999997</v>
      </c>
      <c r="E359" s="19">
        <v>20</v>
      </c>
      <c r="F359" s="19">
        <v>80</v>
      </c>
      <c r="G359" s="19">
        <v>1</v>
      </c>
      <c r="H359" s="16">
        <v>5</v>
      </c>
    </row>
    <row r="360" spans="1:8" x14ac:dyDescent="0.15">
      <c r="A360" s="19">
        <v>250.01770999999999</v>
      </c>
      <c r="B360" s="19">
        <v>159.5</v>
      </c>
      <c r="C360" s="19">
        <v>0.54749000000000003</v>
      </c>
      <c r="D360" s="19">
        <v>98.19341</v>
      </c>
      <c r="E360" s="19">
        <v>20</v>
      </c>
      <c r="F360" s="19">
        <v>80</v>
      </c>
      <c r="G360" s="19">
        <v>1</v>
      </c>
      <c r="H360" s="16">
        <v>5</v>
      </c>
    </row>
    <row r="361" spans="1:8" x14ac:dyDescent="0.15">
      <c r="A361" s="19">
        <v>250.01791</v>
      </c>
      <c r="B361" s="19">
        <v>160</v>
      </c>
      <c r="C361" s="19">
        <v>0.54507000000000005</v>
      </c>
      <c r="D361" s="19">
        <v>98.195260000000005</v>
      </c>
      <c r="E361" s="19">
        <v>20</v>
      </c>
      <c r="F361" s="19">
        <v>80</v>
      </c>
      <c r="G361" s="19">
        <v>1</v>
      </c>
      <c r="H361" s="16">
        <v>5</v>
      </c>
    </row>
    <row r="362" spans="1:8" x14ac:dyDescent="0.15">
      <c r="A362" s="19">
        <v>250.01229000000001</v>
      </c>
      <c r="B362" s="19">
        <v>160.5</v>
      </c>
      <c r="C362" s="19">
        <v>0.54610000000000003</v>
      </c>
      <c r="D362" s="19">
        <v>98.220529999999997</v>
      </c>
      <c r="E362" s="19">
        <v>20</v>
      </c>
      <c r="F362" s="19">
        <v>80</v>
      </c>
      <c r="G362" s="19">
        <v>1</v>
      </c>
      <c r="H362" s="16">
        <v>5</v>
      </c>
    </row>
    <row r="363" spans="1:8" x14ac:dyDescent="0.15">
      <c r="A363" s="19">
        <v>250.00997000000001</v>
      </c>
      <c r="B363" s="19">
        <v>161</v>
      </c>
      <c r="C363" s="19">
        <v>0.54510000000000003</v>
      </c>
      <c r="D363" s="19">
        <v>98.101140000000001</v>
      </c>
      <c r="E363" s="19">
        <v>20</v>
      </c>
      <c r="F363" s="19">
        <v>80</v>
      </c>
      <c r="G363" s="19">
        <v>1</v>
      </c>
      <c r="H363" s="16">
        <v>5</v>
      </c>
    </row>
    <row r="364" spans="1:8" x14ac:dyDescent="0.15">
      <c r="A364" s="19">
        <v>250.01309000000001</v>
      </c>
      <c r="B364" s="19">
        <v>161.5</v>
      </c>
      <c r="C364" s="19">
        <v>0.54461000000000004</v>
      </c>
      <c r="D364" s="19">
        <v>98.135800000000003</v>
      </c>
      <c r="E364" s="19">
        <v>20</v>
      </c>
      <c r="F364" s="19">
        <v>80</v>
      </c>
      <c r="G364" s="19">
        <v>1</v>
      </c>
      <c r="H364" s="16">
        <v>5</v>
      </c>
    </row>
    <row r="365" spans="1:8" x14ac:dyDescent="0.15">
      <c r="A365" s="19">
        <v>250.01671999999999</v>
      </c>
      <c r="B365" s="19">
        <v>162</v>
      </c>
      <c r="C365" s="19">
        <v>0.54254999999999998</v>
      </c>
      <c r="D365" s="19">
        <v>98.124440000000007</v>
      </c>
      <c r="E365" s="19">
        <v>20</v>
      </c>
      <c r="F365" s="19">
        <v>80</v>
      </c>
      <c r="G365" s="19">
        <v>1</v>
      </c>
      <c r="H365" s="16">
        <v>5</v>
      </c>
    </row>
    <row r="366" spans="1:8" x14ac:dyDescent="0.15">
      <c r="A366" s="19">
        <v>250.01741999999999</v>
      </c>
      <c r="B366" s="19">
        <v>162.5</v>
      </c>
      <c r="C366" s="19">
        <v>0.54239999999999999</v>
      </c>
      <c r="D366" s="19">
        <v>98.106669999999994</v>
      </c>
      <c r="E366" s="19">
        <v>20</v>
      </c>
      <c r="F366" s="19">
        <v>80</v>
      </c>
      <c r="G366" s="19">
        <v>1</v>
      </c>
      <c r="H366" s="16">
        <v>5</v>
      </c>
    </row>
    <row r="367" spans="1:8" x14ac:dyDescent="0.15">
      <c r="A367" s="19">
        <v>250.0171</v>
      </c>
      <c r="B367" s="19">
        <v>163</v>
      </c>
      <c r="C367" s="19">
        <v>0.54078000000000004</v>
      </c>
      <c r="D367" s="19">
        <v>98.116789999999995</v>
      </c>
      <c r="E367" s="19">
        <v>20</v>
      </c>
      <c r="F367" s="19">
        <v>80</v>
      </c>
      <c r="G367" s="19">
        <v>1</v>
      </c>
      <c r="H367" s="16">
        <v>5</v>
      </c>
    </row>
    <row r="368" spans="1:8" x14ac:dyDescent="0.15">
      <c r="A368" s="19">
        <v>250.01701</v>
      </c>
      <c r="B368" s="19">
        <v>163.5</v>
      </c>
      <c r="C368" s="19">
        <v>0.54039999999999999</v>
      </c>
      <c r="D368" s="19">
        <v>97.984030000000004</v>
      </c>
      <c r="E368" s="19">
        <v>20</v>
      </c>
      <c r="F368" s="19">
        <v>80</v>
      </c>
      <c r="G368" s="19">
        <v>1</v>
      </c>
      <c r="H368" s="16">
        <v>5</v>
      </c>
    </row>
    <row r="369" spans="1:8" x14ac:dyDescent="0.15">
      <c r="A369" s="19">
        <v>250.01651000000001</v>
      </c>
      <c r="B369" s="19">
        <v>164</v>
      </c>
      <c r="C369" s="19">
        <v>0.54020999999999997</v>
      </c>
      <c r="D369" s="19">
        <v>97.996799999999993</v>
      </c>
      <c r="E369" s="19">
        <v>20</v>
      </c>
      <c r="F369" s="19">
        <v>80</v>
      </c>
      <c r="G369" s="19">
        <v>1</v>
      </c>
      <c r="H369" s="16">
        <v>5</v>
      </c>
    </row>
    <row r="370" spans="1:8" x14ac:dyDescent="0.15">
      <c r="A370" s="19">
        <v>250.01433</v>
      </c>
      <c r="B370" s="19">
        <v>164.5</v>
      </c>
      <c r="C370" s="19">
        <v>0.53691</v>
      </c>
      <c r="D370" s="19">
        <v>98.088809999999995</v>
      </c>
      <c r="E370" s="19">
        <v>20</v>
      </c>
      <c r="F370" s="19">
        <v>80</v>
      </c>
      <c r="G370" s="19">
        <v>1</v>
      </c>
      <c r="H370" s="16">
        <v>5</v>
      </c>
    </row>
    <row r="371" spans="1:8" x14ac:dyDescent="0.15">
      <c r="A371" s="19">
        <v>250.01320999999999</v>
      </c>
      <c r="B371" s="19">
        <v>165</v>
      </c>
      <c r="C371" s="19">
        <v>0.53759000000000001</v>
      </c>
      <c r="D371" s="19">
        <v>98.06962</v>
      </c>
      <c r="E371" s="19">
        <v>20</v>
      </c>
      <c r="F371" s="19">
        <v>80</v>
      </c>
      <c r="G371" s="19">
        <v>1</v>
      </c>
      <c r="H371" s="16">
        <v>5</v>
      </c>
    </row>
    <row r="372" spans="1:8" x14ac:dyDescent="0.15">
      <c r="A372" s="19">
        <v>250.01616000000001</v>
      </c>
      <c r="B372" s="19">
        <v>165.5</v>
      </c>
      <c r="C372" s="19">
        <v>0.53688999999999998</v>
      </c>
      <c r="D372" s="19">
        <v>98.015619999999998</v>
      </c>
      <c r="E372" s="19">
        <v>20</v>
      </c>
      <c r="F372" s="19">
        <v>80</v>
      </c>
      <c r="G372" s="19">
        <v>1</v>
      </c>
      <c r="H372" s="16">
        <v>5</v>
      </c>
    </row>
    <row r="373" spans="1:8" x14ac:dyDescent="0.15">
      <c r="A373" s="19">
        <v>250.01648</v>
      </c>
      <c r="B373" s="19">
        <v>166</v>
      </c>
      <c r="C373" s="19">
        <v>0.53473000000000004</v>
      </c>
      <c r="D373" s="19">
        <v>97.966750000000005</v>
      </c>
      <c r="E373" s="19">
        <v>20</v>
      </c>
      <c r="F373" s="19">
        <v>80</v>
      </c>
      <c r="G373" s="19">
        <v>1</v>
      </c>
      <c r="H373" s="16">
        <v>5</v>
      </c>
    </row>
    <row r="374" spans="1:8" x14ac:dyDescent="0.15">
      <c r="A374" s="19">
        <v>250.01536999999999</v>
      </c>
      <c r="B374" s="19">
        <v>166.5</v>
      </c>
      <c r="C374" s="19">
        <v>0.53422000000000003</v>
      </c>
      <c r="D374" s="19">
        <v>97.969790000000003</v>
      </c>
      <c r="E374" s="19">
        <v>20</v>
      </c>
      <c r="F374" s="19">
        <v>80</v>
      </c>
      <c r="G374" s="19">
        <v>1</v>
      </c>
      <c r="H374" s="16">
        <v>5</v>
      </c>
    </row>
    <row r="375" spans="1:8" x14ac:dyDescent="0.15">
      <c r="A375" s="19">
        <v>250.01678000000001</v>
      </c>
      <c r="B375" s="19">
        <v>167</v>
      </c>
      <c r="C375" s="19">
        <v>0.53503000000000001</v>
      </c>
      <c r="D375" s="19">
        <v>97.958359999999999</v>
      </c>
      <c r="E375" s="19">
        <v>20</v>
      </c>
      <c r="F375" s="19">
        <v>80</v>
      </c>
      <c r="G375" s="19">
        <v>1</v>
      </c>
      <c r="H375" s="16">
        <v>5</v>
      </c>
    </row>
    <row r="376" spans="1:8" x14ac:dyDescent="0.15">
      <c r="A376" s="19">
        <v>250.01936000000001</v>
      </c>
      <c r="B376" s="19">
        <v>167.5</v>
      </c>
      <c r="C376" s="19">
        <v>0.53315000000000001</v>
      </c>
      <c r="D376" s="19">
        <v>97.904870000000003</v>
      </c>
      <c r="E376" s="19">
        <v>20</v>
      </c>
      <c r="F376" s="19">
        <v>80</v>
      </c>
      <c r="G376" s="19">
        <v>1</v>
      </c>
      <c r="H376" s="16">
        <v>5</v>
      </c>
    </row>
    <row r="377" spans="1:8" x14ac:dyDescent="0.15">
      <c r="A377" s="19">
        <v>250.01848000000001</v>
      </c>
      <c r="B377" s="19">
        <v>168</v>
      </c>
      <c r="C377" s="19">
        <v>0.53281999999999996</v>
      </c>
      <c r="D377" s="19">
        <v>97.977339999999998</v>
      </c>
      <c r="E377" s="19">
        <v>20</v>
      </c>
      <c r="F377" s="19">
        <v>80</v>
      </c>
      <c r="G377" s="19">
        <v>1</v>
      </c>
      <c r="H377" s="16">
        <v>5</v>
      </c>
    </row>
    <row r="378" spans="1:8" x14ac:dyDescent="0.15">
      <c r="A378" s="19">
        <v>250.01778999999999</v>
      </c>
      <c r="B378" s="19">
        <v>168.5</v>
      </c>
      <c r="C378" s="19">
        <v>0.53154999999999997</v>
      </c>
      <c r="D378" s="19">
        <v>97.890439999999998</v>
      </c>
      <c r="E378" s="19">
        <v>20</v>
      </c>
      <c r="F378" s="19">
        <v>80</v>
      </c>
      <c r="G378" s="19">
        <v>1</v>
      </c>
      <c r="H378" s="16">
        <v>5</v>
      </c>
    </row>
    <row r="379" spans="1:8" x14ac:dyDescent="0.15">
      <c r="A379" s="19">
        <v>250.01859999999999</v>
      </c>
      <c r="B379" s="19">
        <v>169</v>
      </c>
      <c r="C379" s="19">
        <v>0.53178999999999998</v>
      </c>
      <c r="D379" s="19">
        <v>97.895650000000003</v>
      </c>
      <c r="E379" s="19">
        <v>20</v>
      </c>
      <c r="F379" s="19">
        <v>80</v>
      </c>
      <c r="G379" s="19">
        <v>1</v>
      </c>
      <c r="H379" s="16">
        <v>5</v>
      </c>
    </row>
    <row r="380" spans="1:8" x14ac:dyDescent="0.15">
      <c r="A380" s="19">
        <v>250.02278000000001</v>
      </c>
      <c r="B380" s="19">
        <v>169.5</v>
      </c>
      <c r="C380" s="19">
        <v>0.53051999999999999</v>
      </c>
      <c r="D380" s="19">
        <v>97.86591</v>
      </c>
      <c r="E380" s="19">
        <v>20</v>
      </c>
      <c r="F380" s="19">
        <v>80</v>
      </c>
      <c r="G380" s="19">
        <v>1</v>
      </c>
      <c r="H380" s="16">
        <v>5</v>
      </c>
    </row>
    <row r="381" spans="1:8" x14ac:dyDescent="0.15">
      <c r="A381" s="19">
        <v>250.02293</v>
      </c>
      <c r="B381" s="19">
        <v>170</v>
      </c>
      <c r="C381" s="19">
        <v>0.53025999999999995</v>
      </c>
      <c r="D381" s="19">
        <v>97.857230000000001</v>
      </c>
      <c r="E381" s="19">
        <v>20</v>
      </c>
      <c r="F381" s="19">
        <v>80</v>
      </c>
      <c r="G381" s="19">
        <v>1</v>
      </c>
      <c r="H381" s="16">
        <v>5</v>
      </c>
    </row>
    <row r="382" spans="1:8" x14ac:dyDescent="0.15">
      <c r="A382" s="19">
        <v>250.02610999999999</v>
      </c>
      <c r="B382" s="19">
        <v>170.5</v>
      </c>
      <c r="C382" s="19">
        <v>0.52829000000000004</v>
      </c>
      <c r="D382" s="19">
        <v>97.806150000000002</v>
      </c>
      <c r="E382" s="19">
        <v>20</v>
      </c>
      <c r="F382" s="19">
        <v>80</v>
      </c>
      <c r="G382" s="19">
        <v>1</v>
      </c>
      <c r="H382" s="16">
        <v>5</v>
      </c>
    </row>
    <row r="383" spans="1:8" x14ac:dyDescent="0.15">
      <c r="A383" s="19">
        <v>250.02328</v>
      </c>
      <c r="B383" s="19">
        <v>171</v>
      </c>
      <c r="C383" s="19">
        <v>0.52612000000000003</v>
      </c>
      <c r="D383" s="19">
        <v>97.883480000000006</v>
      </c>
      <c r="E383" s="19">
        <v>20</v>
      </c>
      <c r="F383" s="19">
        <v>80</v>
      </c>
      <c r="G383" s="19">
        <v>1</v>
      </c>
      <c r="H383" s="16">
        <v>5</v>
      </c>
    </row>
    <row r="384" spans="1:8" x14ac:dyDescent="0.15">
      <c r="A384" s="19">
        <v>250.02017000000001</v>
      </c>
      <c r="B384" s="19">
        <v>171.5</v>
      </c>
      <c r="C384" s="19">
        <v>0.52663000000000004</v>
      </c>
      <c r="D384" s="19">
        <v>97.703680000000006</v>
      </c>
      <c r="E384" s="19">
        <v>20</v>
      </c>
      <c r="F384" s="19">
        <v>80</v>
      </c>
      <c r="G384" s="19">
        <v>1</v>
      </c>
      <c r="H384" s="16">
        <v>5</v>
      </c>
    </row>
    <row r="385" spans="1:8" x14ac:dyDescent="0.15">
      <c r="A385" s="19">
        <v>250.01618999999999</v>
      </c>
      <c r="B385" s="19">
        <v>172</v>
      </c>
      <c r="C385" s="19">
        <v>0.52607000000000004</v>
      </c>
      <c r="D385" s="19">
        <v>97.846990000000005</v>
      </c>
      <c r="E385" s="19">
        <v>20</v>
      </c>
      <c r="F385" s="19">
        <v>80</v>
      </c>
      <c r="G385" s="19">
        <v>1</v>
      </c>
      <c r="H385" s="16">
        <v>5</v>
      </c>
    </row>
    <row r="386" spans="1:8" x14ac:dyDescent="0.15">
      <c r="A386" s="19">
        <v>250.01562999999999</v>
      </c>
      <c r="B386" s="19">
        <v>172.5</v>
      </c>
      <c r="C386" s="19">
        <v>0.52627000000000002</v>
      </c>
      <c r="D386" s="19">
        <v>97.908760000000001</v>
      </c>
      <c r="E386" s="19">
        <v>20</v>
      </c>
      <c r="F386" s="19">
        <v>80</v>
      </c>
      <c r="G386" s="19">
        <v>1</v>
      </c>
      <c r="H386" s="16">
        <v>5</v>
      </c>
    </row>
    <row r="387" spans="1:8" x14ac:dyDescent="0.15">
      <c r="A387" s="19">
        <v>250.01533000000001</v>
      </c>
      <c r="B387" s="19">
        <v>173</v>
      </c>
      <c r="C387" s="19">
        <v>0.52524000000000004</v>
      </c>
      <c r="D387" s="19">
        <v>97.755020000000002</v>
      </c>
      <c r="E387" s="19">
        <v>20</v>
      </c>
      <c r="F387" s="19">
        <v>80</v>
      </c>
      <c r="G387" s="19">
        <v>1</v>
      </c>
      <c r="H387" s="16">
        <v>5</v>
      </c>
    </row>
    <row r="388" spans="1:8" x14ac:dyDescent="0.15">
      <c r="A388" s="19">
        <v>250.01670999999999</v>
      </c>
      <c r="B388" s="19">
        <v>173.5</v>
      </c>
      <c r="C388" s="19">
        <v>0.52427999999999997</v>
      </c>
      <c r="D388" s="19">
        <v>97.79889</v>
      </c>
      <c r="E388" s="19">
        <v>20</v>
      </c>
      <c r="F388" s="19">
        <v>80</v>
      </c>
      <c r="G388" s="19">
        <v>1</v>
      </c>
      <c r="H388" s="16">
        <v>5</v>
      </c>
    </row>
    <row r="389" spans="1:8" x14ac:dyDescent="0.15">
      <c r="A389" s="19">
        <v>250.01784000000001</v>
      </c>
      <c r="B389" s="19">
        <v>174</v>
      </c>
      <c r="C389" s="19">
        <v>0.52441000000000004</v>
      </c>
      <c r="D389" s="19">
        <v>97.755009999999999</v>
      </c>
      <c r="E389" s="19">
        <v>20</v>
      </c>
      <c r="F389" s="19">
        <v>80</v>
      </c>
      <c r="G389" s="19">
        <v>1</v>
      </c>
      <c r="H389" s="16">
        <v>5</v>
      </c>
    </row>
    <row r="390" spans="1:8" x14ac:dyDescent="0.15">
      <c r="A390" s="19">
        <v>250.01732000000001</v>
      </c>
      <c r="B390" s="19">
        <v>174.5</v>
      </c>
      <c r="C390" s="19">
        <v>0.52224000000000004</v>
      </c>
      <c r="D390" s="19">
        <v>97.701629999999994</v>
      </c>
      <c r="E390" s="19">
        <v>20</v>
      </c>
      <c r="F390" s="19">
        <v>80</v>
      </c>
      <c r="G390" s="19">
        <v>1</v>
      </c>
      <c r="H390" s="16">
        <v>5</v>
      </c>
    </row>
    <row r="391" spans="1:8" x14ac:dyDescent="0.15">
      <c r="A391" s="19">
        <v>250.01704000000001</v>
      </c>
      <c r="B391" s="19">
        <v>175</v>
      </c>
      <c r="C391" s="19">
        <v>0.52166000000000001</v>
      </c>
      <c r="D391" s="19">
        <v>97.732399999999998</v>
      </c>
      <c r="E391" s="19">
        <v>20</v>
      </c>
      <c r="F391" s="19">
        <v>80</v>
      </c>
      <c r="G391" s="19">
        <v>1</v>
      </c>
      <c r="H391" s="16">
        <v>5</v>
      </c>
    </row>
    <row r="392" spans="1:8" x14ac:dyDescent="0.15">
      <c r="A392" s="19">
        <v>250.01490999999999</v>
      </c>
      <c r="B392" s="19">
        <v>175.5</v>
      </c>
      <c r="C392" s="19">
        <v>0.52190999999999999</v>
      </c>
      <c r="D392" s="19">
        <v>97.763220000000004</v>
      </c>
      <c r="E392" s="19">
        <v>20</v>
      </c>
      <c r="F392" s="19">
        <v>80</v>
      </c>
      <c r="G392" s="19">
        <v>1</v>
      </c>
      <c r="H392" s="16">
        <v>5</v>
      </c>
    </row>
    <row r="393" spans="1:8" x14ac:dyDescent="0.15">
      <c r="A393" s="19">
        <v>250.01219</v>
      </c>
      <c r="B393" s="19">
        <v>176</v>
      </c>
      <c r="C393" s="19">
        <v>0.52190000000000003</v>
      </c>
      <c r="D393" s="19">
        <v>97.720730000000003</v>
      </c>
      <c r="E393" s="19">
        <v>20</v>
      </c>
      <c r="F393" s="19">
        <v>80</v>
      </c>
      <c r="G393" s="19">
        <v>1</v>
      </c>
      <c r="H393" s="16">
        <v>5</v>
      </c>
    </row>
    <row r="394" spans="1:8" x14ac:dyDescent="0.15">
      <c r="A394" s="19">
        <v>250.01222999999999</v>
      </c>
      <c r="B394" s="19">
        <v>176.5</v>
      </c>
      <c r="C394" s="19">
        <v>0.52144999999999997</v>
      </c>
      <c r="D394" s="19">
        <v>97.716160000000002</v>
      </c>
      <c r="E394" s="19">
        <v>20</v>
      </c>
      <c r="F394" s="19">
        <v>80</v>
      </c>
      <c r="G394" s="19">
        <v>1</v>
      </c>
      <c r="H394" s="16">
        <v>5</v>
      </c>
    </row>
    <row r="395" spans="1:8" x14ac:dyDescent="0.15">
      <c r="A395" s="19">
        <v>250.01584</v>
      </c>
      <c r="B395" s="19">
        <v>177</v>
      </c>
      <c r="C395" s="19">
        <v>0.52127000000000001</v>
      </c>
      <c r="D395" s="19">
        <v>97.708560000000006</v>
      </c>
      <c r="E395" s="19">
        <v>20</v>
      </c>
      <c r="F395" s="19">
        <v>80</v>
      </c>
      <c r="G395" s="19">
        <v>1</v>
      </c>
      <c r="H395" s="16">
        <v>5</v>
      </c>
    </row>
    <row r="396" spans="1:8" x14ac:dyDescent="0.15">
      <c r="A396" s="19">
        <v>250.01873000000001</v>
      </c>
      <c r="B396" s="19">
        <v>177.5</v>
      </c>
      <c r="C396" s="19">
        <v>0.52020999999999995</v>
      </c>
      <c r="D396" s="19">
        <v>97.671210000000002</v>
      </c>
      <c r="E396" s="19">
        <v>20</v>
      </c>
      <c r="F396" s="19">
        <v>80</v>
      </c>
      <c r="G396" s="19">
        <v>1</v>
      </c>
      <c r="H396" s="16">
        <v>5</v>
      </c>
    </row>
    <row r="397" spans="1:8" x14ac:dyDescent="0.15">
      <c r="A397" s="19">
        <v>250.01967999999999</v>
      </c>
      <c r="B397" s="19">
        <v>178</v>
      </c>
      <c r="C397" s="19">
        <v>0.51944000000000001</v>
      </c>
      <c r="D397" s="19">
        <v>97.610399999999998</v>
      </c>
      <c r="E397" s="19">
        <v>20</v>
      </c>
      <c r="F397" s="19">
        <v>80</v>
      </c>
      <c r="G397" s="19">
        <v>1</v>
      </c>
      <c r="H397" s="16">
        <v>5</v>
      </c>
    </row>
    <row r="398" spans="1:8" x14ac:dyDescent="0.15">
      <c r="A398" s="19">
        <v>250.02003999999999</v>
      </c>
      <c r="B398" s="19">
        <v>178.5</v>
      </c>
      <c r="C398" s="19">
        <v>0.51837</v>
      </c>
      <c r="D398" s="19">
        <v>97.650829999999999</v>
      </c>
      <c r="E398" s="19">
        <v>20</v>
      </c>
      <c r="F398" s="19">
        <v>80</v>
      </c>
      <c r="G398" s="19">
        <v>1</v>
      </c>
      <c r="H398" s="16">
        <v>5</v>
      </c>
    </row>
    <row r="399" spans="1:8" x14ac:dyDescent="0.15">
      <c r="A399" s="19">
        <v>250.02225999999999</v>
      </c>
      <c r="B399" s="19">
        <v>179</v>
      </c>
      <c r="C399" s="19">
        <v>0.51739999999999997</v>
      </c>
      <c r="D399" s="19">
        <v>97.580629999999999</v>
      </c>
      <c r="E399" s="19">
        <v>20</v>
      </c>
      <c r="F399" s="19">
        <v>80</v>
      </c>
      <c r="G399" s="19">
        <v>1</v>
      </c>
      <c r="H399" s="16">
        <v>5</v>
      </c>
    </row>
    <row r="400" spans="1:8" x14ac:dyDescent="0.15">
      <c r="A400" s="19">
        <v>250.02553</v>
      </c>
      <c r="B400" s="19">
        <v>179.5</v>
      </c>
      <c r="C400" s="19">
        <v>0.51581999999999995</v>
      </c>
      <c r="D400" s="19">
        <v>97.624970000000005</v>
      </c>
      <c r="E400" s="19">
        <v>20</v>
      </c>
      <c r="F400" s="19">
        <v>80</v>
      </c>
      <c r="G400" s="19">
        <v>1</v>
      </c>
      <c r="H400" s="16">
        <v>5</v>
      </c>
    </row>
    <row r="401" spans="1:8" x14ac:dyDescent="0.15">
      <c r="A401" s="19">
        <v>250.02367000000001</v>
      </c>
      <c r="B401" s="19">
        <v>180</v>
      </c>
      <c r="C401" s="19">
        <v>0.51585000000000003</v>
      </c>
      <c r="D401" s="19">
        <v>97.668130000000005</v>
      </c>
      <c r="E401" s="19">
        <v>20</v>
      </c>
      <c r="F401" s="19">
        <v>80</v>
      </c>
      <c r="G401" s="19">
        <v>1</v>
      </c>
      <c r="H401" s="16">
        <v>5</v>
      </c>
    </row>
    <row r="402" spans="1:8" x14ac:dyDescent="0.15">
      <c r="A402" s="19">
        <v>250.02158</v>
      </c>
      <c r="B402" s="19">
        <v>180.5</v>
      </c>
      <c r="C402" s="19">
        <v>0.51517999999999997</v>
      </c>
      <c r="D402" s="19">
        <v>97.524969999999996</v>
      </c>
      <c r="E402" s="19">
        <v>20</v>
      </c>
      <c r="F402" s="19">
        <v>80</v>
      </c>
      <c r="G402" s="19">
        <v>1</v>
      </c>
      <c r="H402" s="16">
        <v>5</v>
      </c>
    </row>
    <row r="403" spans="1:8" x14ac:dyDescent="0.15">
      <c r="A403" s="19">
        <v>250.02095</v>
      </c>
      <c r="B403" s="19">
        <v>181</v>
      </c>
      <c r="C403" s="19">
        <v>0.51505000000000001</v>
      </c>
      <c r="D403" s="19">
        <v>97.541380000000004</v>
      </c>
      <c r="E403" s="19">
        <v>20</v>
      </c>
      <c r="F403" s="19">
        <v>80</v>
      </c>
      <c r="G403" s="19">
        <v>1</v>
      </c>
      <c r="H403" s="16">
        <v>5</v>
      </c>
    </row>
    <row r="404" spans="1:8" x14ac:dyDescent="0.15">
      <c r="A404" s="19">
        <v>250.01711</v>
      </c>
      <c r="B404" s="19">
        <v>181.5</v>
      </c>
      <c r="C404" s="19">
        <v>0.51510999999999996</v>
      </c>
      <c r="D404" s="19">
        <v>97.519270000000006</v>
      </c>
      <c r="E404" s="19">
        <v>20</v>
      </c>
      <c r="F404" s="19">
        <v>80</v>
      </c>
      <c r="G404" s="19">
        <v>1</v>
      </c>
      <c r="H404" s="16">
        <v>5</v>
      </c>
    </row>
    <row r="405" spans="1:8" x14ac:dyDescent="0.15">
      <c r="A405" s="19">
        <v>250.01420999999999</v>
      </c>
      <c r="B405" s="19">
        <v>182</v>
      </c>
      <c r="C405" s="19">
        <v>0.51358000000000004</v>
      </c>
      <c r="D405" s="19">
        <v>97.594549999999998</v>
      </c>
      <c r="E405" s="19">
        <v>20</v>
      </c>
      <c r="F405" s="19">
        <v>80</v>
      </c>
      <c r="G405" s="19">
        <v>1</v>
      </c>
      <c r="H405" s="16">
        <v>5</v>
      </c>
    </row>
    <row r="406" spans="1:8" x14ac:dyDescent="0.15">
      <c r="A406" s="19">
        <v>250.01275000000001</v>
      </c>
      <c r="B406" s="19">
        <v>182.5</v>
      </c>
      <c r="C406" s="19">
        <v>0.51246000000000003</v>
      </c>
      <c r="D406" s="19">
        <v>97.544399999999996</v>
      </c>
      <c r="E406" s="19">
        <v>20</v>
      </c>
      <c r="F406" s="19">
        <v>80</v>
      </c>
      <c r="G406" s="19">
        <v>1</v>
      </c>
      <c r="H406" s="16">
        <v>5</v>
      </c>
    </row>
    <row r="407" spans="1:8" x14ac:dyDescent="0.15">
      <c r="A407" s="19">
        <v>250.00980999999999</v>
      </c>
      <c r="B407" s="19">
        <v>183</v>
      </c>
      <c r="C407" s="19">
        <v>0.51180000000000003</v>
      </c>
      <c r="D407" s="19">
        <v>97.462980000000002</v>
      </c>
      <c r="E407" s="19">
        <v>20</v>
      </c>
      <c r="F407" s="19">
        <v>80</v>
      </c>
      <c r="G407" s="19">
        <v>1</v>
      </c>
      <c r="H407" s="16">
        <v>5</v>
      </c>
    </row>
    <row r="408" spans="1:8" x14ac:dyDescent="0.15">
      <c r="A408" s="19">
        <v>250.01273</v>
      </c>
      <c r="B408" s="19">
        <v>183.5</v>
      </c>
      <c r="C408" s="19">
        <v>0.51124999999999998</v>
      </c>
      <c r="D408" s="19">
        <v>97.457499999999996</v>
      </c>
      <c r="E408" s="19">
        <v>20</v>
      </c>
      <c r="F408" s="19">
        <v>80</v>
      </c>
      <c r="G408" s="19">
        <v>1</v>
      </c>
      <c r="H408" s="16">
        <v>5</v>
      </c>
    </row>
    <row r="409" spans="1:8" x14ac:dyDescent="0.15">
      <c r="A409" s="19">
        <v>250.01130000000001</v>
      </c>
      <c r="B409" s="19">
        <v>184</v>
      </c>
      <c r="C409" s="19">
        <v>0.51224000000000003</v>
      </c>
      <c r="D409" s="19">
        <v>97.455160000000006</v>
      </c>
      <c r="E409" s="19">
        <v>20</v>
      </c>
      <c r="F409" s="19">
        <v>80</v>
      </c>
      <c r="G409" s="19">
        <v>1</v>
      </c>
      <c r="H409" s="16">
        <v>5</v>
      </c>
    </row>
    <row r="410" spans="1:8" x14ac:dyDescent="0.15">
      <c r="A410" s="19">
        <v>250.01400000000001</v>
      </c>
      <c r="B410" s="19">
        <v>184.5</v>
      </c>
      <c r="C410" s="19">
        <v>0.51122999999999996</v>
      </c>
      <c r="D410" s="19">
        <v>97.484539999999996</v>
      </c>
      <c r="E410" s="19">
        <v>20</v>
      </c>
      <c r="F410" s="19">
        <v>80</v>
      </c>
      <c r="G410" s="19">
        <v>1</v>
      </c>
      <c r="H410" s="16">
        <v>5</v>
      </c>
    </row>
    <row r="411" spans="1:8" x14ac:dyDescent="0.15">
      <c r="A411" s="19">
        <v>250.01694000000001</v>
      </c>
      <c r="B411" s="19">
        <v>185</v>
      </c>
      <c r="C411" s="19">
        <v>0.51160000000000005</v>
      </c>
      <c r="D411" s="19">
        <v>97.429860000000005</v>
      </c>
      <c r="E411" s="19">
        <v>20</v>
      </c>
      <c r="F411" s="19">
        <v>80</v>
      </c>
      <c r="G411" s="19">
        <v>1</v>
      </c>
      <c r="H411" s="16">
        <v>5</v>
      </c>
    </row>
    <row r="412" spans="1:8" x14ac:dyDescent="0.15">
      <c r="A412" s="19">
        <v>250.01778999999999</v>
      </c>
      <c r="B412" s="19">
        <v>185.5</v>
      </c>
      <c r="C412" s="19">
        <v>0.50985000000000003</v>
      </c>
      <c r="D412" s="19">
        <v>97.418580000000006</v>
      </c>
      <c r="E412" s="19">
        <v>20</v>
      </c>
      <c r="F412" s="19">
        <v>80</v>
      </c>
      <c r="G412" s="19">
        <v>1</v>
      </c>
      <c r="H412" s="16">
        <v>5</v>
      </c>
    </row>
    <row r="413" spans="1:8" x14ac:dyDescent="0.15">
      <c r="A413" s="19">
        <v>250.01749000000001</v>
      </c>
      <c r="B413" s="19">
        <v>186</v>
      </c>
      <c r="C413" s="19">
        <v>0.50956000000000001</v>
      </c>
      <c r="D413" s="19">
        <v>97.283109999999994</v>
      </c>
      <c r="E413" s="19">
        <v>20</v>
      </c>
      <c r="F413" s="19">
        <v>80</v>
      </c>
      <c r="G413" s="19">
        <v>1</v>
      </c>
      <c r="H413" s="16">
        <v>5</v>
      </c>
    </row>
    <row r="414" spans="1:8" x14ac:dyDescent="0.15">
      <c r="A414" s="19">
        <v>250.01974999999999</v>
      </c>
      <c r="B414" s="19">
        <v>186.5</v>
      </c>
      <c r="C414" s="19">
        <v>0.50997000000000003</v>
      </c>
      <c r="D414" s="19">
        <v>97.366039999999998</v>
      </c>
      <c r="E414" s="19">
        <v>20</v>
      </c>
      <c r="F414" s="19">
        <v>80</v>
      </c>
      <c r="G414" s="19">
        <v>1</v>
      </c>
      <c r="H414" s="16">
        <v>5</v>
      </c>
    </row>
    <row r="415" spans="1:8" x14ac:dyDescent="0.15">
      <c r="A415" s="19">
        <v>250.01915</v>
      </c>
      <c r="B415" s="19">
        <v>187</v>
      </c>
      <c r="C415" s="19">
        <v>0.50758000000000003</v>
      </c>
      <c r="D415" s="19">
        <v>97.44014</v>
      </c>
      <c r="E415" s="19">
        <v>20</v>
      </c>
      <c r="F415" s="19">
        <v>80</v>
      </c>
      <c r="G415" s="19">
        <v>1</v>
      </c>
      <c r="H415" s="16">
        <v>5</v>
      </c>
    </row>
    <row r="416" spans="1:8" x14ac:dyDescent="0.15">
      <c r="A416" s="19">
        <v>250.01516000000001</v>
      </c>
      <c r="B416" s="19">
        <v>187.5</v>
      </c>
      <c r="C416" s="19">
        <v>0.50651000000000002</v>
      </c>
      <c r="D416" s="19">
        <v>97.306160000000006</v>
      </c>
      <c r="E416" s="19">
        <v>20</v>
      </c>
      <c r="F416" s="19">
        <v>80</v>
      </c>
      <c r="G416" s="19">
        <v>1</v>
      </c>
      <c r="H416" s="16">
        <v>5</v>
      </c>
    </row>
    <row r="417" spans="1:8" x14ac:dyDescent="0.15">
      <c r="A417" s="19">
        <v>250.01362</v>
      </c>
      <c r="B417" s="19">
        <v>188</v>
      </c>
      <c r="C417" s="19">
        <v>0.50629999999999997</v>
      </c>
      <c r="D417" s="19">
        <v>97.269679999999994</v>
      </c>
      <c r="E417" s="19">
        <v>20</v>
      </c>
      <c r="F417" s="19">
        <v>80</v>
      </c>
      <c r="G417" s="19">
        <v>1</v>
      </c>
      <c r="H417" s="16">
        <v>5</v>
      </c>
    </row>
    <row r="418" spans="1:8" x14ac:dyDescent="0.15">
      <c r="A418" s="19">
        <v>250.00912</v>
      </c>
      <c r="B418" s="19">
        <v>188.5</v>
      </c>
      <c r="C418" s="19">
        <v>0.50609999999999999</v>
      </c>
      <c r="D418" s="19">
        <v>97.398259999999993</v>
      </c>
      <c r="E418" s="19">
        <v>20</v>
      </c>
      <c r="F418" s="19">
        <v>80</v>
      </c>
      <c r="G418" s="19">
        <v>1</v>
      </c>
      <c r="H418" s="16">
        <v>5</v>
      </c>
    </row>
    <row r="419" spans="1:8" x14ac:dyDescent="0.15">
      <c r="A419" s="19">
        <v>250.00702999999999</v>
      </c>
      <c r="B419" s="19">
        <v>189</v>
      </c>
      <c r="C419" s="19">
        <v>0.50631000000000004</v>
      </c>
      <c r="D419" s="19">
        <v>97.318849999999998</v>
      </c>
      <c r="E419" s="19">
        <v>20</v>
      </c>
      <c r="F419" s="19">
        <v>80</v>
      </c>
      <c r="G419" s="19">
        <v>1</v>
      </c>
      <c r="H419" s="16">
        <v>5</v>
      </c>
    </row>
    <row r="420" spans="1:8" x14ac:dyDescent="0.15">
      <c r="A420" s="19">
        <v>250.00998999999999</v>
      </c>
      <c r="B420" s="19">
        <v>189.5</v>
      </c>
      <c r="C420" s="19">
        <v>0.50605</v>
      </c>
      <c r="D420" s="19">
        <v>97.309790000000007</v>
      </c>
      <c r="E420" s="19">
        <v>20</v>
      </c>
      <c r="F420" s="19">
        <v>80</v>
      </c>
      <c r="G420" s="19">
        <v>1</v>
      </c>
      <c r="H420" s="16">
        <v>5</v>
      </c>
    </row>
    <row r="421" spans="1:8" x14ac:dyDescent="0.15">
      <c r="A421" s="19">
        <v>250.01439999999999</v>
      </c>
      <c r="B421" s="19">
        <v>190</v>
      </c>
      <c r="C421" s="19">
        <v>0.50273000000000001</v>
      </c>
      <c r="D421" s="19">
        <v>97.07987</v>
      </c>
      <c r="E421" s="19">
        <v>20</v>
      </c>
      <c r="F421" s="19">
        <v>80</v>
      </c>
      <c r="G421" s="19">
        <v>1</v>
      </c>
      <c r="H421" s="16">
        <v>5</v>
      </c>
    </row>
    <row r="422" spans="1:8" x14ac:dyDescent="0.15">
      <c r="A422" s="19">
        <v>250.01535000000001</v>
      </c>
      <c r="B422" s="19">
        <v>190.5</v>
      </c>
      <c r="C422" s="19">
        <v>0.50534999999999997</v>
      </c>
      <c r="D422" s="19">
        <v>97.319019999999995</v>
      </c>
      <c r="E422" s="19">
        <v>20</v>
      </c>
      <c r="F422" s="19">
        <v>80</v>
      </c>
      <c r="G422" s="19">
        <v>1</v>
      </c>
      <c r="H422" s="16">
        <v>5</v>
      </c>
    </row>
    <row r="423" spans="1:8" x14ac:dyDescent="0.15">
      <c r="A423" s="19">
        <v>250.01346000000001</v>
      </c>
      <c r="B423" s="19">
        <v>191</v>
      </c>
      <c r="C423" s="19">
        <v>0.50351999999999997</v>
      </c>
      <c r="D423" s="19">
        <v>97.281949999999995</v>
      </c>
      <c r="E423" s="19">
        <v>20</v>
      </c>
      <c r="F423" s="19">
        <v>80</v>
      </c>
      <c r="G423" s="19">
        <v>1</v>
      </c>
      <c r="H423" s="16">
        <v>5</v>
      </c>
    </row>
    <row r="424" spans="1:8" x14ac:dyDescent="0.15">
      <c r="A424" s="19">
        <v>250.01338000000001</v>
      </c>
      <c r="B424" s="19">
        <v>191.5</v>
      </c>
      <c r="C424" s="19">
        <v>0.50302999999999998</v>
      </c>
      <c r="D424" s="19">
        <v>97.271420000000006</v>
      </c>
      <c r="E424" s="19">
        <v>20</v>
      </c>
      <c r="F424" s="19">
        <v>80</v>
      </c>
      <c r="G424" s="19">
        <v>1</v>
      </c>
      <c r="H424" s="16">
        <v>5</v>
      </c>
    </row>
    <row r="425" spans="1:8" x14ac:dyDescent="0.15">
      <c r="A425" s="19">
        <v>250.01365000000001</v>
      </c>
      <c r="B425" s="19">
        <v>192</v>
      </c>
      <c r="C425" s="19">
        <v>0.50241999999999998</v>
      </c>
      <c r="D425" s="19">
        <v>97.238479999999996</v>
      </c>
      <c r="E425" s="19">
        <v>20</v>
      </c>
      <c r="F425" s="19">
        <v>80</v>
      </c>
      <c r="G425" s="19">
        <v>1</v>
      </c>
      <c r="H425" s="16">
        <v>5</v>
      </c>
    </row>
    <row r="426" spans="1:8" x14ac:dyDescent="0.15">
      <c r="A426" s="19">
        <v>250.01605000000001</v>
      </c>
      <c r="B426" s="19">
        <v>192.5</v>
      </c>
      <c r="C426" s="19">
        <v>0.50265000000000004</v>
      </c>
      <c r="D426" s="19">
        <v>97.274910000000006</v>
      </c>
      <c r="E426" s="19">
        <v>20</v>
      </c>
      <c r="F426" s="19">
        <v>80</v>
      </c>
      <c r="G426" s="19">
        <v>1</v>
      </c>
      <c r="H426" s="16">
        <v>5</v>
      </c>
    </row>
    <row r="427" spans="1:8" x14ac:dyDescent="0.15">
      <c r="A427" s="19">
        <v>250.02100999999999</v>
      </c>
      <c r="B427" s="19">
        <v>193</v>
      </c>
      <c r="C427" s="19">
        <v>0.50185000000000002</v>
      </c>
      <c r="D427" s="19">
        <v>97.126739999999998</v>
      </c>
      <c r="E427" s="19">
        <v>20</v>
      </c>
      <c r="F427" s="19">
        <v>80</v>
      </c>
      <c r="G427" s="19">
        <v>1</v>
      </c>
      <c r="H427" s="16">
        <v>5</v>
      </c>
    </row>
    <row r="428" spans="1:8" x14ac:dyDescent="0.15">
      <c r="A428" s="19">
        <v>250.02412000000001</v>
      </c>
      <c r="B428" s="19">
        <v>193.5</v>
      </c>
      <c r="C428" s="19">
        <v>0.50239</v>
      </c>
      <c r="D428" s="19">
        <v>97.159329999999997</v>
      </c>
      <c r="E428" s="19">
        <v>20</v>
      </c>
      <c r="F428" s="19">
        <v>80</v>
      </c>
      <c r="G428" s="19">
        <v>1</v>
      </c>
      <c r="H428" s="16">
        <v>5</v>
      </c>
    </row>
    <row r="429" spans="1:8" x14ac:dyDescent="0.15">
      <c r="A429" s="19">
        <v>250.02255</v>
      </c>
      <c r="B429" s="19">
        <v>194</v>
      </c>
      <c r="C429" s="19">
        <v>0.50068999999999997</v>
      </c>
      <c r="D429" s="19">
        <v>97.160430000000005</v>
      </c>
      <c r="E429" s="19">
        <v>20</v>
      </c>
      <c r="F429" s="19">
        <v>80</v>
      </c>
      <c r="G429" s="19">
        <v>1</v>
      </c>
      <c r="H429" s="16">
        <v>5</v>
      </c>
    </row>
    <row r="430" spans="1:8" x14ac:dyDescent="0.15">
      <c r="A430" s="19">
        <v>250.02379999999999</v>
      </c>
      <c r="B430" s="19">
        <v>194.5</v>
      </c>
      <c r="C430" s="19">
        <v>0.50034999999999996</v>
      </c>
      <c r="D430" s="19">
        <v>97.145910000000001</v>
      </c>
      <c r="E430" s="19">
        <v>20</v>
      </c>
      <c r="F430" s="19">
        <v>80</v>
      </c>
      <c r="G430" s="19">
        <v>1</v>
      </c>
      <c r="H430" s="16">
        <v>5</v>
      </c>
    </row>
    <row r="431" spans="1:8" x14ac:dyDescent="0.15">
      <c r="A431" s="19">
        <v>250.02357000000001</v>
      </c>
      <c r="B431" s="19">
        <v>195</v>
      </c>
      <c r="C431" s="19">
        <v>0.49923000000000001</v>
      </c>
      <c r="D431" s="19">
        <v>97.212059999999994</v>
      </c>
      <c r="E431" s="19">
        <v>20</v>
      </c>
      <c r="F431" s="19">
        <v>80</v>
      </c>
      <c r="G431" s="19">
        <v>1</v>
      </c>
      <c r="H431" s="16">
        <v>5</v>
      </c>
    </row>
    <row r="432" spans="1:8" x14ac:dyDescent="0.15">
      <c r="A432" s="19">
        <v>250.01685000000001</v>
      </c>
      <c r="B432" s="19">
        <v>195.5</v>
      </c>
      <c r="C432" s="19">
        <v>0.49659999999999999</v>
      </c>
      <c r="D432" s="19">
        <v>97.134110000000007</v>
      </c>
      <c r="E432" s="19">
        <v>20</v>
      </c>
      <c r="F432" s="19">
        <v>80</v>
      </c>
      <c r="G432" s="19">
        <v>1</v>
      </c>
      <c r="H432" s="16">
        <v>5</v>
      </c>
    </row>
    <row r="433" spans="1:8" x14ac:dyDescent="0.15">
      <c r="A433" s="19">
        <v>250.01499999999999</v>
      </c>
      <c r="B433" s="19">
        <v>196</v>
      </c>
      <c r="C433" s="19">
        <v>0.49697000000000002</v>
      </c>
      <c r="D433" s="19">
        <v>97.154579999999996</v>
      </c>
      <c r="E433" s="19">
        <v>20</v>
      </c>
      <c r="F433" s="19">
        <v>80</v>
      </c>
      <c r="G433" s="19">
        <v>1</v>
      </c>
      <c r="H433" s="16">
        <v>5</v>
      </c>
    </row>
    <row r="434" spans="1:8" x14ac:dyDescent="0.15">
      <c r="A434" s="19">
        <v>250.01740000000001</v>
      </c>
      <c r="B434" s="19">
        <v>196.5</v>
      </c>
      <c r="C434" s="19">
        <v>0.49807000000000001</v>
      </c>
      <c r="D434" s="19">
        <v>97.087530000000001</v>
      </c>
      <c r="E434" s="19">
        <v>20</v>
      </c>
      <c r="F434" s="19">
        <v>80</v>
      </c>
      <c r="G434" s="19">
        <v>1</v>
      </c>
      <c r="H434" s="16">
        <v>5</v>
      </c>
    </row>
    <row r="435" spans="1:8" x14ac:dyDescent="0.15">
      <c r="A435" s="19">
        <v>250.02026000000001</v>
      </c>
      <c r="B435" s="19">
        <v>197</v>
      </c>
      <c r="C435" s="19">
        <v>0.49698999999999999</v>
      </c>
      <c r="D435" s="19">
        <v>97.154539999999997</v>
      </c>
      <c r="E435" s="19">
        <v>20</v>
      </c>
      <c r="F435" s="19">
        <v>80</v>
      </c>
      <c r="G435" s="19">
        <v>1</v>
      </c>
      <c r="H435" s="16">
        <v>5</v>
      </c>
    </row>
    <row r="436" spans="1:8" x14ac:dyDescent="0.15">
      <c r="A436" s="19">
        <v>250.01850999999999</v>
      </c>
      <c r="B436" s="19">
        <v>197.5</v>
      </c>
      <c r="C436" s="19">
        <v>0.49673</v>
      </c>
      <c r="D436" s="19">
        <v>97.037739999999999</v>
      </c>
      <c r="E436" s="19">
        <v>20</v>
      </c>
      <c r="F436" s="19">
        <v>80</v>
      </c>
      <c r="G436" s="19">
        <v>1</v>
      </c>
      <c r="H436" s="16">
        <v>5</v>
      </c>
    </row>
    <row r="437" spans="1:8" x14ac:dyDescent="0.15">
      <c r="A437" s="19">
        <v>250.01621</v>
      </c>
      <c r="B437" s="19">
        <v>198</v>
      </c>
      <c r="C437" s="19">
        <v>0.49634</v>
      </c>
      <c r="D437" s="19">
        <v>96.985339999999994</v>
      </c>
      <c r="E437" s="19">
        <v>20</v>
      </c>
      <c r="F437" s="19">
        <v>80</v>
      </c>
      <c r="G437" s="19">
        <v>1</v>
      </c>
      <c r="H437" s="16">
        <v>5</v>
      </c>
    </row>
    <row r="438" spans="1:8" x14ac:dyDescent="0.15">
      <c r="A438" s="19">
        <v>250.01743999999999</v>
      </c>
      <c r="B438" s="19">
        <v>198.5</v>
      </c>
      <c r="C438" s="19">
        <v>0.49524000000000001</v>
      </c>
      <c r="D438" s="19">
        <v>97.119879999999995</v>
      </c>
      <c r="E438" s="19">
        <v>20</v>
      </c>
      <c r="F438" s="19">
        <v>80</v>
      </c>
      <c r="G438" s="19">
        <v>1</v>
      </c>
      <c r="H438" s="16">
        <v>5</v>
      </c>
    </row>
    <row r="439" spans="1:8" x14ac:dyDescent="0.15">
      <c r="A439" s="19">
        <v>250.01569000000001</v>
      </c>
      <c r="B439" s="19">
        <v>199</v>
      </c>
      <c r="C439" s="19">
        <v>0.49579000000000001</v>
      </c>
      <c r="D439" s="19">
        <v>97.00873</v>
      </c>
      <c r="E439" s="19">
        <v>20</v>
      </c>
      <c r="F439" s="19">
        <v>80</v>
      </c>
      <c r="G439" s="19">
        <v>1</v>
      </c>
      <c r="H439" s="16">
        <v>5</v>
      </c>
    </row>
    <row r="440" spans="1:8" x14ac:dyDescent="0.15">
      <c r="A440" s="19">
        <v>250.01473999999999</v>
      </c>
      <c r="B440" s="19">
        <v>199.5</v>
      </c>
      <c r="C440" s="19">
        <v>0.49465999999999999</v>
      </c>
      <c r="D440" s="19">
        <v>96.98066</v>
      </c>
      <c r="E440" s="19">
        <v>20</v>
      </c>
      <c r="F440" s="19">
        <v>80</v>
      </c>
      <c r="G440" s="19">
        <v>1</v>
      </c>
      <c r="H440" s="16">
        <v>5</v>
      </c>
    </row>
    <row r="441" spans="1:8" x14ac:dyDescent="0.15">
      <c r="A441" s="19">
        <v>250.01173</v>
      </c>
      <c r="B441" s="19">
        <v>200</v>
      </c>
      <c r="C441" s="19">
        <v>0.49376999999999999</v>
      </c>
      <c r="D441" s="19">
        <v>97.007959999999997</v>
      </c>
      <c r="E441" s="19">
        <v>20</v>
      </c>
      <c r="F441" s="19">
        <v>80</v>
      </c>
      <c r="G441" s="19">
        <v>1</v>
      </c>
      <c r="H441" s="16">
        <v>5</v>
      </c>
    </row>
    <row r="442" spans="1:8" x14ac:dyDescent="0.15">
      <c r="A442" s="19">
        <v>250.01</v>
      </c>
      <c r="B442" s="19">
        <v>200.5</v>
      </c>
      <c r="C442" s="19">
        <v>0.49249999999999999</v>
      </c>
      <c r="D442" s="19">
        <v>96.936809999999994</v>
      </c>
      <c r="E442" s="19">
        <v>20</v>
      </c>
      <c r="F442" s="19">
        <v>80</v>
      </c>
      <c r="G442" s="19">
        <v>1</v>
      </c>
      <c r="H442" s="16">
        <v>5</v>
      </c>
    </row>
    <row r="443" spans="1:8" x14ac:dyDescent="0.15">
      <c r="A443" s="19">
        <v>250.00919999999999</v>
      </c>
      <c r="B443" s="19">
        <v>201</v>
      </c>
      <c r="C443" s="19">
        <v>0.49287999999999998</v>
      </c>
      <c r="D443" s="19">
        <v>96.942729999999997</v>
      </c>
      <c r="E443" s="19">
        <v>20</v>
      </c>
      <c r="F443" s="19">
        <v>80</v>
      </c>
      <c r="G443" s="19">
        <v>1</v>
      </c>
      <c r="H443" s="16">
        <v>5</v>
      </c>
    </row>
    <row r="444" spans="1:8" x14ac:dyDescent="0.15">
      <c r="A444" s="19">
        <v>250.00842</v>
      </c>
      <c r="B444" s="19">
        <v>201.5</v>
      </c>
      <c r="C444" s="19">
        <v>0.49251</v>
      </c>
      <c r="D444" s="19">
        <v>97.065669999999997</v>
      </c>
      <c r="E444" s="19">
        <v>20</v>
      </c>
      <c r="F444" s="19">
        <v>80</v>
      </c>
      <c r="G444" s="19">
        <v>1</v>
      </c>
      <c r="H444" s="16">
        <v>5</v>
      </c>
    </row>
    <row r="445" spans="1:8" x14ac:dyDescent="0.15">
      <c r="A445" s="19">
        <v>250.01013</v>
      </c>
      <c r="B445" s="19">
        <v>202</v>
      </c>
      <c r="C445" s="19">
        <v>0.49262</v>
      </c>
      <c r="D445" s="19">
        <v>96.963520000000003</v>
      </c>
      <c r="E445" s="19">
        <v>20</v>
      </c>
      <c r="F445" s="19">
        <v>80</v>
      </c>
      <c r="G445" s="19">
        <v>1</v>
      </c>
      <c r="H445" s="16">
        <v>5</v>
      </c>
    </row>
    <row r="446" spans="1:8" x14ac:dyDescent="0.15">
      <c r="A446" s="19">
        <v>250.01224999999999</v>
      </c>
      <c r="B446" s="19">
        <v>202.5</v>
      </c>
      <c r="C446" s="19">
        <v>0.49173</v>
      </c>
      <c r="D446" s="19">
        <v>96.935220000000001</v>
      </c>
      <c r="E446" s="19">
        <v>20</v>
      </c>
      <c r="F446" s="19">
        <v>80</v>
      </c>
      <c r="G446" s="19">
        <v>1</v>
      </c>
      <c r="H446" s="16">
        <v>5</v>
      </c>
    </row>
    <row r="447" spans="1:8" x14ac:dyDescent="0.15">
      <c r="A447" s="19">
        <v>250.01417000000001</v>
      </c>
      <c r="B447" s="19">
        <v>203</v>
      </c>
      <c r="C447" s="19">
        <v>0.49213000000000001</v>
      </c>
      <c r="D447" s="19">
        <v>97.011279999999999</v>
      </c>
      <c r="E447" s="19">
        <v>20</v>
      </c>
      <c r="F447" s="19">
        <v>80</v>
      </c>
      <c r="G447" s="19">
        <v>1</v>
      </c>
      <c r="H447" s="16">
        <v>5</v>
      </c>
    </row>
    <row r="448" spans="1:8" x14ac:dyDescent="0.15">
      <c r="A448" s="19">
        <v>250.01322999999999</v>
      </c>
      <c r="B448" s="19">
        <v>203.5</v>
      </c>
      <c r="C448" s="19">
        <v>0.49191000000000001</v>
      </c>
      <c r="D448" s="19">
        <v>96.877970000000005</v>
      </c>
      <c r="E448" s="19">
        <v>20</v>
      </c>
      <c r="F448" s="19">
        <v>80</v>
      </c>
      <c r="G448" s="19">
        <v>1</v>
      </c>
      <c r="H448" s="16">
        <v>5</v>
      </c>
    </row>
    <row r="449" spans="1:8" x14ac:dyDescent="0.15">
      <c r="A449" s="19">
        <v>250.01195000000001</v>
      </c>
      <c r="B449" s="19">
        <v>204</v>
      </c>
      <c r="C449" s="19">
        <v>0.49021999999999999</v>
      </c>
      <c r="D449" s="19">
        <v>96.776929999999993</v>
      </c>
      <c r="E449" s="19">
        <v>20</v>
      </c>
      <c r="F449" s="19">
        <v>80</v>
      </c>
      <c r="G449" s="19">
        <v>1</v>
      </c>
      <c r="H449" s="16">
        <v>5</v>
      </c>
    </row>
    <row r="450" spans="1:8" x14ac:dyDescent="0.15">
      <c r="A450" s="19">
        <v>250.01277999999999</v>
      </c>
      <c r="B450" s="19">
        <v>204.5</v>
      </c>
      <c r="C450" s="19">
        <v>0.49110999999999999</v>
      </c>
      <c r="D450" s="19">
        <v>96.952190000000002</v>
      </c>
      <c r="E450" s="19">
        <v>20</v>
      </c>
      <c r="F450" s="19">
        <v>80</v>
      </c>
      <c r="G450" s="19">
        <v>1</v>
      </c>
      <c r="H450" s="16">
        <v>5</v>
      </c>
    </row>
    <row r="451" spans="1:8" x14ac:dyDescent="0.15">
      <c r="A451" s="19">
        <v>250.01458</v>
      </c>
      <c r="B451" s="19">
        <v>205</v>
      </c>
      <c r="C451" s="19">
        <v>0.48837999999999998</v>
      </c>
      <c r="D451" s="19">
        <v>96.885800000000003</v>
      </c>
      <c r="E451" s="19">
        <v>20</v>
      </c>
      <c r="F451" s="19">
        <v>80</v>
      </c>
      <c r="G451" s="19">
        <v>1</v>
      </c>
      <c r="H451" s="16">
        <v>5</v>
      </c>
    </row>
    <row r="452" spans="1:8" x14ac:dyDescent="0.15">
      <c r="A452" s="19">
        <v>250.02132</v>
      </c>
      <c r="B452" s="19">
        <v>205.5</v>
      </c>
      <c r="C452" s="19">
        <v>0.48918</v>
      </c>
      <c r="D452" s="19">
        <v>96.873040000000003</v>
      </c>
      <c r="E452" s="19">
        <v>20</v>
      </c>
      <c r="F452" s="19">
        <v>80</v>
      </c>
      <c r="G452" s="19">
        <v>1</v>
      </c>
      <c r="H452" s="16">
        <v>5</v>
      </c>
    </row>
    <row r="453" spans="1:8" x14ac:dyDescent="0.15">
      <c r="A453" s="19">
        <v>250.02468999999999</v>
      </c>
      <c r="B453" s="19">
        <v>206</v>
      </c>
      <c r="C453" s="19">
        <v>0.48882999999999999</v>
      </c>
      <c r="D453" s="19">
        <v>96.870050000000006</v>
      </c>
      <c r="E453" s="19">
        <v>20</v>
      </c>
      <c r="F453" s="19">
        <v>80</v>
      </c>
      <c r="G453" s="19">
        <v>1</v>
      </c>
      <c r="H453" s="16">
        <v>5</v>
      </c>
    </row>
    <row r="454" spans="1:8" x14ac:dyDescent="0.15">
      <c r="A454" s="19">
        <v>250.02956</v>
      </c>
      <c r="B454" s="19">
        <v>206.5</v>
      </c>
      <c r="C454" s="19">
        <v>0.48787999999999998</v>
      </c>
      <c r="D454" s="19">
        <v>96.804910000000007</v>
      </c>
      <c r="E454" s="19">
        <v>20</v>
      </c>
      <c r="F454" s="19">
        <v>80</v>
      </c>
      <c r="G454" s="19">
        <v>1</v>
      </c>
      <c r="H454" s="16">
        <v>5</v>
      </c>
    </row>
    <row r="455" spans="1:8" x14ac:dyDescent="0.15">
      <c r="A455" s="19">
        <v>250.02794</v>
      </c>
      <c r="B455" s="19">
        <v>207</v>
      </c>
      <c r="C455" s="19">
        <v>0.48770999999999998</v>
      </c>
      <c r="D455" s="19">
        <v>96.808490000000006</v>
      </c>
      <c r="E455" s="19">
        <v>20</v>
      </c>
      <c r="F455" s="19">
        <v>80</v>
      </c>
      <c r="G455" s="19">
        <v>1</v>
      </c>
      <c r="H455" s="16">
        <v>5</v>
      </c>
    </row>
    <row r="456" spans="1:8" x14ac:dyDescent="0.15">
      <c r="A456" s="19">
        <v>250.02812</v>
      </c>
      <c r="B456" s="19">
        <v>207.5</v>
      </c>
      <c r="C456" s="19">
        <v>0.48692999999999997</v>
      </c>
      <c r="D456" s="19">
        <v>96.835139999999996</v>
      </c>
      <c r="E456" s="19">
        <v>20</v>
      </c>
      <c r="F456" s="19">
        <v>80</v>
      </c>
      <c r="G456" s="19">
        <v>1</v>
      </c>
      <c r="H456" s="16">
        <v>5</v>
      </c>
    </row>
    <row r="457" spans="1:8" x14ac:dyDescent="0.15">
      <c r="A457" s="19">
        <v>250.02622</v>
      </c>
      <c r="B457" s="19">
        <v>208</v>
      </c>
      <c r="C457" s="19">
        <v>0.48563000000000001</v>
      </c>
      <c r="D457" s="19">
        <v>96.817480000000003</v>
      </c>
      <c r="E457" s="19">
        <v>20</v>
      </c>
      <c r="F457" s="19">
        <v>80</v>
      </c>
      <c r="G457" s="19">
        <v>1</v>
      </c>
      <c r="H457" s="16">
        <v>5</v>
      </c>
    </row>
    <row r="458" spans="1:8" x14ac:dyDescent="0.15">
      <c r="A458" s="19">
        <v>250.02251000000001</v>
      </c>
      <c r="B458" s="19">
        <v>208.5</v>
      </c>
      <c r="C458" s="19">
        <v>0.48543999999999998</v>
      </c>
      <c r="D458" s="19">
        <v>96.755600000000001</v>
      </c>
      <c r="E458" s="19">
        <v>20</v>
      </c>
      <c r="F458" s="19">
        <v>80</v>
      </c>
      <c r="G458" s="19">
        <v>1</v>
      </c>
      <c r="H458" s="16">
        <v>5</v>
      </c>
    </row>
    <row r="459" spans="1:8" x14ac:dyDescent="0.15">
      <c r="A459" s="19">
        <v>250.02027000000001</v>
      </c>
      <c r="B459" s="19">
        <v>209</v>
      </c>
      <c r="C459" s="19">
        <v>0.48659999999999998</v>
      </c>
      <c r="D459" s="19">
        <v>96.808980000000005</v>
      </c>
      <c r="E459" s="19">
        <v>20</v>
      </c>
      <c r="F459" s="19">
        <v>80</v>
      </c>
      <c r="G459" s="19">
        <v>1</v>
      </c>
      <c r="H459" s="16">
        <v>5</v>
      </c>
    </row>
    <row r="460" spans="1:8" x14ac:dyDescent="0.15">
      <c r="A460" s="19">
        <v>250.01705000000001</v>
      </c>
      <c r="B460" s="19">
        <v>209.5</v>
      </c>
      <c r="C460" s="19">
        <v>0.48455999999999999</v>
      </c>
      <c r="D460" s="19">
        <v>96.740480000000005</v>
      </c>
      <c r="E460" s="19">
        <v>20</v>
      </c>
      <c r="F460" s="19">
        <v>80</v>
      </c>
      <c r="G460" s="19">
        <v>1</v>
      </c>
      <c r="H460" s="16">
        <v>5</v>
      </c>
    </row>
    <row r="461" spans="1:8" x14ac:dyDescent="0.15">
      <c r="A461" s="19">
        <v>250.01033000000001</v>
      </c>
      <c r="B461" s="19">
        <v>210</v>
      </c>
      <c r="C461" s="19">
        <v>0.48401</v>
      </c>
      <c r="D461" s="19">
        <v>96.756079999999997</v>
      </c>
      <c r="E461" s="19">
        <v>20</v>
      </c>
      <c r="F461" s="19">
        <v>80</v>
      </c>
      <c r="G461" s="19">
        <v>1</v>
      </c>
      <c r="H461" s="16">
        <v>5</v>
      </c>
    </row>
    <row r="462" spans="1:8" x14ac:dyDescent="0.15">
      <c r="A462" s="19">
        <v>250.00957</v>
      </c>
      <c r="B462" s="19">
        <v>210.5</v>
      </c>
      <c r="C462" s="19">
        <v>0.48520000000000002</v>
      </c>
      <c r="D462" s="19">
        <v>96.73563</v>
      </c>
      <c r="E462" s="19">
        <v>20</v>
      </c>
      <c r="F462" s="19">
        <v>80</v>
      </c>
      <c r="G462" s="19">
        <v>1</v>
      </c>
      <c r="H462" s="16">
        <v>5</v>
      </c>
    </row>
    <row r="463" spans="1:8" x14ac:dyDescent="0.15">
      <c r="A463" s="19">
        <v>250.00993</v>
      </c>
      <c r="B463" s="19">
        <v>211</v>
      </c>
      <c r="C463" s="19">
        <v>0.48469000000000001</v>
      </c>
      <c r="D463" s="19">
        <v>96.679180000000002</v>
      </c>
      <c r="E463" s="19">
        <v>20</v>
      </c>
      <c r="F463" s="19">
        <v>80</v>
      </c>
      <c r="G463" s="19">
        <v>1</v>
      </c>
      <c r="H463" s="16">
        <v>5</v>
      </c>
    </row>
    <row r="464" spans="1:8" x14ac:dyDescent="0.15">
      <c r="A464" s="19">
        <v>250.01175000000001</v>
      </c>
      <c r="B464" s="19">
        <v>211.5</v>
      </c>
      <c r="C464" s="19">
        <v>0.48558000000000001</v>
      </c>
      <c r="D464" s="19">
        <v>96.690010000000001</v>
      </c>
      <c r="E464" s="19">
        <v>20</v>
      </c>
      <c r="F464" s="19">
        <v>80</v>
      </c>
      <c r="G464" s="19">
        <v>1</v>
      </c>
      <c r="H464" s="16">
        <v>5</v>
      </c>
    </row>
    <row r="465" spans="1:8" x14ac:dyDescent="0.15">
      <c r="A465" s="19">
        <v>250.01005000000001</v>
      </c>
      <c r="B465" s="19">
        <v>212</v>
      </c>
      <c r="C465" s="19">
        <v>0.48632999999999998</v>
      </c>
      <c r="D465" s="19">
        <v>96.677409999999995</v>
      </c>
      <c r="E465" s="19">
        <v>20</v>
      </c>
      <c r="F465" s="19">
        <v>80</v>
      </c>
      <c r="G465" s="19">
        <v>1</v>
      </c>
      <c r="H465" s="16">
        <v>5</v>
      </c>
    </row>
    <row r="466" spans="1:8" x14ac:dyDescent="0.15">
      <c r="A466" s="19">
        <v>250.00939</v>
      </c>
      <c r="B466" s="19">
        <v>212.5</v>
      </c>
      <c r="C466" s="19">
        <v>0.48448000000000002</v>
      </c>
      <c r="D466" s="19">
        <v>96.608059999999995</v>
      </c>
      <c r="E466" s="19">
        <v>20</v>
      </c>
      <c r="F466" s="19">
        <v>80</v>
      </c>
      <c r="G466" s="19">
        <v>1</v>
      </c>
      <c r="H466" s="16">
        <v>5</v>
      </c>
    </row>
    <row r="467" spans="1:8" x14ac:dyDescent="0.15">
      <c r="A467" s="19">
        <v>250.01309000000001</v>
      </c>
      <c r="B467" s="19">
        <v>213</v>
      </c>
      <c r="C467" s="19">
        <v>0.48462</v>
      </c>
      <c r="D467" s="19">
        <v>96.75385</v>
      </c>
      <c r="E467" s="19">
        <v>20</v>
      </c>
      <c r="F467" s="19">
        <v>80</v>
      </c>
      <c r="G467" s="19">
        <v>1</v>
      </c>
      <c r="H467" s="16">
        <v>5</v>
      </c>
    </row>
    <row r="468" spans="1:8" x14ac:dyDescent="0.15">
      <c r="A468" s="19">
        <v>250.01381000000001</v>
      </c>
      <c r="B468" s="19">
        <v>213.5</v>
      </c>
      <c r="C468" s="19">
        <v>0.48259000000000002</v>
      </c>
      <c r="D468" s="19">
        <v>96.637129999999999</v>
      </c>
      <c r="E468" s="19">
        <v>20</v>
      </c>
      <c r="F468" s="19">
        <v>80</v>
      </c>
      <c r="G468" s="19">
        <v>1</v>
      </c>
      <c r="H468" s="16">
        <v>5</v>
      </c>
    </row>
    <row r="469" spans="1:8" x14ac:dyDescent="0.15">
      <c r="A469" s="19">
        <v>250.01535999999999</v>
      </c>
      <c r="B469" s="19">
        <v>214</v>
      </c>
      <c r="C469" s="19">
        <v>0.48168</v>
      </c>
      <c r="D469" s="19">
        <v>96.608509999999995</v>
      </c>
      <c r="E469" s="19">
        <v>20</v>
      </c>
      <c r="F469" s="19">
        <v>80</v>
      </c>
      <c r="G469" s="19">
        <v>1</v>
      </c>
      <c r="H469" s="16">
        <v>5</v>
      </c>
    </row>
    <row r="470" spans="1:8" x14ac:dyDescent="0.15">
      <c r="A470" s="19">
        <v>250.01685000000001</v>
      </c>
      <c r="B470" s="19">
        <v>214.5</v>
      </c>
      <c r="C470" s="19">
        <v>0.48199999999999998</v>
      </c>
      <c r="D470" s="19">
        <v>96.602180000000004</v>
      </c>
      <c r="E470" s="19">
        <v>20</v>
      </c>
      <c r="F470" s="19">
        <v>80</v>
      </c>
      <c r="G470" s="19">
        <v>1</v>
      </c>
      <c r="H470" s="16">
        <v>5</v>
      </c>
    </row>
    <row r="471" spans="1:8" x14ac:dyDescent="0.15">
      <c r="A471" s="19">
        <v>250.02067</v>
      </c>
      <c r="B471" s="19">
        <v>215</v>
      </c>
      <c r="C471" s="19">
        <v>0.48121000000000003</v>
      </c>
      <c r="D471" s="19">
        <v>96.647810000000007</v>
      </c>
      <c r="E471" s="19">
        <v>20</v>
      </c>
      <c r="F471" s="19">
        <v>80</v>
      </c>
      <c r="G471" s="19">
        <v>1</v>
      </c>
      <c r="H471" s="16">
        <v>5</v>
      </c>
    </row>
    <row r="472" spans="1:8" x14ac:dyDescent="0.15">
      <c r="A472" s="19">
        <v>250.01804000000001</v>
      </c>
      <c r="B472" s="19">
        <v>215.5</v>
      </c>
      <c r="C472" s="19">
        <v>0.48241000000000001</v>
      </c>
      <c r="D472" s="19">
        <v>96.566230000000004</v>
      </c>
      <c r="E472" s="19">
        <v>20</v>
      </c>
      <c r="F472" s="19">
        <v>80</v>
      </c>
      <c r="G472" s="19">
        <v>1</v>
      </c>
      <c r="H472" s="16">
        <v>5</v>
      </c>
    </row>
    <row r="473" spans="1:8" x14ac:dyDescent="0.15">
      <c r="A473" s="19">
        <v>250.01803000000001</v>
      </c>
      <c r="B473" s="19">
        <v>216</v>
      </c>
      <c r="C473" s="19">
        <v>0.47974</v>
      </c>
      <c r="D473" s="19">
        <v>96.576809999999995</v>
      </c>
      <c r="E473" s="19">
        <v>20</v>
      </c>
      <c r="F473" s="19">
        <v>80</v>
      </c>
      <c r="G473" s="19">
        <v>1</v>
      </c>
      <c r="H473" s="16">
        <v>5</v>
      </c>
    </row>
    <row r="474" spans="1:8" x14ac:dyDescent="0.15">
      <c r="A474" s="19">
        <v>250.02203</v>
      </c>
      <c r="B474" s="19">
        <v>216.5</v>
      </c>
      <c r="C474" s="19">
        <v>0.48065000000000002</v>
      </c>
      <c r="D474" s="19">
        <v>96.65334</v>
      </c>
      <c r="E474" s="19">
        <v>20</v>
      </c>
      <c r="F474" s="19">
        <v>80</v>
      </c>
      <c r="G474" s="19">
        <v>1</v>
      </c>
      <c r="H474" s="16">
        <v>5</v>
      </c>
    </row>
    <row r="475" spans="1:8" x14ac:dyDescent="0.15">
      <c r="A475" s="19">
        <v>250.02135999999999</v>
      </c>
      <c r="B475" s="19">
        <v>217</v>
      </c>
      <c r="C475" s="19">
        <v>0.47854000000000002</v>
      </c>
      <c r="D475" s="19">
        <v>96.524370000000005</v>
      </c>
      <c r="E475" s="19">
        <v>20</v>
      </c>
      <c r="F475" s="19">
        <v>80</v>
      </c>
      <c r="G475" s="19">
        <v>1</v>
      </c>
      <c r="H475" s="16">
        <v>5</v>
      </c>
    </row>
    <row r="476" spans="1:8" x14ac:dyDescent="0.15">
      <c r="A476" s="19">
        <v>250.02058</v>
      </c>
      <c r="B476" s="19">
        <v>217.5</v>
      </c>
      <c r="C476" s="19">
        <v>0.47821999999999998</v>
      </c>
      <c r="D476" s="19">
        <v>96.488029999999995</v>
      </c>
      <c r="E476" s="19">
        <v>20</v>
      </c>
      <c r="F476" s="19">
        <v>80</v>
      </c>
      <c r="G476" s="19">
        <v>1</v>
      </c>
      <c r="H476" s="16">
        <v>5</v>
      </c>
    </row>
    <row r="477" spans="1:8" x14ac:dyDescent="0.15">
      <c r="A477" s="19">
        <v>250.01768000000001</v>
      </c>
      <c r="B477" s="19">
        <v>218</v>
      </c>
      <c r="C477" s="19">
        <v>0.47921000000000002</v>
      </c>
      <c r="D477" s="19">
        <v>96.464089999999999</v>
      </c>
      <c r="E477" s="19">
        <v>20</v>
      </c>
      <c r="F477" s="19">
        <v>80</v>
      </c>
      <c r="G477" s="19">
        <v>1</v>
      </c>
      <c r="H477" s="16">
        <v>5</v>
      </c>
    </row>
    <row r="478" spans="1:8" x14ac:dyDescent="0.15">
      <c r="A478" s="19">
        <v>250.01084</v>
      </c>
      <c r="B478" s="19">
        <v>218.5</v>
      </c>
      <c r="C478" s="19">
        <v>0.47793000000000002</v>
      </c>
      <c r="D478" s="19">
        <v>96.493129999999994</v>
      </c>
      <c r="E478" s="19">
        <v>20</v>
      </c>
      <c r="F478" s="19">
        <v>80</v>
      </c>
      <c r="G478" s="19">
        <v>1</v>
      </c>
      <c r="H478" s="16">
        <v>5</v>
      </c>
    </row>
    <row r="479" spans="1:8" x14ac:dyDescent="0.15">
      <c r="A479" s="19">
        <v>250.00572</v>
      </c>
      <c r="B479" s="19">
        <v>219</v>
      </c>
      <c r="C479" s="19">
        <v>0.47933999999999999</v>
      </c>
      <c r="D479" s="19">
        <v>96.433359999999993</v>
      </c>
      <c r="E479" s="19">
        <v>20</v>
      </c>
      <c r="F479" s="19">
        <v>80</v>
      </c>
      <c r="G479" s="19">
        <v>1</v>
      </c>
      <c r="H479" s="16">
        <v>5</v>
      </c>
    </row>
    <row r="480" spans="1:8" x14ac:dyDescent="0.15">
      <c r="A480" s="19">
        <v>250.00665000000001</v>
      </c>
      <c r="B480" s="19">
        <v>219.5</v>
      </c>
      <c r="C480" s="19">
        <v>0.47910000000000003</v>
      </c>
      <c r="D480" s="19">
        <v>96.517560000000003</v>
      </c>
      <c r="E480" s="19">
        <v>20</v>
      </c>
      <c r="F480" s="19">
        <v>80</v>
      </c>
      <c r="G480" s="19">
        <v>1</v>
      </c>
      <c r="H480" s="16">
        <v>5</v>
      </c>
    </row>
    <row r="481" spans="1:8" x14ac:dyDescent="0.15">
      <c r="A481" s="19">
        <v>250.01176000000001</v>
      </c>
      <c r="B481" s="19">
        <v>220</v>
      </c>
      <c r="C481" s="19">
        <v>0.47948000000000002</v>
      </c>
      <c r="D481" s="19">
        <v>96.450299999999999</v>
      </c>
      <c r="E481" s="19">
        <v>20</v>
      </c>
      <c r="F481" s="19">
        <v>80</v>
      </c>
      <c r="G481" s="19">
        <v>1</v>
      </c>
      <c r="H481" s="16">
        <v>5</v>
      </c>
    </row>
    <row r="482" spans="1:8" x14ac:dyDescent="0.15">
      <c r="A482" s="19">
        <v>250.01491999999999</v>
      </c>
      <c r="B482" s="19">
        <v>220.5</v>
      </c>
      <c r="C482" s="19">
        <v>0.47766999999999998</v>
      </c>
      <c r="D482" s="19">
        <v>96.439350000000005</v>
      </c>
      <c r="E482" s="19">
        <v>20</v>
      </c>
      <c r="F482" s="19">
        <v>80</v>
      </c>
      <c r="G482" s="19">
        <v>1</v>
      </c>
      <c r="H482" s="16">
        <v>5</v>
      </c>
    </row>
    <row r="483" spans="1:8" x14ac:dyDescent="0.15">
      <c r="A483" s="19">
        <v>250.01733999999999</v>
      </c>
      <c r="B483" s="19">
        <v>221</v>
      </c>
      <c r="C483" s="19">
        <v>0.47886000000000001</v>
      </c>
      <c r="D483" s="19">
        <v>96.446929999999995</v>
      </c>
      <c r="E483" s="19">
        <v>20</v>
      </c>
      <c r="F483" s="19">
        <v>80</v>
      </c>
      <c r="G483" s="19">
        <v>1</v>
      </c>
      <c r="H483" s="16">
        <v>5</v>
      </c>
    </row>
    <row r="484" spans="1:8" x14ac:dyDescent="0.15">
      <c r="A484" s="19">
        <v>250.01958999999999</v>
      </c>
      <c r="B484" s="19">
        <v>221.5</v>
      </c>
      <c r="C484" s="19">
        <v>0.4778</v>
      </c>
      <c r="D484" s="19">
        <v>96.373530000000002</v>
      </c>
      <c r="E484" s="19">
        <v>20</v>
      </c>
      <c r="F484" s="19">
        <v>80</v>
      </c>
      <c r="G484" s="19">
        <v>1</v>
      </c>
      <c r="H484" s="16">
        <v>5</v>
      </c>
    </row>
    <row r="485" spans="1:8" x14ac:dyDescent="0.15">
      <c r="A485" s="19">
        <v>250.02108000000001</v>
      </c>
      <c r="B485" s="19">
        <v>222</v>
      </c>
      <c r="C485" s="19">
        <v>0.47678999999999999</v>
      </c>
      <c r="D485" s="19">
        <v>96.361930000000001</v>
      </c>
      <c r="E485" s="19">
        <v>20</v>
      </c>
      <c r="F485" s="19">
        <v>80</v>
      </c>
      <c r="G485" s="19">
        <v>1</v>
      </c>
      <c r="H485" s="16">
        <v>5</v>
      </c>
    </row>
    <row r="486" spans="1:8" x14ac:dyDescent="0.15">
      <c r="A486" s="19">
        <v>250.02601999999999</v>
      </c>
      <c r="B486" s="19">
        <v>222.5</v>
      </c>
      <c r="C486" s="19">
        <v>0.47554000000000002</v>
      </c>
      <c r="D486" s="19">
        <v>96.319389999999999</v>
      </c>
      <c r="E486" s="19">
        <v>20</v>
      </c>
      <c r="F486" s="19">
        <v>80</v>
      </c>
      <c r="G486" s="19">
        <v>1</v>
      </c>
      <c r="H486" s="16">
        <v>5</v>
      </c>
    </row>
    <row r="487" spans="1:8" x14ac:dyDescent="0.15">
      <c r="A487" s="19">
        <v>250.02497</v>
      </c>
      <c r="B487" s="19">
        <v>223</v>
      </c>
      <c r="C487" s="19">
        <v>0.47532999999999997</v>
      </c>
      <c r="D487" s="19">
        <v>96.358789999999999</v>
      </c>
      <c r="E487" s="19">
        <v>20</v>
      </c>
      <c r="F487" s="19">
        <v>80</v>
      </c>
      <c r="G487" s="19">
        <v>1</v>
      </c>
      <c r="H487" s="16">
        <v>5</v>
      </c>
    </row>
    <row r="488" spans="1:8" x14ac:dyDescent="0.15">
      <c r="A488" s="19">
        <v>250.02296000000001</v>
      </c>
      <c r="B488" s="19">
        <v>223.5</v>
      </c>
      <c r="C488" s="19">
        <v>0.47325</v>
      </c>
      <c r="D488" s="19">
        <v>96.375979999999998</v>
      </c>
      <c r="E488" s="19">
        <v>20</v>
      </c>
      <c r="F488" s="19">
        <v>80</v>
      </c>
      <c r="G488" s="19">
        <v>1</v>
      </c>
      <c r="H488" s="16">
        <v>5</v>
      </c>
    </row>
    <row r="489" spans="1:8" x14ac:dyDescent="0.15">
      <c r="A489" s="19">
        <v>250.02226999999999</v>
      </c>
      <c r="B489" s="19">
        <v>224</v>
      </c>
      <c r="C489" s="19">
        <v>0.47476000000000002</v>
      </c>
      <c r="D489" s="19">
        <v>96.34308</v>
      </c>
      <c r="E489" s="19">
        <v>20</v>
      </c>
      <c r="F489" s="19">
        <v>80</v>
      </c>
      <c r="G489" s="19">
        <v>1</v>
      </c>
      <c r="H489" s="16">
        <v>5</v>
      </c>
    </row>
    <row r="490" spans="1:8" x14ac:dyDescent="0.15">
      <c r="A490" s="19">
        <v>250.01517000000001</v>
      </c>
      <c r="B490" s="19">
        <v>224.5</v>
      </c>
      <c r="C490" s="19">
        <v>0.47366000000000003</v>
      </c>
      <c r="D490" s="19">
        <v>96.2684</v>
      </c>
      <c r="E490" s="19">
        <v>20</v>
      </c>
      <c r="F490" s="19">
        <v>80</v>
      </c>
      <c r="G490" s="19">
        <v>1</v>
      </c>
      <c r="H490" s="16">
        <v>5</v>
      </c>
    </row>
    <row r="491" spans="1:8" x14ac:dyDescent="0.15">
      <c r="A491" s="19">
        <v>250.00827000000001</v>
      </c>
      <c r="B491" s="19">
        <v>225</v>
      </c>
      <c r="C491" s="19">
        <v>0.47364000000000001</v>
      </c>
      <c r="D491" s="19">
        <v>96.335139999999996</v>
      </c>
      <c r="E491" s="19">
        <v>20</v>
      </c>
      <c r="F491" s="19">
        <v>80</v>
      </c>
      <c r="G491" s="19">
        <v>1</v>
      </c>
      <c r="H491" s="16">
        <v>5</v>
      </c>
    </row>
    <row r="492" spans="1:8" x14ac:dyDescent="0.15">
      <c r="A492" s="19">
        <v>250.00659999999999</v>
      </c>
      <c r="B492" s="19">
        <v>225.5</v>
      </c>
      <c r="C492" s="19">
        <v>0.47449000000000002</v>
      </c>
      <c r="D492" s="19">
        <v>96.358000000000004</v>
      </c>
      <c r="E492" s="19">
        <v>20</v>
      </c>
      <c r="F492" s="19">
        <v>80</v>
      </c>
      <c r="G492" s="19">
        <v>1</v>
      </c>
      <c r="H492" s="16">
        <v>5</v>
      </c>
    </row>
    <row r="493" spans="1:8" x14ac:dyDescent="0.15">
      <c r="A493" s="19">
        <v>250.00709000000001</v>
      </c>
      <c r="B493" s="19">
        <v>226</v>
      </c>
      <c r="C493" s="19">
        <v>0.47422999999999998</v>
      </c>
      <c r="D493" s="19">
        <v>96.370570000000001</v>
      </c>
      <c r="E493" s="19">
        <v>20</v>
      </c>
      <c r="F493" s="19">
        <v>80</v>
      </c>
      <c r="G493" s="19">
        <v>1</v>
      </c>
      <c r="H493" s="16">
        <v>5</v>
      </c>
    </row>
    <row r="494" spans="1:8" x14ac:dyDescent="0.15">
      <c r="A494" s="19">
        <v>250.01206999999999</v>
      </c>
      <c r="B494" s="19">
        <v>226.5</v>
      </c>
      <c r="C494" s="19">
        <v>0.47436</v>
      </c>
      <c r="D494" s="19">
        <v>96.287189999999995</v>
      </c>
      <c r="E494" s="19">
        <v>20</v>
      </c>
      <c r="F494" s="19">
        <v>80</v>
      </c>
      <c r="G494" s="19">
        <v>1</v>
      </c>
      <c r="H494" s="16">
        <v>5</v>
      </c>
    </row>
    <row r="495" spans="1:8" x14ac:dyDescent="0.15">
      <c r="A495" s="19">
        <v>250.01514</v>
      </c>
      <c r="B495" s="19">
        <v>227</v>
      </c>
      <c r="C495" s="19">
        <v>0.47454000000000002</v>
      </c>
      <c r="D495" s="19">
        <v>96.281679999999994</v>
      </c>
      <c r="E495" s="19">
        <v>20</v>
      </c>
      <c r="F495" s="19">
        <v>80</v>
      </c>
      <c r="G495" s="19">
        <v>1</v>
      </c>
      <c r="H495" s="16">
        <v>5</v>
      </c>
    </row>
    <row r="496" spans="1:8" x14ac:dyDescent="0.15">
      <c r="A496" s="19">
        <v>250.01496</v>
      </c>
      <c r="B496" s="19">
        <v>227.5</v>
      </c>
      <c r="C496" s="19">
        <v>0.47214</v>
      </c>
      <c r="D496" s="19">
        <v>96.286879999999996</v>
      </c>
      <c r="E496" s="19">
        <v>20</v>
      </c>
      <c r="F496" s="19">
        <v>80</v>
      </c>
      <c r="G496" s="19">
        <v>1</v>
      </c>
      <c r="H496" s="16">
        <v>5</v>
      </c>
    </row>
    <row r="497" spans="1:8" x14ac:dyDescent="0.15">
      <c r="A497" s="19">
        <v>250.01614000000001</v>
      </c>
      <c r="B497" s="19">
        <v>228</v>
      </c>
      <c r="C497" s="19">
        <v>0.47231000000000001</v>
      </c>
      <c r="D497" s="19">
        <v>96.235079999999996</v>
      </c>
      <c r="E497" s="19">
        <v>20</v>
      </c>
      <c r="F497" s="19">
        <v>80</v>
      </c>
      <c r="G497" s="19">
        <v>1</v>
      </c>
      <c r="H497" s="16">
        <v>5</v>
      </c>
    </row>
    <row r="498" spans="1:8" x14ac:dyDescent="0.15">
      <c r="A498" s="19">
        <v>250.01551000000001</v>
      </c>
      <c r="B498" s="19">
        <v>228.5</v>
      </c>
      <c r="C498" s="19">
        <v>0.47244000000000003</v>
      </c>
      <c r="D498" s="19">
        <v>96.158029999999997</v>
      </c>
      <c r="E498" s="19">
        <v>20</v>
      </c>
      <c r="F498" s="19">
        <v>80</v>
      </c>
      <c r="G498" s="19">
        <v>1</v>
      </c>
      <c r="H498" s="16">
        <v>5</v>
      </c>
    </row>
    <row r="499" spans="1:8" x14ac:dyDescent="0.15">
      <c r="A499" s="19">
        <v>250.01534000000001</v>
      </c>
      <c r="B499" s="19">
        <v>229</v>
      </c>
      <c r="C499" s="19">
        <v>0.47062999999999999</v>
      </c>
      <c r="D499" s="19">
        <v>96.200019999999995</v>
      </c>
      <c r="E499" s="19">
        <v>20</v>
      </c>
      <c r="F499" s="19">
        <v>80</v>
      </c>
      <c r="G499" s="19">
        <v>1</v>
      </c>
      <c r="H499" s="16">
        <v>5</v>
      </c>
    </row>
    <row r="500" spans="1:8" x14ac:dyDescent="0.15">
      <c r="A500" s="19">
        <v>250.01774</v>
      </c>
      <c r="B500" s="19">
        <v>229.5</v>
      </c>
      <c r="C500" s="19">
        <v>0.46888999999999997</v>
      </c>
      <c r="D500" s="19">
        <v>96.272549999999995</v>
      </c>
      <c r="E500" s="19">
        <v>20</v>
      </c>
      <c r="F500" s="19">
        <v>80</v>
      </c>
      <c r="G500" s="19">
        <v>1</v>
      </c>
      <c r="H500" s="16">
        <v>5</v>
      </c>
    </row>
    <row r="501" spans="1:8" x14ac:dyDescent="0.15">
      <c r="A501" s="19">
        <v>250.01725999999999</v>
      </c>
      <c r="B501" s="19">
        <v>230</v>
      </c>
      <c r="C501" s="19">
        <v>0.47089999999999999</v>
      </c>
      <c r="D501" s="19">
        <v>96.148020000000002</v>
      </c>
      <c r="E501" s="19">
        <v>20</v>
      </c>
      <c r="F501" s="19">
        <v>80</v>
      </c>
      <c r="G501" s="19">
        <v>1</v>
      </c>
      <c r="H501" s="16">
        <v>5</v>
      </c>
    </row>
    <row r="502" spans="1:8" x14ac:dyDescent="0.15">
      <c r="A502" s="19">
        <v>250.01739000000001</v>
      </c>
      <c r="B502" s="19">
        <v>230.5</v>
      </c>
      <c r="C502" s="19">
        <v>0.46971000000000002</v>
      </c>
      <c r="D502" s="19">
        <v>96.243930000000006</v>
      </c>
      <c r="E502" s="19">
        <v>20</v>
      </c>
      <c r="F502" s="19">
        <v>80</v>
      </c>
      <c r="G502" s="19">
        <v>1</v>
      </c>
      <c r="H502" s="16">
        <v>5</v>
      </c>
    </row>
    <row r="503" spans="1:8" x14ac:dyDescent="0.15">
      <c r="A503" s="19">
        <v>250.01634999999999</v>
      </c>
      <c r="B503" s="19">
        <v>231</v>
      </c>
      <c r="C503" s="19">
        <v>0.46901999999999999</v>
      </c>
      <c r="D503" s="19">
        <v>96.163449999999997</v>
      </c>
      <c r="E503" s="19">
        <v>20</v>
      </c>
      <c r="F503" s="19">
        <v>80</v>
      </c>
      <c r="G503" s="19">
        <v>1</v>
      </c>
      <c r="H503" s="16">
        <v>5</v>
      </c>
    </row>
    <row r="504" spans="1:8" x14ac:dyDescent="0.15">
      <c r="A504" s="19">
        <v>250.01523</v>
      </c>
      <c r="B504" s="19">
        <v>231.5</v>
      </c>
      <c r="C504" s="19">
        <v>0.47105999999999998</v>
      </c>
      <c r="D504" s="19">
        <v>96.169579999999996</v>
      </c>
      <c r="E504" s="19">
        <v>20</v>
      </c>
      <c r="F504" s="19">
        <v>80</v>
      </c>
      <c r="G504" s="19">
        <v>1</v>
      </c>
      <c r="H504" s="16">
        <v>5</v>
      </c>
    </row>
    <row r="505" spans="1:8" x14ac:dyDescent="0.15">
      <c r="A505" s="19">
        <v>250.01696000000001</v>
      </c>
      <c r="B505" s="19">
        <v>232</v>
      </c>
      <c r="C505" s="19">
        <v>0.47031000000000001</v>
      </c>
      <c r="D505" s="19">
        <v>96.17165</v>
      </c>
      <c r="E505" s="19">
        <v>20</v>
      </c>
      <c r="F505" s="19">
        <v>80</v>
      </c>
      <c r="G505" s="19">
        <v>1</v>
      </c>
      <c r="H505" s="16">
        <v>5</v>
      </c>
    </row>
    <row r="506" spans="1:8" x14ac:dyDescent="0.15">
      <c r="A506" s="19">
        <v>250.01882000000001</v>
      </c>
      <c r="B506" s="19">
        <v>232.5</v>
      </c>
      <c r="C506" s="19">
        <v>0.47010000000000002</v>
      </c>
      <c r="D506" s="19">
        <v>96.151960000000003</v>
      </c>
      <c r="E506" s="19">
        <v>20</v>
      </c>
      <c r="F506" s="19">
        <v>80</v>
      </c>
      <c r="G506" s="19">
        <v>1</v>
      </c>
      <c r="H506" s="16">
        <v>5</v>
      </c>
    </row>
    <row r="507" spans="1:8" x14ac:dyDescent="0.15">
      <c r="A507" s="19">
        <v>250.02008000000001</v>
      </c>
      <c r="B507" s="19">
        <v>233</v>
      </c>
      <c r="C507" s="19">
        <v>0.46834999999999999</v>
      </c>
      <c r="D507" s="19">
        <v>96.063860000000005</v>
      </c>
      <c r="E507" s="19">
        <v>20</v>
      </c>
      <c r="F507" s="19">
        <v>80</v>
      </c>
      <c r="G507" s="19">
        <v>1</v>
      </c>
      <c r="H507" s="16">
        <v>5</v>
      </c>
    </row>
    <row r="508" spans="1:8" x14ac:dyDescent="0.15">
      <c r="A508" s="19">
        <v>250.02023</v>
      </c>
      <c r="B508" s="19">
        <v>233.5</v>
      </c>
      <c r="C508" s="19">
        <v>0.46853</v>
      </c>
      <c r="D508" s="19">
        <v>96.157660000000007</v>
      </c>
      <c r="E508" s="19">
        <v>20</v>
      </c>
      <c r="F508" s="19">
        <v>80</v>
      </c>
      <c r="G508" s="19">
        <v>1</v>
      </c>
      <c r="H508" s="16">
        <v>5</v>
      </c>
    </row>
    <row r="509" spans="1:8" x14ac:dyDescent="0.15">
      <c r="A509" s="19">
        <v>250.01899</v>
      </c>
      <c r="B509" s="19">
        <v>234</v>
      </c>
      <c r="C509" s="19">
        <v>0.46872000000000003</v>
      </c>
      <c r="D509" s="19">
        <v>96.082300000000004</v>
      </c>
      <c r="E509" s="19">
        <v>20</v>
      </c>
      <c r="F509" s="19">
        <v>80</v>
      </c>
      <c r="G509" s="19">
        <v>1</v>
      </c>
      <c r="H509" s="16">
        <v>5</v>
      </c>
    </row>
    <row r="510" spans="1:8" x14ac:dyDescent="0.15">
      <c r="A510" s="19">
        <v>250.01983000000001</v>
      </c>
      <c r="B510" s="19">
        <v>234.5</v>
      </c>
      <c r="C510" s="19">
        <v>0.46715000000000001</v>
      </c>
      <c r="D510" s="19">
        <v>96.087220000000002</v>
      </c>
      <c r="E510" s="19">
        <v>20</v>
      </c>
      <c r="F510" s="19">
        <v>80</v>
      </c>
      <c r="G510" s="19">
        <v>1</v>
      </c>
      <c r="H510" s="16">
        <v>5</v>
      </c>
    </row>
    <row r="511" spans="1:8" x14ac:dyDescent="0.15">
      <c r="A511" s="19">
        <v>250.02063000000001</v>
      </c>
      <c r="B511" s="19">
        <v>235</v>
      </c>
      <c r="C511" s="19">
        <v>0.46822999999999998</v>
      </c>
      <c r="D511" s="19">
        <v>96.039770000000004</v>
      </c>
      <c r="E511" s="19">
        <v>20</v>
      </c>
      <c r="F511" s="19">
        <v>80</v>
      </c>
      <c r="G511" s="19">
        <v>1</v>
      </c>
      <c r="H511" s="16">
        <v>5</v>
      </c>
    </row>
    <row r="512" spans="1:8" x14ac:dyDescent="0.15">
      <c r="A512" s="19">
        <v>250.02366000000001</v>
      </c>
      <c r="B512" s="19">
        <v>235.5</v>
      </c>
      <c r="C512" s="19">
        <v>0.46622999999999998</v>
      </c>
      <c r="D512" s="19">
        <v>96.021680000000003</v>
      </c>
      <c r="E512" s="19">
        <v>20</v>
      </c>
      <c r="F512" s="19">
        <v>80</v>
      </c>
      <c r="G512" s="19">
        <v>1</v>
      </c>
      <c r="H512" s="16">
        <v>5</v>
      </c>
    </row>
    <row r="513" spans="1:8" x14ac:dyDescent="0.15">
      <c r="A513" s="19">
        <v>250.02807999999999</v>
      </c>
      <c r="B513" s="19">
        <v>236</v>
      </c>
      <c r="C513" s="19">
        <v>0.46728999999999998</v>
      </c>
      <c r="D513" s="19">
        <v>96.076639999999998</v>
      </c>
      <c r="E513" s="19">
        <v>20</v>
      </c>
      <c r="F513" s="19">
        <v>80</v>
      </c>
      <c r="G513" s="19">
        <v>1</v>
      </c>
      <c r="H513" s="16">
        <v>5</v>
      </c>
    </row>
    <row r="514" spans="1:8" x14ac:dyDescent="0.15">
      <c r="A514" s="19">
        <v>250.02688000000001</v>
      </c>
      <c r="B514" s="19">
        <v>236.5</v>
      </c>
      <c r="C514" s="19">
        <v>0.46718999999999999</v>
      </c>
      <c r="D514" s="19">
        <v>96.054969999999997</v>
      </c>
      <c r="E514" s="19">
        <v>20</v>
      </c>
      <c r="F514" s="19">
        <v>80</v>
      </c>
      <c r="G514" s="19">
        <v>1</v>
      </c>
      <c r="H514" s="16">
        <v>5</v>
      </c>
    </row>
    <row r="515" spans="1:8" x14ac:dyDescent="0.15">
      <c r="A515" s="19">
        <v>250.02736999999999</v>
      </c>
      <c r="B515" s="19">
        <v>237</v>
      </c>
      <c r="C515" s="19">
        <v>0.46712999999999999</v>
      </c>
      <c r="D515" s="19">
        <v>96.089330000000004</v>
      </c>
      <c r="E515" s="19">
        <v>20</v>
      </c>
      <c r="F515" s="19">
        <v>80</v>
      </c>
      <c r="G515" s="19">
        <v>1</v>
      </c>
      <c r="H515" s="16">
        <v>5</v>
      </c>
    </row>
    <row r="516" spans="1:8" x14ac:dyDescent="0.15">
      <c r="A516" s="19">
        <v>250.02921000000001</v>
      </c>
      <c r="B516" s="19">
        <v>237.5</v>
      </c>
      <c r="C516" s="19">
        <v>0.46505000000000002</v>
      </c>
      <c r="D516" s="19">
        <v>96.00949</v>
      </c>
      <c r="E516" s="19">
        <v>20</v>
      </c>
      <c r="F516" s="19">
        <v>80</v>
      </c>
      <c r="G516" s="19">
        <v>1</v>
      </c>
      <c r="H516" s="16">
        <v>5</v>
      </c>
    </row>
    <row r="517" spans="1:8" x14ac:dyDescent="0.15">
      <c r="A517" s="19">
        <v>250.03075000000001</v>
      </c>
      <c r="B517" s="19">
        <v>238</v>
      </c>
      <c r="C517" s="19">
        <v>0.46372000000000002</v>
      </c>
      <c r="D517" s="19">
        <v>95.985560000000007</v>
      </c>
      <c r="E517" s="19">
        <v>20</v>
      </c>
      <c r="F517" s="19">
        <v>80</v>
      </c>
      <c r="G517" s="19">
        <v>1</v>
      </c>
      <c r="H517" s="16">
        <v>5</v>
      </c>
    </row>
    <row r="518" spans="1:8" x14ac:dyDescent="0.15">
      <c r="A518" s="19">
        <v>250.02758</v>
      </c>
      <c r="B518" s="19">
        <v>238.5</v>
      </c>
      <c r="C518" s="19">
        <v>0.46346999999999999</v>
      </c>
      <c r="D518" s="19">
        <v>96.086669999999998</v>
      </c>
      <c r="E518" s="19">
        <v>20</v>
      </c>
      <c r="F518" s="19">
        <v>80</v>
      </c>
      <c r="G518" s="19">
        <v>1</v>
      </c>
      <c r="H518" s="16">
        <v>5</v>
      </c>
    </row>
    <row r="519" spans="1:8" x14ac:dyDescent="0.15">
      <c r="A519" s="19">
        <v>250.01868999999999</v>
      </c>
      <c r="B519" s="19">
        <v>239</v>
      </c>
      <c r="C519" s="19">
        <v>0.46292</v>
      </c>
      <c r="D519" s="19">
        <v>95.963120000000004</v>
      </c>
      <c r="E519" s="19">
        <v>20</v>
      </c>
      <c r="F519" s="19">
        <v>80</v>
      </c>
      <c r="G519" s="19">
        <v>1</v>
      </c>
      <c r="H519" s="16">
        <v>5</v>
      </c>
    </row>
    <row r="520" spans="1:8" x14ac:dyDescent="0.15">
      <c r="A520" s="19">
        <v>250.01283000000001</v>
      </c>
      <c r="B520" s="19">
        <v>239.5</v>
      </c>
      <c r="C520" s="19">
        <v>0.46464</v>
      </c>
      <c r="D520" s="19">
        <v>95.977239999999995</v>
      </c>
      <c r="E520" s="19">
        <v>20</v>
      </c>
      <c r="F520" s="19">
        <v>80</v>
      </c>
      <c r="G520" s="19">
        <v>1</v>
      </c>
      <c r="H520" s="16">
        <v>5</v>
      </c>
    </row>
    <row r="521" spans="1:8" x14ac:dyDescent="0.15">
      <c r="A521" s="19">
        <v>250.01788999999999</v>
      </c>
      <c r="B521" s="19">
        <v>240</v>
      </c>
      <c r="C521" s="19">
        <v>0.46345999999999998</v>
      </c>
      <c r="D521" s="19">
        <v>95.912779999999998</v>
      </c>
      <c r="E521" s="19">
        <v>20</v>
      </c>
      <c r="F521" s="19">
        <v>80</v>
      </c>
      <c r="G521" s="19">
        <v>1</v>
      </c>
      <c r="H521" s="16">
        <v>5</v>
      </c>
    </row>
    <row r="522" spans="1:8" x14ac:dyDescent="0.15">
      <c r="A522" s="19">
        <v>250.02089000000001</v>
      </c>
      <c r="B522" s="19">
        <v>240.5</v>
      </c>
      <c r="C522" s="19">
        <v>0.46454000000000001</v>
      </c>
      <c r="D522" s="19">
        <v>95.811999999999998</v>
      </c>
      <c r="E522" s="19">
        <v>20</v>
      </c>
      <c r="F522" s="19">
        <v>80</v>
      </c>
      <c r="G522" s="19">
        <v>1</v>
      </c>
      <c r="H522" s="16">
        <v>5</v>
      </c>
    </row>
    <row r="523" spans="1:8" x14ac:dyDescent="0.15">
      <c r="A523" s="19">
        <v>250.01893999999999</v>
      </c>
      <c r="B523" s="19">
        <v>241</v>
      </c>
      <c r="C523" s="19">
        <v>0.46364</v>
      </c>
      <c r="D523" s="19">
        <v>95.883629999999997</v>
      </c>
      <c r="E523" s="19">
        <v>20</v>
      </c>
      <c r="F523" s="19">
        <v>80</v>
      </c>
      <c r="G523" s="19">
        <v>1</v>
      </c>
      <c r="H523" s="16">
        <v>5</v>
      </c>
    </row>
    <row r="524" spans="1:8" x14ac:dyDescent="0.15">
      <c r="A524" s="19">
        <v>250.02059</v>
      </c>
      <c r="B524" s="19">
        <v>241.5</v>
      </c>
      <c r="C524" s="19">
        <v>0.46251999999999999</v>
      </c>
      <c r="D524" s="19">
        <v>95.801789999999997</v>
      </c>
      <c r="E524" s="19">
        <v>20</v>
      </c>
      <c r="F524" s="19">
        <v>80</v>
      </c>
      <c r="G524" s="19">
        <v>1</v>
      </c>
      <c r="H524" s="16">
        <v>5</v>
      </c>
    </row>
    <row r="525" spans="1:8" x14ac:dyDescent="0.15">
      <c r="A525" s="19">
        <v>250.01831000000001</v>
      </c>
      <c r="B525" s="19">
        <v>242</v>
      </c>
      <c r="C525" s="19">
        <v>0.46122000000000002</v>
      </c>
      <c r="D525" s="19">
        <v>95.904030000000006</v>
      </c>
      <c r="E525" s="19">
        <v>20</v>
      </c>
      <c r="F525" s="19">
        <v>80</v>
      </c>
      <c r="G525" s="19">
        <v>1</v>
      </c>
      <c r="H525" s="16">
        <v>5</v>
      </c>
    </row>
    <row r="526" spans="1:8" x14ac:dyDescent="0.15">
      <c r="A526" s="19">
        <v>250.01729</v>
      </c>
      <c r="B526" s="19">
        <v>242.5</v>
      </c>
      <c r="C526" s="19">
        <v>0.46135999999999999</v>
      </c>
      <c r="D526" s="19">
        <v>95.845830000000007</v>
      </c>
      <c r="E526" s="19">
        <v>20</v>
      </c>
      <c r="F526" s="19">
        <v>80</v>
      </c>
      <c r="G526" s="19">
        <v>1</v>
      </c>
      <c r="H526" s="16">
        <v>5</v>
      </c>
    </row>
    <row r="527" spans="1:8" x14ac:dyDescent="0.15">
      <c r="A527" s="19">
        <v>250.01727</v>
      </c>
      <c r="B527" s="19">
        <v>243</v>
      </c>
      <c r="C527" s="19">
        <v>0.46057999999999999</v>
      </c>
      <c r="D527" s="19">
        <v>95.875829999999993</v>
      </c>
      <c r="E527" s="19">
        <v>20</v>
      </c>
      <c r="F527" s="19">
        <v>80</v>
      </c>
      <c r="G527" s="19">
        <v>1</v>
      </c>
      <c r="H527" s="16">
        <v>5</v>
      </c>
    </row>
    <row r="528" spans="1:8" x14ac:dyDescent="0.15">
      <c r="A528" s="19">
        <v>250.01262</v>
      </c>
      <c r="B528" s="19">
        <v>243.5</v>
      </c>
      <c r="C528" s="19">
        <v>0.46031</v>
      </c>
      <c r="D528" s="19">
        <v>95.796809999999994</v>
      </c>
      <c r="E528" s="19">
        <v>20</v>
      </c>
      <c r="F528" s="19">
        <v>80</v>
      </c>
      <c r="G528" s="19">
        <v>1</v>
      </c>
      <c r="H528" s="16">
        <v>5</v>
      </c>
    </row>
    <row r="529" spans="1:8" x14ac:dyDescent="0.15">
      <c r="A529" s="19">
        <v>250.01145</v>
      </c>
      <c r="B529" s="19">
        <v>244</v>
      </c>
      <c r="C529" s="19">
        <v>0.45973000000000003</v>
      </c>
      <c r="D529" s="19">
        <v>95.74915</v>
      </c>
      <c r="E529" s="19">
        <v>20</v>
      </c>
      <c r="F529" s="19">
        <v>80</v>
      </c>
      <c r="G529" s="19">
        <v>1</v>
      </c>
      <c r="H529" s="16">
        <v>5</v>
      </c>
    </row>
    <row r="530" spans="1:8" x14ac:dyDescent="0.15">
      <c r="A530" s="19">
        <v>250.00916000000001</v>
      </c>
      <c r="B530" s="19">
        <v>244.5</v>
      </c>
      <c r="C530" s="19">
        <v>0.45877000000000001</v>
      </c>
      <c r="D530" s="19">
        <v>95.772909999999996</v>
      </c>
      <c r="E530" s="19">
        <v>20</v>
      </c>
      <c r="F530" s="19">
        <v>80</v>
      </c>
      <c r="G530" s="19">
        <v>1</v>
      </c>
      <c r="H530" s="16">
        <v>5</v>
      </c>
    </row>
    <row r="531" spans="1:8" x14ac:dyDescent="0.15">
      <c r="A531" s="19">
        <v>250.00989999999999</v>
      </c>
      <c r="B531" s="19">
        <v>245</v>
      </c>
      <c r="C531" s="19">
        <v>0.45967999999999998</v>
      </c>
      <c r="D531" s="19">
        <v>95.849040000000002</v>
      </c>
      <c r="E531" s="19">
        <v>20</v>
      </c>
      <c r="F531" s="19">
        <v>80</v>
      </c>
      <c r="G531" s="19">
        <v>1</v>
      </c>
      <c r="H531" s="16">
        <v>5</v>
      </c>
    </row>
    <row r="532" spans="1:8" x14ac:dyDescent="0.15">
      <c r="A532" s="19">
        <v>250.00828000000001</v>
      </c>
      <c r="B532" s="19">
        <v>245.5</v>
      </c>
      <c r="C532" s="19">
        <v>0.45835999999999999</v>
      </c>
      <c r="D532" s="19">
        <v>95.779489999999996</v>
      </c>
      <c r="E532" s="19">
        <v>20</v>
      </c>
      <c r="F532" s="19">
        <v>80</v>
      </c>
      <c r="G532" s="19">
        <v>1</v>
      </c>
      <c r="H532" s="16">
        <v>5</v>
      </c>
    </row>
    <row r="533" spans="1:8" x14ac:dyDescent="0.15">
      <c r="A533" s="19">
        <v>250.00756000000001</v>
      </c>
      <c r="B533" s="19">
        <v>246</v>
      </c>
      <c r="C533" s="19">
        <v>0.45798</v>
      </c>
      <c r="D533" s="19">
        <v>95.763270000000006</v>
      </c>
      <c r="E533" s="19">
        <v>20</v>
      </c>
      <c r="F533" s="19">
        <v>80</v>
      </c>
      <c r="G533" s="19">
        <v>1</v>
      </c>
      <c r="H533" s="16">
        <v>5</v>
      </c>
    </row>
    <row r="534" spans="1:8" x14ac:dyDescent="0.15">
      <c r="A534" s="19">
        <v>250.00605999999999</v>
      </c>
      <c r="B534" s="19">
        <v>246.5</v>
      </c>
      <c r="C534" s="19">
        <v>0.45828999999999998</v>
      </c>
      <c r="D534" s="19">
        <v>95.739980000000003</v>
      </c>
      <c r="E534" s="19">
        <v>20</v>
      </c>
      <c r="F534" s="19">
        <v>80</v>
      </c>
      <c r="G534" s="19">
        <v>1</v>
      </c>
      <c r="H534" s="16">
        <v>5</v>
      </c>
    </row>
    <row r="535" spans="1:8" x14ac:dyDescent="0.15">
      <c r="A535" s="19">
        <v>250.00834</v>
      </c>
      <c r="B535" s="19">
        <v>247</v>
      </c>
      <c r="C535" s="19">
        <v>0.45831</v>
      </c>
      <c r="D535" s="19">
        <v>95.814819999999997</v>
      </c>
      <c r="E535" s="19">
        <v>20</v>
      </c>
      <c r="F535" s="19">
        <v>80</v>
      </c>
      <c r="G535" s="19">
        <v>1</v>
      </c>
      <c r="H535" s="16">
        <v>5</v>
      </c>
    </row>
    <row r="536" spans="1:8" x14ac:dyDescent="0.15">
      <c r="A536" s="19">
        <v>250.00859</v>
      </c>
      <c r="B536" s="19">
        <v>247.5</v>
      </c>
      <c r="C536" s="19">
        <v>0.45932000000000001</v>
      </c>
      <c r="D536" s="19">
        <v>95.741699999999994</v>
      </c>
      <c r="E536" s="19">
        <v>20</v>
      </c>
      <c r="F536" s="19">
        <v>80</v>
      </c>
      <c r="G536" s="19">
        <v>1</v>
      </c>
      <c r="H536" s="16">
        <v>5</v>
      </c>
    </row>
    <row r="537" spans="1:8" x14ac:dyDescent="0.15">
      <c r="A537" s="19">
        <v>250.00996000000001</v>
      </c>
      <c r="B537" s="19">
        <v>248</v>
      </c>
      <c r="C537" s="19">
        <v>0.4592</v>
      </c>
      <c r="D537" s="19">
        <v>95.671639999999996</v>
      </c>
      <c r="E537" s="19">
        <v>20</v>
      </c>
      <c r="F537" s="19">
        <v>80</v>
      </c>
      <c r="G537" s="19">
        <v>1</v>
      </c>
      <c r="H537" s="16">
        <v>5</v>
      </c>
    </row>
    <row r="538" spans="1:8" x14ac:dyDescent="0.15">
      <c r="A538" s="19">
        <v>250.01205999999999</v>
      </c>
      <c r="B538" s="19">
        <v>248.5</v>
      </c>
      <c r="C538" s="19">
        <v>0.45829999999999999</v>
      </c>
      <c r="D538" s="19">
        <v>95.740099999999998</v>
      </c>
      <c r="E538" s="19">
        <v>20</v>
      </c>
      <c r="F538" s="19">
        <v>80</v>
      </c>
      <c r="G538" s="19">
        <v>1</v>
      </c>
      <c r="H538" s="16">
        <v>5</v>
      </c>
    </row>
    <row r="539" spans="1:8" x14ac:dyDescent="0.15">
      <c r="A539" s="19">
        <v>250.01462000000001</v>
      </c>
      <c r="B539" s="19">
        <v>249</v>
      </c>
      <c r="C539" s="19">
        <v>0.45762000000000003</v>
      </c>
      <c r="D539" s="19">
        <v>95.670730000000006</v>
      </c>
      <c r="E539" s="19">
        <v>20</v>
      </c>
      <c r="F539" s="19">
        <v>80</v>
      </c>
      <c r="G539" s="19">
        <v>1</v>
      </c>
      <c r="H539" s="16">
        <v>5</v>
      </c>
    </row>
    <row r="540" spans="1:8" x14ac:dyDescent="0.15">
      <c r="A540" s="19">
        <v>250.01743999999999</v>
      </c>
      <c r="B540" s="19">
        <v>249.5</v>
      </c>
      <c r="C540" s="19">
        <v>0.45616000000000001</v>
      </c>
      <c r="D540" s="19">
        <v>95.579800000000006</v>
      </c>
      <c r="E540" s="19">
        <v>20</v>
      </c>
      <c r="F540" s="19">
        <v>80</v>
      </c>
      <c r="G540" s="19">
        <v>1</v>
      </c>
      <c r="H540" s="16">
        <v>5</v>
      </c>
    </row>
    <row r="541" spans="1:8" x14ac:dyDescent="0.15">
      <c r="A541" s="19">
        <v>250.01783</v>
      </c>
      <c r="B541" s="19">
        <v>250</v>
      </c>
      <c r="C541" s="19">
        <v>0.45572000000000001</v>
      </c>
      <c r="D541" s="19">
        <v>95.6661</v>
      </c>
      <c r="E541" s="19">
        <v>20</v>
      </c>
      <c r="F541" s="19">
        <v>80</v>
      </c>
      <c r="G541" s="19">
        <v>1</v>
      </c>
      <c r="H541" s="16">
        <v>5</v>
      </c>
    </row>
    <row r="542" spans="1:8" x14ac:dyDescent="0.15">
      <c r="A542" s="19">
        <v>250.02047999999999</v>
      </c>
      <c r="B542" s="19">
        <v>250.5</v>
      </c>
      <c r="C542" s="19">
        <v>0.45635999999999999</v>
      </c>
      <c r="D542" s="19">
        <v>95.689520000000002</v>
      </c>
      <c r="E542" s="19">
        <v>20</v>
      </c>
      <c r="F542" s="19">
        <v>80</v>
      </c>
      <c r="G542" s="19">
        <v>1</v>
      </c>
      <c r="H542" s="16">
        <v>5</v>
      </c>
    </row>
    <row r="543" spans="1:8" x14ac:dyDescent="0.15">
      <c r="A543" s="19">
        <v>250.02213</v>
      </c>
      <c r="B543" s="19">
        <v>251</v>
      </c>
      <c r="C543" s="19">
        <v>0.45606999999999998</v>
      </c>
      <c r="D543" s="19">
        <v>95.673280000000005</v>
      </c>
      <c r="E543" s="19">
        <v>20</v>
      </c>
      <c r="F543" s="19">
        <v>80</v>
      </c>
      <c r="G543" s="19">
        <v>1</v>
      </c>
      <c r="H543" s="16">
        <v>5</v>
      </c>
    </row>
    <row r="544" spans="1:8" x14ac:dyDescent="0.15">
      <c r="A544" s="19">
        <v>250.02061</v>
      </c>
      <c r="B544" s="19">
        <v>251.5</v>
      </c>
      <c r="C544" s="19">
        <v>0.4556</v>
      </c>
      <c r="D544" s="19">
        <v>95.626509999999996</v>
      </c>
      <c r="E544" s="19">
        <v>20</v>
      </c>
      <c r="F544" s="19">
        <v>80</v>
      </c>
      <c r="G544" s="19">
        <v>1</v>
      </c>
      <c r="H544" s="16">
        <v>5</v>
      </c>
    </row>
    <row r="545" spans="1:8" x14ac:dyDescent="0.15">
      <c r="A545" s="19">
        <v>250.01921999999999</v>
      </c>
      <c r="B545" s="19">
        <v>252</v>
      </c>
      <c r="C545" s="19">
        <v>0.45456999999999997</v>
      </c>
      <c r="D545" s="19">
        <v>95.647000000000006</v>
      </c>
      <c r="E545" s="19">
        <v>20</v>
      </c>
      <c r="F545" s="19">
        <v>80</v>
      </c>
      <c r="G545" s="19">
        <v>1</v>
      </c>
      <c r="H545" s="16">
        <v>5</v>
      </c>
    </row>
    <row r="546" spans="1:8" x14ac:dyDescent="0.15">
      <c r="A546" s="19">
        <v>250.01569000000001</v>
      </c>
      <c r="B546" s="19">
        <v>252.5</v>
      </c>
      <c r="C546" s="19">
        <v>0.45394000000000001</v>
      </c>
      <c r="D546" s="19">
        <v>95.544560000000004</v>
      </c>
      <c r="E546" s="19">
        <v>20</v>
      </c>
      <c r="F546" s="19">
        <v>80</v>
      </c>
      <c r="G546" s="19">
        <v>1</v>
      </c>
      <c r="H546" s="16">
        <v>5</v>
      </c>
    </row>
    <row r="547" spans="1:8" x14ac:dyDescent="0.15">
      <c r="A547" s="19">
        <v>250.01226</v>
      </c>
      <c r="B547" s="19">
        <v>253</v>
      </c>
      <c r="C547" s="19">
        <v>0.45340000000000003</v>
      </c>
      <c r="D547" s="19">
        <v>95.660709999999995</v>
      </c>
      <c r="E547" s="19">
        <v>20</v>
      </c>
      <c r="F547" s="19">
        <v>80</v>
      </c>
      <c r="G547" s="19">
        <v>1</v>
      </c>
      <c r="H547" s="16">
        <v>5</v>
      </c>
    </row>
    <row r="548" spans="1:8" x14ac:dyDescent="0.15">
      <c r="A548" s="19">
        <v>250.01092</v>
      </c>
      <c r="B548" s="19">
        <v>253.5</v>
      </c>
      <c r="C548" s="19">
        <v>0.45487</v>
      </c>
      <c r="D548" s="19">
        <v>95.537819999999996</v>
      </c>
      <c r="E548" s="19">
        <v>20</v>
      </c>
      <c r="F548" s="19">
        <v>80</v>
      </c>
      <c r="G548" s="19">
        <v>1</v>
      </c>
      <c r="H548" s="16">
        <v>5</v>
      </c>
    </row>
    <row r="549" spans="1:8" x14ac:dyDescent="0.15">
      <c r="A549" s="19">
        <v>250.01325</v>
      </c>
      <c r="B549" s="19">
        <v>254</v>
      </c>
      <c r="C549" s="19">
        <v>0.45456000000000002</v>
      </c>
      <c r="D549" s="19">
        <v>95.587569999999999</v>
      </c>
      <c r="E549" s="19">
        <v>20</v>
      </c>
      <c r="F549" s="19">
        <v>80</v>
      </c>
      <c r="G549" s="19">
        <v>1</v>
      </c>
      <c r="H549" s="16">
        <v>5</v>
      </c>
    </row>
    <row r="550" spans="1:8" x14ac:dyDescent="0.15">
      <c r="A550" s="19">
        <v>250.01415</v>
      </c>
      <c r="B550" s="19">
        <v>254.5</v>
      </c>
      <c r="C550" s="19">
        <v>0.45327000000000001</v>
      </c>
      <c r="D550" s="19">
        <v>95.499939999999995</v>
      </c>
      <c r="E550" s="19">
        <v>20</v>
      </c>
      <c r="F550" s="19">
        <v>80</v>
      </c>
      <c r="G550" s="19">
        <v>1</v>
      </c>
      <c r="H550" s="16">
        <v>5</v>
      </c>
    </row>
    <row r="551" spans="1:8" x14ac:dyDescent="0.15">
      <c r="A551" s="19">
        <v>250.01302999999999</v>
      </c>
      <c r="B551" s="19">
        <v>255</v>
      </c>
      <c r="C551" s="19">
        <v>0.45279999999999998</v>
      </c>
      <c r="D551" s="19">
        <v>95.523780000000002</v>
      </c>
      <c r="E551" s="19">
        <v>20</v>
      </c>
      <c r="F551" s="19">
        <v>80</v>
      </c>
      <c r="G551" s="19">
        <v>1</v>
      </c>
      <c r="H551" s="16">
        <v>5</v>
      </c>
    </row>
    <row r="552" spans="1:8" x14ac:dyDescent="0.15">
      <c r="A552" s="19">
        <v>250.01528999999999</v>
      </c>
      <c r="B552" s="19">
        <v>255.5</v>
      </c>
      <c r="C552" s="19">
        <v>0.45368999999999998</v>
      </c>
      <c r="D552" s="19">
        <v>95.495440000000002</v>
      </c>
      <c r="E552" s="19">
        <v>20</v>
      </c>
      <c r="F552" s="19">
        <v>80</v>
      </c>
      <c r="G552" s="19">
        <v>1</v>
      </c>
      <c r="H552" s="16">
        <v>5</v>
      </c>
    </row>
    <row r="553" spans="1:8" x14ac:dyDescent="0.15">
      <c r="A553" s="19">
        <v>250.01678999999999</v>
      </c>
      <c r="B553" s="19">
        <v>256</v>
      </c>
      <c r="C553" s="19">
        <v>0.45362999999999998</v>
      </c>
      <c r="D553" s="19">
        <v>95.630700000000004</v>
      </c>
      <c r="E553" s="19">
        <v>20</v>
      </c>
      <c r="F553" s="19">
        <v>80</v>
      </c>
      <c r="G553" s="19">
        <v>1</v>
      </c>
      <c r="H553" s="16">
        <v>5</v>
      </c>
    </row>
    <row r="554" spans="1:8" x14ac:dyDescent="0.15">
      <c r="A554" s="19">
        <v>250.01715999999999</v>
      </c>
      <c r="B554" s="19">
        <v>256.5</v>
      </c>
      <c r="C554" s="19">
        <v>0.45343</v>
      </c>
      <c r="D554" s="19">
        <v>95.544589999999999</v>
      </c>
      <c r="E554" s="19">
        <v>20</v>
      </c>
      <c r="F554" s="19">
        <v>80</v>
      </c>
      <c r="G554" s="19">
        <v>1</v>
      </c>
      <c r="H554" s="16">
        <v>5</v>
      </c>
    </row>
    <row r="555" spans="1:8" x14ac:dyDescent="0.15">
      <c r="A555" s="19">
        <v>250.01501999999999</v>
      </c>
      <c r="B555" s="19">
        <v>257</v>
      </c>
      <c r="C555" s="19">
        <v>0.45199</v>
      </c>
      <c r="D555" s="19">
        <v>95.506910000000005</v>
      </c>
      <c r="E555" s="19">
        <v>20</v>
      </c>
      <c r="F555" s="19">
        <v>80</v>
      </c>
      <c r="G555" s="19">
        <v>1</v>
      </c>
      <c r="H555" s="16">
        <v>5</v>
      </c>
    </row>
    <row r="556" spans="1:8" x14ac:dyDescent="0.15">
      <c r="A556" s="19">
        <v>250.01307</v>
      </c>
      <c r="B556" s="19">
        <v>257.5</v>
      </c>
      <c r="C556" s="19">
        <v>0.45116000000000001</v>
      </c>
      <c r="D556" s="19">
        <v>95.444659999999999</v>
      </c>
      <c r="E556" s="19">
        <v>20</v>
      </c>
      <c r="F556" s="19">
        <v>80</v>
      </c>
      <c r="G556" s="19">
        <v>1</v>
      </c>
      <c r="H556" s="16">
        <v>5</v>
      </c>
    </row>
    <row r="557" spans="1:8" x14ac:dyDescent="0.15">
      <c r="A557" s="19">
        <v>250.00953999999999</v>
      </c>
      <c r="B557" s="19">
        <v>258</v>
      </c>
      <c r="C557" s="19">
        <v>0.45095000000000002</v>
      </c>
      <c r="D557" s="19">
        <v>95.375680000000003</v>
      </c>
      <c r="E557" s="19">
        <v>20</v>
      </c>
      <c r="F557" s="19">
        <v>80</v>
      </c>
      <c r="G557" s="19">
        <v>1</v>
      </c>
      <c r="H557" s="16">
        <v>5</v>
      </c>
    </row>
    <row r="558" spans="1:8" x14ac:dyDescent="0.15">
      <c r="A558" s="19">
        <v>250.01021</v>
      </c>
      <c r="B558" s="19">
        <v>258.5</v>
      </c>
      <c r="C558" s="19">
        <v>0.45069999999999999</v>
      </c>
      <c r="D558" s="19">
        <v>95.393529999999998</v>
      </c>
      <c r="E558" s="19">
        <v>20</v>
      </c>
      <c r="F558" s="19">
        <v>80</v>
      </c>
      <c r="G558" s="19">
        <v>1</v>
      </c>
      <c r="H558" s="16">
        <v>5</v>
      </c>
    </row>
    <row r="559" spans="1:8" x14ac:dyDescent="0.15">
      <c r="A559" s="19">
        <v>250.00890999999999</v>
      </c>
      <c r="B559" s="19">
        <v>259</v>
      </c>
      <c r="C559" s="19">
        <v>0.45089000000000001</v>
      </c>
      <c r="D559" s="19">
        <v>95.472250000000003</v>
      </c>
      <c r="E559" s="19">
        <v>20</v>
      </c>
      <c r="F559" s="19">
        <v>80</v>
      </c>
      <c r="G559" s="19">
        <v>1</v>
      </c>
      <c r="H559" s="16">
        <v>5</v>
      </c>
    </row>
    <row r="560" spans="1:8" x14ac:dyDescent="0.15">
      <c r="A560" s="19">
        <v>250.00783999999999</v>
      </c>
      <c r="B560" s="19">
        <v>259.5</v>
      </c>
      <c r="C560" s="19">
        <v>0.45138</v>
      </c>
      <c r="D560" s="19">
        <v>95.446600000000004</v>
      </c>
      <c r="E560" s="19">
        <v>20</v>
      </c>
      <c r="F560" s="19">
        <v>80</v>
      </c>
      <c r="G560" s="19">
        <v>1</v>
      </c>
      <c r="H560" s="16">
        <v>5</v>
      </c>
    </row>
    <row r="561" spans="1:8" x14ac:dyDescent="0.15">
      <c r="A561" s="19">
        <v>250.01022</v>
      </c>
      <c r="B561" s="19">
        <v>260</v>
      </c>
      <c r="C561" s="19">
        <v>0.45161000000000001</v>
      </c>
      <c r="D561" s="19">
        <v>95.478139999999996</v>
      </c>
      <c r="E561" s="19">
        <v>20</v>
      </c>
      <c r="F561" s="19">
        <v>80</v>
      </c>
      <c r="G561" s="19">
        <v>1</v>
      </c>
      <c r="H561" s="16">
        <v>5</v>
      </c>
    </row>
    <row r="562" spans="1:8" x14ac:dyDescent="0.15">
      <c r="A562" s="19">
        <v>250.01215999999999</v>
      </c>
      <c r="B562" s="19">
        <v>260.5</v>
      </c>
      <c r="C562" s="19">
        <v>0.45123000000000002</v>
      </c>
      <c r="D562" s="19">
        <v>95.423069999999996</v>
      </c>
      <c r="E562" s="19">
        <v>20</v>
      </c>
      <c r="F562" s="19">
        <v>80</v>
      </c>
      <c r="G562" s="19">
        <v>1</v>
      </c>
      <c r="H562" s="16">
        <v>5</v>
      </c>
    </row>
    <row r="563" spans="1:8" x14ac:dyDescent="0.15">
      <c r="A563" s="19">
        <v>250.01669000000001</v>
      </c>
      <c r="B563" s="19">
        <v>261</v>
      </c>
      <c r="C563" s="19">
        <v>0.45006000000000002</v>
      </c>
      <c r="D563" s="19">
        <v>95.370159999999998</v>
      </c>
      <c r="E563" s="19">
        <v>20</v>
      </c>
      <c r="F563" s="19">
        <v>80</v>
      </c>
      <c r="G563" s="19">
        <v>1</v>
      </c>
      <c r="H563" s="16">
        <v>5</v>
      </c>
    </row>
    <row r="564" spans="1:8" x14ac:dyDescent="0.15">
      <c r="A564" s="19">
        <v>250.01557</v>
      </c>
      <c r="B564" s="19">
        <v>261.5</v>
      </c>
      <c r="C564" s="19">
        <v>0.45001000000000002</v>
      </c>
      <c r="D564" s="19">
        <v>95.44238</v>
      </c>
      <c r="E564" s="19">
        <v>20</v>
      </c>
      <c r="F564" s="19">
        <v>80</v>
      </c>
      <c r="G564" s="19">
        <v>1</v>
      </c>
      <c r="H564" s="16">
        <v>5</v>
      </c>
    </row>
    <row r="565" spans="1:8" x14ac:dyDescent="0.15">
      <c r="A565" s="19">
        <v>250.01553000000001</v>
      </c>
      <c r="B565" s="19">
        <v>262</v>
      </c>
      <c r="C565" s="19">
        <v>0.45122000000000001</v>
      </c>
      <c r="D565" s="19">
        <v>95.340350000000001</v>
      </c>
      <c r="E565" s="19">
        <v>20</v>
      </c>
      <c r="F565" s="19">
        <v>80</v>
      </c>
      <c r="G565" s="19">
        <v>1</v>
      </c>
      <c r="H565" s="16">
        <v>5</v>
      </c>
    </row>
    <row r="566" spans="1:8" x14ac:dyDescent="0.15">
      <c r="A566" s="19">
        <v>250.01906</v>
      </c>
      <c r="B566" s="19">
        <v>262.5</v>
      </c>
      <c r="C566" s="19">
        <v>0.45039000000000001</v>
      </c>
      <c r="D566" s="19">
        <v>95.406040000000004</v>
      </c>
      <c r="E566" s="19">
        <v>20</v>
      </c>
      <c r="F566" s="19">
        <v>80</v>
      </c>
      <c r="G566" s="19">
        <v>1</v>
      </c>
      <c r="H566" s="16">
        <v>5</v>
      </c>
    </row>
    <row r="567" spans="1:8" x14ac:dyDescent="0.15">
      <c r="A567" s="19">
        <v>250.02443</v>
      </c>
      <c r="B567" s="19">
        <v>263</v>
      </c>
      <c r="C567" s="19">
        <v>0.44843</v>
      </c>
      <c r="D567" s="19">
        <v>95.345569999999995</v>
      </c>
      <c r="E567" s="19">
        <v>20</v>
      </c>
      <c r="F567" s="19">
        <v>80</v>
      </c>
      <c r="G567" s="19">
        <v>1</v>
      </c>
      <c r="H567" s="16">
        <v>5</v>
      </c>
    </row>
    <row r="568" spans="1:8" x14ac:dyDescent="0.15">
      <c r="A568" s="19">
        <v>250.02549999999999</v>
      </c>
      <c r="B568" s="19">
        <v>263.5</v>
      </c>
      <c r="C568" s="19">
        <v>0.44902999999999998</v>
      </c>
      <c r="D568" s="19">
        <v>95.318910000000002</v>
      </c>
      <c r="E568" s="19">
        <v>20</v>
      </c>
      <c r="F568" s="19">
        <v>80</v>
      </c>
      <c r="G568" s="19">
        <v>1</v>
      </c>
      <c r="H568" s="16">
        <v>5</v>
      </c>
    </row>
    <row r="569" spans="1:8" x14ac:dyDescent="0.15">
      <c r="A569" s="19">
        <v>250.02408</v>
      </c>
      <c r="B569" s="19">
        <v>264</v>
      </c>
      <c r="C569" s="19">
        <v>0.44852999999999998</v>
      </c>
      <c r="D569" s="19">
        <v>95.229039999999998</v>
      </c>
      <c r="E569" s="19">
        <v>20</v>
      </c>
      <c r="F569" s="19">
        <v>80</v>
      </c>
      <c r="G569" s="19">
        <v>1</v>
      </c>
      <c r="H569" s="16">
        <v>5</v>
      </c>
    </row>
    <row r="570" spans="1:8" x14ac:dyDescent="0.15">
      <c r="A570" s="19">
        <v>250.02180000000001</v>
      </c>
      <c r="B570" s="19">
        <v>264.5</v>
      </c>
      <c r="C570" s="19">
        <v>0.44729999999999998</v>
      </c>
      <c r="D570" s="19">
        <v>95.266869999999997</v>
      </c>
      <c r="E570" s="19">
        <v>20</v>
      </c>
      <c r="F570" s="19">
        <v>80</v>
      </c>
      <c r="G570" s="19">
        <v>1</v>
      </c>
      <c r="H570" s="16">
        <v>5</v>
      </c>
    </row>
    <row r="571" spans="1:8" x14ac:dyDescent="0.15">
      <c r="A571" s="19">
        <v>250.01884000000001</v>
      </c>
      <c r="B571" s="19">
        <v>265</v>
      </c>
      <c r="C571" s="19">
        <v>0.44722000000000001</v>
      </c>
      <c r="D571" s="19">
        <v>95.291830000000004</v>
      </c>
      <c r="E571" s="19">
        <v>20</v>
      </c>
      <c r="F571" s="19">
        <v>80</v>
      </c>
      <c r="G571" s="19">
        <v>1</v>
      </c>
      <c r="H571" s="16">
        <v>5</v>
      </c>
    </row>
    <row r="572" spans="1:8" x14ac:dyDescent="0.15">
      <c r="A572" s="19">
        <v>250.01349999999999</v>
      </c>
      <c r="B572" s="19">
        <v>265.5</v>
      </c>
      <c r="C572" s="19">
        <v>0.44634000000000001</v>
      </c>
      <c r="D572" s="19">
        <v>95.234579999999994</v>
      </c>
      <c r="E572" s="19">
        <v>20</v>
      </c>
      <c r="F572" s="19">
        <v>80</v>
      </c>
      <c r="G572" s="19">
        <v>1</v>
      </c>
      <c r="H572" s="16">
        <v>5</v>
      </c>
    </row>
    <row r="573" spans="1:8" x14ac:dyDescent="0.15">
      <c r="A573" s="19">
        <v>250.01527999999999</v>
      </c>
      <c r="B573" s="19">
        <v>266</v>
      </c>
      <c r="C573" s="19">
        <v>0.44630999999999998</v>
      </c>
      <c r="D573" s="19">
        <v>95.362989999999996</v>
      </c>
      <c r="E573" s="19">
        <v>20</v>
      </c>
      <c r="F573" s="19">
        <v>80</v>
      </c>
      <c r="G573" s="19">
        <v>1</v>
      </c>
      <c r="H573" s="16">
        <v>5</v>
      </c>
    </row>
    <row r="574" spans="1:8" x14ac:dyDescent="0.15">
      <c r="A574" s="19">
        <v>250.01785000000001</v>
      </c>
      <c r="B574" s="19">
        <v>266.5</v>
      </c>
      <c r="C574" s="19">
        <v>0.44647999999999999</v>
      </c>
      <c r="D574" s="19">
        <v>95.220140000000001</v>
      </c>
      <c r="E574" s="19">
        <v>20</v>
      </c>
      <c r="F574" s="19">
        <v>80</v>
      </c>
      <c r="G574" s="19">
        <v>1</v>
      </c>
      <c r="H574" s="16">
        <v>5</v>
      </c>
    </row>
    <row r="575" spans="1:8" x14ac:dyDescent="0.15">
      <c r="A575" s="19">
        <v>250.01917</v>
      </c>
      <c r="B575" s="19">
        <v>267</v>
      </c>
      <c r="C575" s="19">
        <v>0.44684000000000001</v>
      </c>
      <c r="D575" s="19">
        <v>95.249989999999997</v>
      </c>
      <c r="E575" s="19">
        <v>20</v>
      </c>
      <c r="F575" s="19">
        <v>80</v>
      </c>
      <c r="G575" s="19">
        <v>1</v>
      </c>
      <c r="H575" s="16">
        <v>5</v>
      </c>
    </row>
    <row r="576" spans="1:8" x14ac:dyDescent="0.15">
      <c r="A576" s="19">
        <v>250.02121</v>
      </c>
      <c r="B576" s="19">
        <v>267.5</v>
      </c>
      <c r="C576" s="19">
        <v>0.44677</v>
      </c>
      <c r="D576" s="19">
        <v>95.33484</v>
      </c>
      <c r="E576" s="19">
        <v>20</v>
      </c>
      <c r="F576" s="19">
        <v>80</v>
      </c>
      <c r="G576" s="19">
        <v>1</v>
      </c>
      <c r="H576" s="16">
        <v>5</v>
      </c>
    </row>
    <row r="577" spans="1:8" x14ac:dyDescent="0.15">
      <c r="A577" s="19">
        <v>250.02029999999999</v>
      </c>
      <c r="B577" s="19">
        <v>268</v>
      </c>
      <c r="C577" s="19">
        <v>0.44590000000000002</v>
      </c>
      <c r="D577" s="19">
        <v>95.197050000000004</v>
      </c>
      <c r="E577" s="19">
        <v>20</v>
      </c>
      <c r="F577" s="19">
        <v>80</v>
      </c>
      <c r="G577" s="19">
        <v>1</v>
      </c>
      <c r="H577" s="16">
        <v>5</v>
      </c>
    </row>
    <row r="578" spans="1:8" x14ac:dyDescent="0.15">
      <c r="A578" s="19">
        <v>250.02112</v>
      </c>
      <c r="B578" s="19">
        <v>268.5</v>
      </c>
      <c r="C578" s="19">
        <v>0.44530999999999998</v>
      </c>
      <c r="D578" s="19">
        <v>95.166309999999996</v>
      </c>
      <c r="E578" s="19">
        <v>20</v>
      </c>
      <c r="F578" s="19">
        <v>80</v>
      </c>
      <c r="G578" s="19">
        <v>1</v>
      </c>
      <c r="H578" s="16">
        <v>5</v>
      </c>
    </row>
    <row r="579" spans="1:8" x14ac:dyDescent="0.15">
      <c r="A579" s="19">
        <v>250.01775000000001</v>
      </c>
      <c r="B579" s="19">
        <v>269</v>
      </c>
      <c r="C579" s="19">
        <v>0.44424999999999998</v>
      </c>
      <c r="D579" s="19">
        <v>95.182959999999994</v>
      </c>
      <c r="E579" s="19">
        <v>20</v>
      </c>
      <c r="F579" s="19">
        <v>80</v>
      </c>
      <c r="G579" s="19">
        <v>1</v>
      </c>
      <c r="H579" s="16">
        <v>5</v>
      </c>
    </row>
    <row r="580" spans="1:8" x14ac:dyDescent="0.15">
      <c r="A580" s="19">
        <v>250.01588000000001</v>
      </c>
      <c r="B580" s="19">
        <v>269.5</v>
      </c>
      <c r="C580" s="19">
        <v>0.44572000000000001</v>
      </c>
      <c r="D580" s="19">
        <v>95.147710000000004</v>
      </c>
      <c r="E580" s="19">
        <v>20</v>
      </c>
      <c r="F580" s="19">
        <v>80</v>
      </c>
      <c r="G580" s="19">
        <v>1</v>
      </c>
      <c r="H580" s="16">
        <v>5</v>
      </c>
    </row>
    <row r="581" spans="1:8" x14ac:dyDescent="0.15">
      <c r="A581" s="19">
        <v>250.01775000000001</v>
      </c>
      <c r="B581" s="19">
        <v>270</v>
      </c>
      <c r="C581" s="19">
        <v>0.4451</v>
      </c>
      <c r="D581" s="19">
        <v>95.130229999999997</v>
      </c>
      <c r="E581" s="19">
        <v>20</v>
      </c>
      <c r="F581" s="19">
        <v>80</v>
      </c>
      <c r="G581" s="19">
        <v>1</v>
      </c>
      <c r="H581" s="16">
        <v>5</v>
      </c>
    </row>
    <row r="582" spans="1:8" x14ac:dyDescent="0.15">
      <c r="A582" s="19">
        <v>250.01777999999999</v>
      </c>
      <c r="B582" s="19">
        <v>270.5</v>
      </c>
      <c r="C582" s="19">
        <v>0.44445000000000001</v>
      </c>
      <c r="D582" s="19">
        <v>95.17774</v>
      </c>
      <c r="E582" s="19">
        <v>20</v>
      </c>
      <c r="F582" s="19">
        <v>80</v>
      </c>
      <c r="G582" s="19">
        <v>1</v>
      </c>
      <c r="H582" s="16">
        <v>5</v>
      </c>
    </row>
    <row r="583" spans="1:8" x14ac:dyDescent="0.15">
      <c r="A583" s="19">
        <v>250.02213</v>
      </c>
      <c r="B583" s="19">
        <v>271</v>
      </c>
      <c r="C583" s="19">
        <v>0.44500000000000001</v>
      </c>
      <c r="D583" s="19">
        <v>95.178529999999995</v>
      </c>
      <c r="E583" s="19">
        <v>20</v>
      </c>
      <c r="F583" s="19">
        <v>80</v>
      </c>
      <c r="G583" s="19">
        <v>1</v>
      </c>
      <c r="H583" s="16">
        <v>5</v>
      </c>
    </row>
    <row r="584" spans="1:8" x14ac:dyDescent="0.15">
      <c r="A584" s="19">
        <v>250.02251999999999</v>
      </c>
      <c r="B584" s="19">
        <v>271.5</v>
      </c>
      <c r="C584" s="19">
        <v>0.44452999999999998</v>
      </c>
      <c r="D584" s="19">
        <v>95.000489999999999</v>
      </c>
      <c r="E584" s="19">
        <v>20</v>
      </c>
      <c r="F584" s="19">
        <v>80</v>
      </c>
      <c r="G584" s="19">
        <v>1</v>
      </c>
      <c r="H584" s="16">
        <v>5</v>
      </c>
    </row>
    <row r="585" spans="1:8" x14ac:dyDescent="0.15">
      <c r="A585" s="19">
        <v>250.01795999999999</v>
      </c>
      <c r="B585" s="19">
        <v>272</v>
      </c>
      <c r="C585" s="19">
        <v>0.44350000000000001</v>
      </c>
      <c r="D585" s="19">
        <v>95.016900000000007</v>
      </c>
      <c r="E585" s="19">
        <v>20</v>
      </c>
      <c r="F585" s="19">
        <v>80</v>
      </c>
      <c r="G585" s="19">
        <v>1</v>
      </c>
      <c r="H585" s="16">
        <v>5</v>
      </c>
    </row>
    <row r="586" spans="1:8" x14ac:dyDescent="0.15">
      <c r="A586" s="19">
        <v>250.01766000000001</v>
      </c>
      <c r="B586" s="19">
        <v>272.5</v>
      </c>
      <c r="C586" s="19">
        <v>0.44314999999999999</v>
      </c>
      <c r="D586" s="19">
        <v>95.023799999999994</v>
      </c>
      <c r="E586" s="19">
        <v>20</v>
      </c>
      <c r="F586" s="19">
        <v>80</v>
      </c>
      <c r="G586" s="19">
        <v>1</v>
      </c>
      <c r="H586" s="16">
        <v>5</v>
      </c>
    </row>
    <row r="587" spans="1:8" x14ac:dyDescent="0.15">
      <c r="A587" s="19">
        <v>250.02026000000001</v>
      </c>
      <c r="B587" s="19">
        <v>273</v>
      </c>
      <c r="C587" s="19">
        <v>0.44320999999999999</v>
      </c>
      <c r="D587" s="19">
        <v>95.066469999999995</v>
      </c>
      <c r="E587" s="19">
        <v>20</v>
      </c>
      <c r="F587" s="19">
        <v>80</v>
      </c>
      <c r="G587" s="19">
        <v>1</v>
      </c>
      <c r="H587" s="16">
        <v>5</v>
      </c>
    </row>
    <row r="588" spans="1:8" x14ac:dyDescent="0.15">
      <c r="A588" s="19">
        <v>250.02393000000001</v>
      </c>
      <c r="B588" s="19">
        <v>273.5</v>
      </c>
      <c r="C588" s="19">
        <v>0.44330999999999998</v>
      </c>
      <c r="D588" s="19">
        <v>94.948989999999995</v>
      </c>
      <c r="E588" s="19">
        <v>20</v>
      </c>
      <c r="F588" s="19">
        <v>80</v>
      </c>
      <c r="G588" s="19">
        <v>1</v>
      </c>
      <c r="H588" s="16">
        <v>5</v>
      </c>
    </row>
    <row r="589" spans="1:8" x14ac:dyDescent="0.15">
      <c r="A589" s="19">
        <v>250.02311</v>
      </c>
      <c r="B589" s="19">
        <v>274</v>
      </c>
      <c r="C589" s="19">
        <v>0.44289000000000001</v>
      </c>
      <c r="D589" s="19">
        <v>95.075990000000004</v>
      </c>
      <c r="E589" s="19">
        <v>20</v>
      </c>
      <c r="F589" s="19">
        <v>80</v>
      </c>
      <c r="G589" s="19">
        <v>1</v>
      </c>
      <c r="H589" s="16">
        <v>5</v>
      </c>
    </row>
    <row r="590" spans="1:8" x14ac:dyDescent="0.15">
      <c r="A590" s="19">
        <v>250.02276000000001</v>
      </c>
      <c r="B590" s="19">
        <v>274.5</v>
      </c>
      <c r="C590" s="19">
        <v>0.44251000000000001</v>
      </c>
      <c r="D590" s="19">
        <v>95.174660000000003</v>
      </c>
      <c r="E590" s="19">
        <v>20</v>
      </c>
      <c r="F590" s="19">
        <v>80</v>
      </c>
      <c r="G590" s="19">
        <v>1</v>
      </c>
      <c r="H590" s="16">
        <v>5</v>
      </c>
    </row>
    <row r="591" spans="1:8" x14ac:dyDescent="0.15">
      <c r="A591" s="19">
        <v>250.02059</v>
      </c>
      <c r="B591" s="19">
        <v>275</v>
      </c>
      <c r="C591" s="19">
        <v>0.44130000000000003</v>
      </c>
      <c r="D591" s="19">
        <v>95.081789999999998</v>
      </c>
      <c r="E591" s="19">
        <v>20</v>
      </c>
      <c r="F591" s="19">
        <v>80</v>
      </c>
      <c r="G591" s="19">
        <v>1</v>
      </c>
      <c r="H591" s="16">
        <v>5</v>
      </c>
    </row>
    <row r="592" spans="1:8" x14ac:dyDescent="0.15">
      <c r="A592" s="19">
        <v>250.02045000000001</v>
      </c>
      <c r="B592" s="19">
        <v>275.5</v>
      </c>
      <c r="C592" s="19">
        <v>0.44166</v>
      </c>
      <c r="D592" s="19">
        <v>95.117109999999997</v>
      </c>
      <c r="E592" s="19">
        <v>20</v>
      </c>
      <c r="F592" s="19">
        <v>80</v>
      </c>
      <c r="G592" s="19">
        <v>1</v>
      </c>
      <c r="H592" s="16">
        <v>5</v>
      </c>
    </row>
    <row r="593" spans="1:8" x14ac:dyDescent="0.15">
      <c r="A593" s="19">
        <v>250.01527999999999</v>
      </c>
      <c r="B593" s="19">
        <v>276</v>
      </c>
      <c r="C593" s="19">
        <v>0.44177</v>
      </c>
      <c r="D593" s="19">
        <v>94.936080000000004</v>
      </c>
      <c r="E593" s="19">
        <v>20</v>
      </c>
      <c r="F593" s="19">
        <v>80</v>
      </c>
      <c r="G593" s="19">
        <v>1</v>
      </c>
      <c r="H593" s="16">
        <v>5</v>
      </c>
    </row>
    <row r="594" spans="1:8" x14ac:dyDescent="0.15">
      <c r="A594" s="19">
        <v>250.01678999999999</v>
      </c>
      <c r="B594" s="19">
        <v>276.5</v>
      </c>
      <c r="C594" s="19">
        <v>0.44080999999999998</v>
      </c>
      <c r="D594" s="19">
        <v>94.997309999999999</v>
      </c>
      <c r="E594" s="19">
        <v>20</v>
      </c>
      <c r="F594" s="19">
        <v>80</v>
      </c>
      <c r="G594" s="19">
        <v>1</v>
      </c>
      <c r="H594" s="16">
        <v>5</v>
      </c>
    </row>
    <row r="595" spans="1:8" x14ac:dyDescent="0.15">
      <c r="A595" s="19">
        <v>250.01902999999999</v>
      </c>
      <c r="B595" s="19">
        <v>277</v>
      </c>
      <c r="C595" s="19">
        <v>0.44170999999999999</v>
      </c>
      <c r="D595" s="19">
        <v>95.01652</v>
      </c>
      <c r="E595" s="19">
        <v>20</v>
      </c>
      <c r="F595" s="19">
        <v>80</v>
      </c>
      <c r="G595" s="19">
        <v>1</v>
      </c>
      <c r="H595" s="16">
        <v>5</v>
      </c>
    </row>
    <row r="596" spans="1:8" x14ac:dyDescent="0.15">
      <c r="A596" s="19">
        <v>250.01597000000001</v>
      </c>
      <c r="B596" s="19">
        <v>277.5</v>
      </c>
      <c r="C596" s="19">
        <v>0.44113000000000002</v>
      </c>
      <c r="D596" s="19">
        <v>94.943160000000006</v>
      </c>
      <c r="E596" s="19">
        <v>20</v>
      </c>
      <c r="F596" s="19">
        <v>80</v>
      </c>
      <c r="G596" s="19">
        <v>1</v>
      </c>
      <c r="H596" s="16">
        <v>5</v>
      </c>
    </row>
    <row r="597" spans="1:8" x14ac:dyDescent="0.15">
      <c r="A597" s="19">
        <v>250.01644999999999</v>
      </c>
      <c r="B597" s="19">
        <v>278</v>
      </c>
      <c r="C597" s="19">
        <v>0.44098999999999999</v>
      </c>
      <c r="D597" s="19">
        <v>94.859750000000005</v>
      </c>
      <c r="E597" s="19">
        <v>20</v>
      </c>
      <c r="F597" s="19">
        <v>80</v>
      </c>
      <c r="G597" s="19">
        <v>1</v>
      </c>
      <c r="H597" s="16">
        <v>5</v>
      </c>
    </row>
    <row r="598" spans="1:8" x14ac:dyDescent="0.15">
      <c r="A598" s="19">
        <v>250.02036000000001</v>
      </c>
      <c r="B598" s="19">
        <v>278.5</v>
      </c>
      <c r="C598" s="19">
        <v>0.44090000000000001</v>
      </c>
      <c r="D598" s="19">
        <v>94.980760000000004</v>
      </c>
      <c r="E598" s="19">
        <v>20</v>
      </c>
      <c r="F598" s="19">
        <v>80</v>
      </c>
      <c r="G598" s="19">
        <v>1</v>
      </c>
      <c r="H598" s="16">
        <v>5</v>
      </c>
    </row>
    <row r="599" spans="1:8" x14ac:dyDescent="0.15">
      <c r="A599" s="19">
        <v>250.01885999999999</v>
      </c>
      <c r="B599" s="19">
        <v>279</v>
      </c>
      <c r="C599" s="19">
        <v>0.44112000000000001</v>
      </c>
      <c r="D599" s="19">
        <v>94.865679999999998</v>
      </c>
      <c r="E599" s="19">
        <v>20</v>
      </c>
      <c r="F599" s="19">
        <v>80</v>
      </c>
      <c r="G599" s="19">
        <v>1</v>
      </c>
      <c r="H599" s="16">
        <v>5</v>
      </c>
    </row>
    <row r="600" spans="1:8" x14ac:dyDescent="0.15">
      <c r="A600" s="19">
        <v>250.01936000000001</v>
      </c>
      <c r="B600" s="19">
        <v>279.5</v>
      </c>
      <c r="C600" s="19">
        <v>0.44172</v>
      </c>
      <c r="D600" s="19">
        <v>94.87764</v>
      </c>
      <c r="E600" s="19">
        <v>20</v>
      </c>
      <c r="F600" s="19">
        <v>80</v>
      </c>
      <c r="G600" s="19">
        <v>1</v>
      </c>
      <c r="H600" s="16">
        <v>5</v>
      </c>
    </row>
    <row r="601" spans="1:8" x14ac:dyDescent="0.15">
      <c r="A601" s="19">
        <v>250.02005</v>
      </c>
      <c r="B601" s="19">
        <v>280</v>
      </c>
      <c r="C601" s="19">
        <v>0.44235999999999998</v>
      </c>
      <c r="D601" s="19">
        <v>94.914280000000005</v>
      </c>
      <c r="E601" s="19">
        <v>20</v>
      </c>
      <c r="F601" s="19">
        <v>80</v>
      </c>
      <c r="G601" s="19">
        <v>1</v>
      </c>
      <c r="H601" s="16">
        <v>5</v>
      </c>
    </row>
    <row r="602" spans="1:8" x14ac:dyDescent="0.15">
      <c r="A602" s="19">
        <v>250.01961</v>
      </c>
      <c r="B602" s="19">
        <v>280.5</v>
      </c>
      <c r="C602" s="19">
        <v>0.43880999999999998</v>
      </c>
      <c r="D602" s="19">
        <v>94.884600000000006</v>
      </c>
      <c r="E602" s="19">
        <v>20</v>
      </c>
      <c r="F602" s="19">
        <v>80</v>
      </c>
      <c r="G602" s="19">
        <v>1</v>
      </c>
      <c r="H602" s="16">
        <v>5</v>
      </c>
    </row>
    <row r="603" spans="1:8" x14ac:dyDescent="0.15">
      <c r="A603" s="19">
        <v>250.01752999999999</v>
      </c>
      <c r="B603" s="19">
        <v>281</v>
      </c>
      <c r="C603" s="19">
        <v>0.44002999999999998</v>
      </c>
      <c r="D603" s="19">
        <v>94.854780000000005</v>
      </c>
      <c r="E603" s="19">
        <v>20</v>
      </c>
      <c r="F603" s="19">
        <v>80</v>
      </c>
      <c r="G603" s="19">
        <v>1</v>
      </c>
      <c r="H603" s="16">
        <v>5</v>
      </c>
    </row>
    <row r="604" spans="1:8" x14ac:dyDescent="0.15">
      <c r="A604" s="19">
        <v>250.01439999999999</v>
      </c>
      <c r="B604" s="19">
        <v>281.5</v>
      </c>
      <c r="C604" s="19">
        <v>0.43879000000000001</v>
      </c>
      <c r="D604" s="19">
        <v>94.865499999999997</v>
      </c>
      <c r="E604" s="19">
        <v>20</v>
      </c>
      <c r="F604" s="19">
        <v>80</v>
      </c>
      <c r="G604" s="19">
        <v>1</v>
      </c>
      <c r="H604" s="16">
        <v>5</v>
      </c>
    </row>
    <row r="605" spans="1:8" x14ac:dyDescent="0.15">
      <c r="A605" s="19">
        <v>250.01155</v>
      </c>
      <c r="B605" s="19">
        <v>282</v>
      </c>
      <c r="C605" s="19">
        <v>0.43985999999999997</v>
      </c>
      <c r="D605" s="19">
        <v>94.770359999999997</v>
      </c>
      <c r="E605" s="19">
        <v>20</v>
      </c>
      <c r="F605" s="19">
        <v>80</v>
      </c>
      <c r="G605" s="19">
        <v>1</v>
      </c>
      <c r="H605" s="16">
        <v>5</v>
      </c>
    </row>
    <row r="606" spans="1:8" x14ac:dyDescent="0.15">
      <c r="A606" s="19">
        <v>250.00934000000001</v>
      </c>
      <c r="B606" s="19">
        <v>282.5</v>
      </c>
      <c r="C606" s="19">
        <v>0.44072</v>
      </c>
      <c r="D606" s="19">
        <v>94.834800000000001</v>
      </c>
      <c r="E606" s="19">
        <v>20</v>
      </c>
      <c r="F606" s="19">
        <v>80</v>
      </c>
      <c r="G606" s="19">
        <v>1</v>
      </c>
      <c r="H606" s="16">
        <v>5</v>
      </c>
    </row>
    <row r="607" spans="1:8" x14ac:dyDescent="0.15">
      <c r="A607" s="19">
        <v>250.01115999999999</v>
      </c>
      <c r="B607" s="19">
        <v>283</v>
      </c>
      <c r="C607" s="19">
        <v>0.43919999999999998</v>
      </c>
      <c r="D607" s="19">
        <v>94.799949999999995</v>
      </c>
      <c r="E607" s="19">
        <v>20</v>
      </c>
      <c r="F607" s="19">
        <v>80</v>
      </c>
      <c r="G607" s="19">
        <v>1</v>
      </c>
      <c r="H607" s="16">
        <v>5</v>
      </c>
    </row>
    <row r="608" spans="1:8" x14ac:dyDescent="0.15">
      <c r="A608" s="19">
        <v>250.01670999999999</v>
      </c>
      <c r="B608" s="19">
        <v>283.5</v>
      </c>
      <c r="C608" s="19">
        <v>0.43994</v>
      </c>
      <c r="D608" s="19">
        <v>94.778620000000004</v>
      </c>
      <c r="E608" s="19">
        <v>20</v>
      </c>
      <c r="F608" s="19">
        <v>80</v>
      </c>
      <c r="G608" s="19">
        <v>1</v>
      </c>
      <c r="H608" s="16">
        <v>5</v>
      </c>
    </row>
    <row r="609" spans="1:8" x14ac:dyDescent="0.15">
      <c r="A609" s="19">
        <v>250.02014</v>
      </c>
      <c r="B609" s="19">
        <v>284</v>
      </c>
      <c r="C609" s="19">
        <v>0.43824999999999997</v>
      </c>
      <c r="D609" s="19">
        <v>94.885339999999999</v>
      </c>
      <c r="E609" s="19">
        <v>20</v>
      </c>
      <c r="F609" s="19">
        <v>80</v>
      </c>
      <c r="G609" s="19">
        <v>1</v>
      </c>
      <c r="H609" s="16">
        <v>5</v>
      </c>
    </row>
    <row r="610" spans="1:8" x14ac:dyDescent="0.15">
      <c r="A610" s="19">
        <v>250.01884000000001</v>
      </c>
      <c r="B610" s="19">
        <v>284.5</v>
      </c>
      <c r="C610" s="19">
        <v>0.43691000000000002</v>
      </c>
      <c r="D610" s="19">
        <v>94.738820000000004</v>
      </c>
      <c r="E610" s="19">
        <v>20</v>
      </c>
      <c r="F610" s="19">
        <v>80</v>
      </c>
      <c r="G610" s="19">
        <v>1</v>
      </c>
      <c r="H610" s="16">
        <v>5</v>
      </c>
    </row>
    <row r="611" spans="1:8" x14ac:dyDescent="0.15">
      <c r="A611" s="19">
        <v>250.01705999999999</v>
      </c>
      <c r="B611" s="19">
        <v>285</v>
      </c>
      <c r="C611" s="19">
        <v>0.43747999999999998</v>
      </c>
      <c r="D611" s="19">
        <v>94.811179999999993</v>
      </c>
      <c r="E611" s="19">
        <v>20</v>
      </c>
      <c r="F611" s="19">
        <v>80</v>
      </c>
      <c r="G611" s="19">
        <v>1</v>
      </c>
      <c r="H611" s="16">
        <v>5</v>
      </c>
    </row>
    <row r="612" spans="1:8" x14ac:dyDescent="0.15">
      <c r="A612" s="19">
        <v>250.01689999999999</v>
      </c>
      <c r="B612" s="19">
        <v>285.5</v>
      </c>
      <c r="C612" s="19">
        <v>0.43948999999999999</v>
      </c>
      <c r="D612" s="19">
        <v>94.831000000000003</v>
      </c>
      <c r="E612" s="19">
        <v>20</v>
      </c>
      <c r="F612" s="19">
        <v>80</v>
      </c>
      <c r="G612" s="19">
        <v>1</v>
      </c>
      <c r="H612" s="16">
        <v>5</v>
      </c>
    </row>
    <row r="613" spans="1:8" x14ac:dyDescent="0.15">
      <c r="A613" s="19">
        <v>250.01543000000001</v>
      </c>
      <c r="B613" s="19">
        <v>286</v>
      </c>
      <c r="C613" s="19">
        <v>0.43935000000000002</v>
      </c>
      <c r="D613" s="19">
        <v>94.721829999999997</v>
      </c>
      <c r="E613" s="19">
        <v>20</v>
      </c>
      <c r="F613" s="19">
        <v>80</v>
      </c>
      <c r="G613" s="19">
        <v>1</v>
      </c>
      <c r="H613" s="16">
        <v>5</v>
      </c>
    </row>
    <row r="614" spans="1:8" x14ac:dyDescent="0.15">
      <c r="A614" s="19">
        <v>250.01514</v>
      </c>
      <c r="B614" s="19">
        <v>286.5</v>
      </c>
      <c r="C614" s="19">
        <v>0.43963000000000002</v>
      </c>
      <c r="D614" s="19">
        <v>94.755849999999995</v>
      </c>
      <c r="E614" s="19">
        <v>20</v>
      </c>
      <c r="F614" s="19">
        <v>80</v>
      </c>
      <c r="G614" s="19">
        <v>1</v>
      </c>
      <c r="H614" s="16">
        <v>5</v>
      </c>
    </row>
    <row r="615" spans="1:8" x14ac:dyDescent="0.15">
      <c r="A615" s="19">
        <v>250.01455000000001</v>
      </c>
      <c r="B615" s="19">
        <v>287</v>
      </c>
      <c r="C615" s="19">
        <v>0.43908999999999998</v>
      </c>
      <c r="D615" s="19">
        <v>94.618290000000002</v>
      </c>
      <c r="E615" s="19">
        <v>20</v>
      </c>
      <c r="F615" s="19">
        <v>80</v>
      </c>
      <c r="G615" s="19">
        <v>1</v>
      </c>
      <c r="H615" s="16">
        <v>5</v>
      </c>
    </row>
    <row r="616" spans="1:8" x14ac:dyDescent="0.15">
      <c r="A616" s="19">
        <v>250.01678000000001</v>
      </c>
      <c r="B616" s="19">
        <v>287.5</v>
      </c>
      <c r="C616" s="19">
        <v>0.43837999999999999</v>
      </c>
      <c r="D616" s="19">
        <v>94.737830000000002</v>
      </c>
      <c r="E616" s="19">
        <v>20</v>
      </c>
      <c r="F616" s="19">
        <v>80</v>
      </c>
      <c r="G616" s="19">
        <v>1</v>
      </c>
      <c r="H616" s="16">
        <v>5</v>
      </c>
    </row>
    <row r="617" spans="1:8" x14ac:dyDescent="0.15">
      <c r="A617" s="19">
        <v>250.01938999999999</v>
      </c>
      <c r="B617" s="19">
        <v>288</v>
      </c>
      <c r="C617" s="19">
        <v>0.43630999999999998</v>
      </c>
      <c r="D617" s="19">
        <v>94.650189999999995</v>
      </c>
      <c r="E617" s="19">
        <v>20</v>
      </c>
      <c r="F617" s="19">
        <v>80</v>
      </c>
      <c r="G617" s="19">
        <v>1</v>
      </c>
      <c r="H617" s="16">
        <v>5</v>
      </c>
    </row>
    <row r="618" spans="1:8" x14ac:dyDescent="0.15">
      <c r="A618" s="19">
        <v>250.01732000000001</v>
      </c>
      <c r="B618" s="19">
        <v>288.5</v>
      </c>
      <c r="C618" s="19">
        <v>0.43630999999999998</v>
      </c>
      <c r="D618" s="19">
        <v>94.656679999999994</v>
      </c>
      <c r="E618" s="19">
        <v>20</v>
      </c>
      <c r="F618" s="19">
        <v>80</v>
      </c>
      <c r="G618" s="19">
        <v>1</v>
      </c>
      <c r="H618" s="16">
        <v>5</v>
      </c>
    </row>
    <row r="619" spans="1:8" x14ac:dyDescent="0.15">
      <c r="A619" s="19">
        <v>250.01725999999999</v>
      </c>
      <c r="B619" s="19">
        <v>289</v>
      </c>
      <c r="C619" s="19">
        <v>0.43695000000000001</v>
      </c>
      <c r="D619" s="19">
        <v>94.789159999999995</v>
      </c>
      <c r="E619" s="19">
        <v>20</v>
      </c>
      <c r="F619" s="19">
        <v>80</v>
      </c>
      <c r="G619" s="19">
        <v>1</v>
      </c>
      <c r="H619" s="16">
        <v>5</v>
      </c>
    </row>
    <row r="620" spans="1:8" x14ac:dyDescent="0.15">
      <c r="A620" s="19">
        <v>250.0181</v>
      </c>
      <c r="B620" s="19">
        <v>289.5</v>
      </c>
      <c r="C620" s="19">
        <v>0.43612000000000001</v>
      </c>
      <c r="D620" s="19">
        <v>94.698409999999996</v>
      </c>
      <c r="E620" s="19">
        <v>20</v>
      </c>
      <c r="F620" s="19">
        <v>80</v>
      </c>
      <c r="G620" s="19">
        <v>1</v>
      </c>
      <c r="H620" s="16">
        <v>5</v>
      </c>
    </row>
    <row r="621" spans="1:8" x14ac:dyDescent="0.15">
      <c r="A621" s="19">
        <v>250.02117999999999</v>
      </c>
      <c r="B621" s="19">
        <v>290</v>
      </c>
      <c r="C621" s="19">
        <v>0.43670999999999999</v>
      </c>
      <c r="D621" s="19">
        <v>94.726730000000003</v>
      </c>
      <c r="E621" s="19">
        <v>20</v>
      </c>
      <c r="F621" s="19">
        <v>80</v>
      </c>
      <c r="G621" s="19">
        <v>1</v>
      </c>
      <c r="H621" s="16">
        <v>5</v>
      </c>
    </row>
    <row r="622" spans="1:8" x14ac:dyDescent="0.15">
      <c r="A622" s="19">
        <v>250.0224</v>
      </c>
      <c r="B622" s="19">
        <v>290.5</v>
      </c>
      <c r="C622" s="19">
        <v>0.43628</v>
      </c>
      <c r="D622" s="19">
        <v>94.692880000000002</v>
      </c>
      <c r="E622" s="19">
        <v>20</v>
      </c>
      <c r="F622" s="19">
        <v>80</v>
      </c>
      <c r="G622" s="19">
        <v>1</v>
      </c>
      <c r="H622" s="16">
        <v>5</v>
      </c>
    </row>
    <row r="623" spans="1:8" x14ac:dyDescent="0.15">
      <c r="A623" s="19">
        <v>250.02489</v>
      </c>
      <c r="B623" s="19">
        <v>291</v>
      </c>
      <c r="C623" s="19">
        <v>0.43562000000000001</v>
      </c>
      <c r="D623" s="19">
        <v>94.69605</v>
      </c>
      <c r="E623" s="19">
        <v>20</v>
      </c>
      <c r="F623" s="19">
        <v>80</v>
      </c>
      <c r="G623" s="19">
        <v>1</v>
      </c>
      <c r="H623" s="16">
        <v>5</v>
      </c>
    </row>
    <row r="624" spans="1:8" x14ac:dyDescent="0.15">
      <c r="A624" s="19">
        <v>250.02589</v>
      </c>
      <c r="B624" s="19">
        <v>291.5</v>
      </c>
      <c r="C624" s="19">
        <v>0.43557000000000001</v>
      </c>
      <c r="D624" s="19">
        <v>94.661910000000006</v>
      </c>
      <c r="E624" s="19">
        <v>20</v>
      </c>
      <c r="F624" s="19">
        <v>80</v>
      </c>
      <c r="G624" s="19">
        <v>1</v>
      </c>
      <c r="H624" s="16">
        <v>5</v>
      </c>
    </row>
    <row r="625" spans="1:8" x14ac:dyDescent="0.15">
      <c r="A625" s="19">
        <v>250.02038999999999</v>
      </c>
      <c r="B625" s="19">
        <v>292</v>
      </c>
      <c r="C625" s="19">
        <v>0.43584000000000001</v>
      </c>
      <c r="D625" s="19">
        <v>94.514830000000003</v>
      </c>
      <c r="E625" s="19">
        <v>20</v>
      </c>
      <c r="F625" s="19">
        <v>80</v>
      </c>
      <c r="G625" s="19">
        <v>1</v>
      </c>
      <c r="H625" s="16">
        <v>5</v>
      </c>
    </row>
    <row r="626" spans="1:8" x14ac:dyDescent="0.15">
      <c r="A626" s="19">
        <v>250.01909000000001</v>
      </c>
      <c r="B626" s="19">
        <v>292.5</v>
      </c>
      <c r="C626" s="19">
        <v>0.43595</v>
      </c>
      <c r="D626" s="19">
        <v>94.612949999999998</v>
      </c>
      <c r="E626" s="19">
        <v>20</v>
      </c>
      <c r="F626" s="19">
        <v>80</v>
      </c>
      <c r="G626" s="19">
        <v>1</v>
      </c>
      <c r="H626" s="16">
        <v>5</v>
      </c>
    </row>
    <row r="627" spans="1:8" x14ac:dyDescent="0.15">
      <c r="A627" s="19">
        <v>250.01909000000001</v>
      </c>
      <c r="B627" s="19">
        <v>293</v>
      </c>
      <c r="C627" s="19">
        <v>0.43595</v>
      </c>
      <c r="D627" s="19">
        <v>94.740300000000005</v>
      </c>
      <c r="E627" s="19">
        <v>20</v>
      </c>
      <c r="F627" s="19">
        <v>80</v>
      </c>
      <c r="G627" s="19">
        <v>1</v>
      </c>
      <c r="H627" s="16">
        <v>5</v>
      </c>
    </row>
    <row r="628" spans="1:8" x14ac:dyDescent="0.15">
      <c r="A628" s="19">
        <v>250.02090000000001</v>
      </c>
      <c r="B628" s="19">
        <v>293.5</v>
      </c>
      <c r="C628" s="19">
        <v>0.43534</v>
      </c>
      <c r="D628" s="19">
        <v>94.447819999999993</v>
      </c>
      <c r="E628" s="19">
        <v>20</v>
      </c>
      <c r="F628" s="19">
        <v>80</v>
      </c>
      <c r="G628" s="19">
        <v>1</v>
      </c>
      <c r="H628" s="16">
        <v>5</v>
      </c>
    </row>
    <row r="629" spans="1:8" x14ac:dyDescent="0.15">
      <c r="A629" s="19">
        <v>250.02276000000001</v>
      </c>
      <c r="B629" s="19">
        <v>294</v>
      </c>
      <c r="C629" s="19">
        <v>0.43463000000000002</v>
      </c>
      <c r="D629" s="19">
        <v>94.598330000000004</v>
      </c>
      <c r="E629" s="19">
        <v>20</v>
      </c>
      <c r="F629" s="19">
        <v>80</v>
      </c>
      <c r="G629" s="19">
        <v>1</v>
      </c>
      <c r="H629" s="16">
        <v>5</v>
      </c>
    </row>
    <row r="630" spans="1:8" x14ac:dyDescent="0.15">
      <c r="A630" s="19">
        <v>250.02484000000001</v>
      </c>
      <c r="B630" s="19">
        <v>294.5</v>
      </c>
      <c r="C630" s="19">
        <v>0.43376999999999999</v>
      </c>
      <c r="D630" s="19">
        <v>94.531130000000005</v>
      </c>
      <c r="E630" s="19">
        <v>20</v>
      </c>
      <c r="F630" s="19">
        <v>80</v>
      </c>
      <c r="G630" s="19">
        <v>1</v>
      </c>
      <c r="H630" s="16">
        <v>5</v>
      </c>
    </row>
    <row r="631" spans="1:8" x14ac:dyDescent="0.15">
      <c r="A631" s="19">
        <v>250.02205000000001</v>
      </c>
      <c r="B631" s="19">
        <v>295</v>
      </c>
      <c r="C631" s="19">
        <v>0.43502000000000002</v>
      </c>
      <c r="D631" s="19">
        <v>94.612960000000001</v>
      </c>
      <c r="E631" s="19">
        <v>20</v>
      </c>
      <c r="F631" s="19">
        <v>80</v>
      </c>
      <c r="G631" s="19">
        <v>1</v>
      </c>
      <c r="H631" s="16">
        <v>5</v>
      </c>
    </row>
    <row r="632" spans="1:8" x14ac:dyDescent="0.15">
      <c r="A632" s="19">
        <v>250.02205000000001</v>
      </c>
      <c r="B632" s="19">
        <v>295.5</v>
      </c>
      <c r="C632" s="19">
        <v>0.43511</v>
      </c>
      <c r="D632" s="19">
        <v>94.508859999999999</v>
      </c>
      <c r="E632" s="19">
        <v>20</v>
      </c>
      <c r="F632" s="19">
        <v>80</v>
      </c>
      <c r="G632" s="19">
        <v>1</v>
      </c>
      <c r="H632" s="16">
        <v>5</v>
      </c>
    </row>
    <row r="633" spans="1:8" x14ac:dyDescent="0.15">
      <c r="A633" s="19">
        <v>250.02198000000001</v>
      </c>
      <c r="B633" s="19">
        <v>296</v>
      </c>
      <c r="C633" s="19">
        <v>0.43435000000000001</v>
      </c>
      <c r="D633" s="19">
        <v>94.652429999999995</v>
      </c>
      <c r="E633" s="19">
        <v>20</v>
      </c>
      <c r="F633" s="19">
        <v>80</v>
      </c>
      <c r="G633" s="19">
        <v>1</v>
      </c>
      <c r="H633" s="16">
        <v>5</v>
      </c>
    </row>
    <row r="634" spans="1:8" x14ac:dyDescent="0.15">
      <c r="A634" s="19">
        <v>250.0232</v>
      </c>
      <c r="B634" s="19">
        <v>296.5</v>
      </c>
      <c r="C634" s="19">
        <v>0.43459999999999999</v>
      </c>
      <c r="D634" s="19">
        <v>94.359800000000007</v>
      </c>
      <c r="E634" s="19">
        <v>20</v>
      </c>
      <c r="F634" s="19">
        <v>80</v>
      </c>
      <c r="G634" s="19">
        <v>1</v>
      </c>
      <c r="H634" s="16">
        <v>5</v>
      </c>
    </row>
    <row r="635" spans="1:8" x14ac:dyDescent="0.15">
      <c r="A635" s="19">
        <v>250.02234999999999</v>
      </c>
      <c r="B635" s="19">
        <v>297</v>
      </c>
      <c r="C635" s="19">
        <v>0.43230000000000002</v>
      </c>
      <c r="D635" s="19">
        <v>94.51876</v>
      </c>
      <c r="E635" s="19">
        <v>20</v>
      </c>
      <c r="F635" s="19">
        <v>80</v>
      </c>
      <c r="G635" s="19">
        <v>1</v>
      </c>
      <c r="H635" s="16">
        <v>5</v>
      </c>
    </row>
    <row r="636" spans="1:8" x14ac:dyDescent="0.15">
      <c r="A636" s="19">
        <v>250.01857000000001</v>
      </c>
      <c r="B636" s="19">
        <v>297.5</v>
      </c>
      <c r="C636" s="19">
        <v>0.43270999999999998</v>
      </c>
      <c r="D636" s="19">
        <v>94.433710000000005</v>
      </c>
      <c r="E636" s="19">
        <v>20</v>
      </c>
      <c r="F636" s="19">
        <v>80</v>
      </c>
      <c r="G636" s="19">
        <v>1</v>
      </c>
      <c r="H636" s="16">
        <v>5</v>
      </c>
    </row>
    <row r="637" spans="1:8" x14ac:dyDescent="0.15">
      <c r="A637" s="19">
        <v>250.01424</v>
      </c>
      <c r="B637" s="19">
        <v>298</v>
      </c>
      <c r="C637" s="19">
        <v>0.43219000000000002</v>
      </c>
      <c r="D637" s="19">
        <v>94.540009999999995</v>
      </c>
      <c r="E637" s="19">
        <v>20</v>
      </c>
      <c r="F637" s="19">
        <v>80</v>
      </c>
      <c r="G637" s="19">
        <v>1</v>
      </c>
      <c r="H637" s="16">
        <v>5</v>
      </c>
    </row>
    <row r="638" spans="1:8" x14ac:dyDescent="0.15">
      <c r="A638" s="19">
        <v>250.01322999999999</v>
      </c>
      <c r="B638" s="19">
        <v>298.5</v>
      </c>
      <c r="C638" s="19">
        <v>0.43310999999999999</v>
      </c>
      <c r="D638" s="19">
        <v>94.38212</v>
      </c>
      <c r="E638" s="19">
        <v>20</v>
      </c>
      <c r="F638" s="19">
        <v>80</v>
      </c>
      <c r="G638" s="19">
        <v>1</v>
      </c>
      <c r="H638" s="16">
        <v>5</v>
      </c>
    </row>
    <row r="639" spans="1:8" x14ac:dyDescent="0.15">
      <c r="A639" s="19">
        <v>250.01042000000001</v>
      </c>
      <c r="B639" s="19">
        <v>299</v>
      </c>
      <c r="C639" s="19">
        <v>0.43248999999999999</v>
      </c>
      <c r="D639" s="19">
        <v>94.497399999999999</v>
      </c>
      <c r="E639" s="19">
        <v>20</v>
      </c>
      <c r="F639" s="19">
        <v>80</v>
      </c>
      <c r="G639" s="19">
        <v>1</v>
      </c>
      <c r="H639" s="16">
        <v>5</v>
      </c>
    </row>
    <row r="640" spans="1:8" x14ac:dyDescent="0.15">
      <c r="A640" s="19">
        <v>250.01199</v>
      </c>
      <c r="B640" s="19">
        <v>299.5</v>
      </c>
      <c r="C640" s="19">
        <v>0.43182999999999999</v>
      </c>
      <c r="D640" s="19">
        <v>94.278750000000002</v>
      </c>
      <c r="E640" s="19">
        <v>20</v>
      </c>
      <c r="F640" s="19">
        <v>80</v>
      </c>
      <c r="G640" s="19">
        <v>1</v>
      </c>
      <c r="H640" s="16">
        <v>5</v>
      </c>
    </row>
    <row r="641" spans="1:8" x14ac:dyDescent="0.15">
      <c r="A641" s="19">
        <v>250.01253</v>
      </c>
      <c r="B641" s="19">
        <v>300</v>
      </c>
      <c r="C641" s="19">
        <v>0.43295</v>
      </c>
      <c r="D641" s="19">
        <v>94.43535</v>
      </c>
      <c r="E641" s="19">
        <v>20</v>
      </c>
      <c r="F641" s="19">
        <v>80</v>
      </c>
      <c r="G641" s="19">
        <v>1</v>
      </c>
      <c r="H641" s="16">
        <v>5</v>
      </c>
    </row>
    <row r="642" spans="1:8" x14ac:dyDescent="0.15">
      <c r="A642" s="19">
        <v>250.01576</v>
      </c>
      <c r="B642" s="19">
        <v>300.5</v>
      </c>
      <c r="C642" s="19">
        <v>0.43208999999999997</v>
      </c>
      <c r="D642" s="19">
        <v>94.426860000000005</v>
      </c>
      <c r="E642" s="19">
        <v>20</v>
      </c>
      <c r="F642" s="19">
        <v>80</v>
      </c>
      <c r="G642" s="19">
        <v>1</v>
      </c>
      <c r="H642" s="16">
        <v>5</v>
      </c>
    </row>
    <row r="643" spans="1:8" x14ac:dyDescent="0.15">
      <c r="A643" s="19">
        <v>250.01356000000001</v>
      </c>
      <c r="B643" s="19">
        <v>301</v>
      </c>
      <c r="C643" s="19">
        <v>0.43217</v>
      </c>
      <c r="D643" s="19">
        <v>94.385800000000003</v>
      </c>
      <c r="E643" s="19">
        <v>20</v>
      </c>
      <c r="F643" s="19">
        <v>80</v>
      </c>
      <c r="G643" s="19">
        <v>1</v>
      </c>
      <c r="H643" s="16">
        <v>5</v>
      </c>
    </row>
    <row r="644" spans="1:8" x14ac:dyDescent="0.15">
      <c r="A644" s="19">
        <v>250.01295999999999</v>
      </c>
      <c r="B644" s="19">
        <v>301.5</v>
      </c>
      <c r="C644" s="19">
        <v>0.43147999999999997</v>
      </c>
      <c r="D644" s="19">
        <v>94.312880000000007</v>
      </c>
      <c r="E644" s="19">
        <v>20</v>
      </c>
      <c r="F644" s="19">
        <v>80</v>
      </c>
      <c r="G644" s="19">
        <v>1</v>
      </c>
      <c r="H644" s="16">
        <v>5</v>
      </c>
    </row>
    <row r="645" spans="1:8" x14ac:dyDescent="0.15">
      <c r="A645" s="19">
        <v>250.01080999999999</v>
      </c>
      <c r="B645" s="19">
        <v>302</v>
      </c>
      <c r="C645" s="19">
        <v>0.43315999999999999</v>
      </c>
      <c r="D645" s="19">
        <v>94.275419999999997</v>
      </c>
      <c r="E645" s="19">
        <v>20</v>
      </c>
      <c r="F645" s="19">
        <v>80</v>
      </c>
      <c r="G645" s="19">
        <v>1</v>
      </c>
      <c r="H645" s="16">
        <v>5</v>
      </c>
    </row>
    <row r="646" spans="1:8" x14ac:dyDescent="0.15">
      <c r="A646" s="19">
        <v>250.01204999999999</v>
      </c>
      <c r="B646" s="19">
        <v>302.5</v>
      </c>
      <c r="C646" s="19">
        <v>0.43292999999999998</v>
      </c>
      <c r="D646" s="19">
        <v>94.294960000000003</v>
      </c>
      <c r="E646" s="19">
        <v>20</v>
      </c>
      <c r="F646" s="19">
        <v>80</v>
      </c>
      <c r="G646" s="19">
        <v>1</v>
      </c>
      <c r="H646" s="16">
        <v>5</v>
      </c>
    </row>
    <row r="647" spans="1:8" x14ac:dyDescent="0.15">
      <c r="A647" s="19">
        <v>250.01236</v>
      </c>
      <c r="B647" s="19">
        <v>303</v>
      </c>
      <c r="C647" s="19">
        <v>0.43386000000000002</v>
      </c>
      <c r="D647" s="19">
        <v>94.36824</v>
      </c>
      <c r="E647" s="19">
        <v>20</v>
      </c>
      <c r="F647" s="19">
        <v>80</v>
      </c>
      <c r="G647" s="19">
        <v>1</v>
      </c>
      <c r="H647" s="16">
        <v>5</v>
      </c>
    </row>
    <row r="648" spans="1:8" x14ac:dyDescent="0.15">
      <c r="A648" s="19">
        <v>250.01674</v>
      </c>
      <c r="B648" s="19">
        <v>303.5</v>
      </c>
      <c r="C648" s="19">
        <v>0.43290000000000001</v>
      </c>
      <c r="D648" s="19">
        <v>94.274919999999995</v>
      </c>
      <c r="E648" s="19">
        <v>20</v>
      </c>
      <c r="F648" s="19">
        <v>80</v>
      </c>
      <c r="G648" s="19">
        <v>1</v>
      </c>
      <c r="H648" s="16">
        <v>5</v>
      </c>
    </row>
    <row r="649" spans="1:8" x14ac:dyDescent="0.15">
      <c r="A649" s="19">
        <v>250.0204</v>
      </c>
      <c r="B649" s="19">
        <v>304</v>
      </c>
      <c r="C649" s="19">
        <v>0.43078</v>
      </c>
      <c r="D649" s="19">
        <v>94.241209999999995</v>
      </c>
      <c r="E649" s="19">
        <v>20</v>
      </c>
      <c r="F649" s="19">
        <v>80</v>
      </c>
      <c r="G649" s="19">
        <v>1</v>
      </c>
      <c r="H649" s="16">
        <v>5</v>
      </c>
    </row>
    <row r="650" spans="1:8" x14ac:dyDescent="0.15">
      <c r="A650" s="19">
        <v>250.01902999999999</v>
      </c>
      <c r="B650" s="19">
        <v>304.5</v>
      </c>
      <c r="C650" s="19">
        <v>0.43158999999999997</v>
      </c>
      <c r="D650" s="19">
        <v>94.345470000000006</v>
      </c>
      <c r="E650" s="19">
        <v>20</v>
      </c>
      <c r="F650" s="19">
        <v>80</v>
      </c>
      <c r="G650" s="19">
        <v>1</v>
      </c>
      <c r="H650" s="16">
        <v>5</v>
      </c>
    </row>
    <row r="651" spans="1:8" x14ac:dyDescent="0.15">
      <c r="A651" s="19">
        <v>250.01759000000001</v>
      </c>
      <c r="B651" s="19">
        <v>305</v>
      </c>
      <c r="C651" s="19">
        <v>0.43075999999999998</v>
      </c>
      <c r="D651" s="19">
        <v>94.361770000000007</v>
      </c>
      <c r="E651" s="19">
        <v>20</v>
      </c>
      <c r="F651" s="19">
        <v>80</v>
      </c>
      <c r="G651" s="19">
        <v>1</v>
      </c>
      <c r="H651" s="16">
        <v>5</v>
      </c>
    </row>
    <row r="652" spans="1:8" x14ac:dyDescent="0.15">
      <c r="A652" s="19">
        <v>250.01609999999999</v>
      </c>
      <c r="B652" s="19">
        <v>305.5</v>
      </c>
      <c r="C652" s="19">
        <v>0.43209999999999998</v>
      </c>
      <c r="D652" s="19">
        <v>94.269440000000003</v>
      </c>
      <c r="E652" s="19">
        <v>20</v>
      </c>
      <c r="F652" s="19">
        <v>80</v>
      </c>
      <c r="G652" s="19">
        <v>1</v>
      </c>
      <c r="H652" s="16">
        <v>5</v>
      </c>
    </row>
    <row r="653" spans="1:8" x14ac:dyDescent="0.15">
      <c r="A653" s="19">
        <v>250.01828</v>
      </c>
      <c r="B653" s="19">
        <v>306</v>
      </c>
      <c r="C653" s="19">
        <v>0.42981000000000003</v>
      </c>
      <c r="D653" s="19">
        <v>94.248350000000002</v>
      </c>
      <c r="E653" s="19">
        <v>20</v>
      </c>
      <c r="F653" s="19">
        <v>80</v>
      </c>
      <c r="G653" s="19">
        <v>1</v>
      </c>
      <c r="H653" s="16">
        <v>5</v>
      </c>
    </row>
    <row r="654" spans="1:8" x14ac:dyDescent="0.15">
      <c r="A654" s="19">
        <v>250.01841999999999</v>
      </c>
      <c r="B654" s="19">
        <v>306.5</v>
      </c>
      <c r="C654" s="19">
        <v>0.43030000000000002</v>
      </c>
      <c r="D654" s="19">
        <v>94.25985</v>
      </c>
      <c r="E654" s="19">
        <v>20</v>
      </c>
      <c r="F654" s="19">
        <v>80</v>
      </c>
      <c r="G654" s="19">
        <v>1</v>
      </c>
      <c r="H654" s="16">
        <v>5</v>
      </c>
    </row>
    <row r="655" spans="1:8" x14ac:dyDescent="0.15">
      <c r="A655" s="19">
        <v>250.01441</v>
      </c>
      <c r="B655" s="19">
        <v>307</v>
      </c>
      <c r="C655" s="19">
        <v>0.42931999999999998</v>
      </c>
      <c r="D655" s="19">
        <v>94.21678</v>
      </c>
      <c r="E655" s="19">
        <v>20</v>
      </c>
      <c r="F655" s="19">
        <v>80</v>
      </c>
      <c r="G655" s="19">
        <v>1</v>
      </c>
      <c r="H655" s="16">
        <v>5</v>
      </c>
    </row>
    <row r="656" spans="1:8" x14ac:dyDescent="0.15">
      <c r="A656" s="19">
        <v>250.01438999999999</v>
      </c>
      <c r="B656" s="19">
        <v>307.5</v>
      </c>
      <c r="C656" s="19">
        <v>0.42953999999999998</v>
      </c>
      <c r="D656" s="19">
        <v>94.313379999999995</v>
      </c>
      <c r="E656" s="19">
        <v>20</v>
      </c>
      <c r="F656" s="19">
        <v>80</v>
      </c>
      <c r="G656" s="19">
        <v>1</v>
      </c>
      <c r="H656" s="16">
        <v>5</v>
      </c>
    </row>
    <row r="657" spans="1:8" x14ac:dyDescent="0.15">
      <c r="A657" s="19">
        <v>250.01751999999999</v>
      </c>
      <c r="B657" s="19">
        <v>308</v>
      </c>
      <c r="C657" s="19">
        <v>0.42901</v>
      </c>
      <c r="D657" s="19">
        <v>94.239630000000005</v>
      </c>
      <c r="E657" s="19">
        <v>20</v>
      </c>
      <c r="F657" s="19">
        <v>80</v>
      </c>
      <c r="G657" s="19">
        <v>1</v>
      </c>
      <c r="H657" s="16">
        <v>5</v>
      </c>
    </row>
    <row r="658" spans="1:8" x14ac:dyDescent="0.15">
      <c r="A658" s="19">
        <v>250.01978</v>
      </c>
      <c r="B658" s="19">
        <v>308.5</v>
      </c>
      <c r="C658" s="19">
        <v>0.42921999999999999</v>
      </c>
      <c r="D658" s="19">
        <v>94.170190000000005</v>
      </c>
      <c r="E658" s="19">
        <v>20</v>
      </c>
      <c r="F658" s="19">
        <v>80</v>
      </c>
      <c r="G658" s="19">
        <v>1</v>
      </c>
      <c r="H658" s="16">
        <v>5</v>
      </c>
    </row>
    <row r="659" spans="1:8" x14ac:dyDescent="0.15">
      <c r="A659" s="19">
        <v>250.01526999999999</v>
      </c>
      <c r="B659" s="19">
        <v>309</v>
      </c>
      <c r="C659" s="19">
        <v>0.43015999999999999</v>
      </c>
      <c r="D659" s="19">
        <v>94.219139999999996</v>
      </c>
      <c r="E659" s="19">
        <v>20</v>
      </c>
      <c r="F659" s="19">
        <v>80</v>
      </c>
      <c r="G659" s="19">
        <v>1</v>
      </c>
      <c r="H659" s="16">
        <v>5</v>
      </c>
    </row>
    <row r="660" spans="1:8" x14ac:dyDescent="0.15">
      <c r="A660" s="19">
        <v>250.01176000000001</v>
      </c>
      <c r="B660" s="19">
        <v>309.5</v>
      </c>
      <c r="C660" s="19">
        <v>0.43013000000000001</v>
      </c>
      <c r="D660" s="19">
        <v>94.229489999999998</v>
      </c>
      <c r="E660" s="19">
        <v>20</v>
      </c>
      <c r="F660" s="19">
        <v>80</v>
      </c>
      <c r="G660" s="19">
        <v>1</v>
      </c>
      <c r="H660" s="16">
        <v>5</v>
      </c>
    </row>
    <row r="661" spans="1:8" x14ac:dyDescent="0.15">
      <c r="A661" s="19">
        <v>250.01461</v>
      </c>
      <c r="B661" s="19">
        <v>310</v>
      </c>
      <c r="C661" s="19">
        <v>0.42856</v>
      </c>
      <c r="D661" s="19">
        <v>94.217619999999997</v>
      </c>
      <c r="E661" s="19">
        <v>20</v>
      </c>
      <c r="F661" s="19">
        <v>80</v>
      </c>
      <c r="G661" s="19">
        <v>1</v>
      </c>
      <c r="H661" s="16">
        <v>5</v>
      </c>
    </row>
    <row r="662" spans="1:8" x14ac:dyDescent="0.15">
      <c r="A662" s="19">
        <v>250.01695000000001</v>
      </c>
      <c r="B662" s="19">
        <v>310.5</v>
      </c>
      <c r="C662" s="19">
        <v>0.42798000000000003</v>
      </c>
      <c r="D662" s="19">
        <v>94.139690000000002</v>
      </c>
      <c r="E662" s="19">
        <v>20</v>
      </c>
      <c r="F662" s="19">
        <v>80</v>
      </c>
      <c r="G662" s="19">
        <v>1</v>
      </c>
      <c r="H662" s="16">
        <v>5</v>
      </c>
    </row>
    <row r="663" spans="1:8" x14ac:dyDescent="0.15">
      <c r="A663" s="19">
        <v>250.01294999999999</v>
      </c>
      <c r="B663" s="19">
        <v>311</v>
      </c>
      <c r="C663" s="19">
        <v>0.42698000000000003</v>
      </c>
      <c r="D663" s="19">
        <v>94.155860000000004</v>
      </c>
      <c r="E663" s="19">
        <v>20</v>
      </c>
      <c r="F663" s="19">
        <v>80</v>
      </c>
      <c r="G663" s="19">
        <v>1</v>
      </c>
      <c r="H663" s="16">
        <v>5</v>
      </c>
    </row>
    <row r="664" spans="1:8" x14ac:dyDescent="0.15">
      <c r="A664" s="19">
        <v>250.01133999999999</v>
      </c>
      <c r="B664" s="19">
        <v>311.5</v>
      </c>
      <c r="C664" s="19">
        <v>0.42814999999999998</v>
      </c>
      <c r="D664" s="19">
        <v>94.162379999999999</v>
      </c>
      <c r="E664" s="19">
        <v>20</v>
      </c>
      <c r="F664" s="19">
        <v>80</v>
      </c>
      <c r="G664" s="19">
        <v>1</v>
      </c>
      <c r="H664" s="16">
        <v>5</v>
      </c>
    </row>
    <row r="665" spans="1:8" x14ac:dyDescent="0.15">
      <c r="A665" s="19">
        <v>250.01196999999999</v>
      </c>
      <c r="B665" s="19">
        <v>312</v>
      </c>
      <c r="C665" s="19">
        <v>0.42721999999999999</v>
      </c>
      <c r="D665" s="19">
        <v>94.098830000000007</v>
      </c>
      <c r="E665" s="19">
        <v>20</v>
      </c>
      <c r="F665" s="19">
        <v>80</v>
      </c>
      <c r="G665" s="19">
        <v>1</v>
      </c>
      <c r="H665" s="16">
        <v>5</v>
      </c>
    </row>
    <row r="666" spans="1:8" x14ac:dyDescent="0.15">
      <c r="A666" s="19">
        <v>250.00933000000001</v>
      </c>
      <c r="B666" s="19">
        <v>312.5</v>
      </c>
      <c r="C666" s="19">
        <v>0.42771999999999999</v>
      </c>
      <c r="D666" s="19">
        <v>94.162549999999996</v>
      </c>
      <c r="E666" s="19">
        <v>20</v>
      </c>
      <c r="F666" s="19">
        <v>80</v>
      </c>
      <c r="G666" s="19">
        <v>1</v>
      </c>
      <c r="H666" s="16">
        <v>5</v>
      </c>
    </row>
    <row r="667" spans="1:8" x14ac:dyDescent="0.15">
      <c r="A667" s="19">
        <v>250.01031</v>
      </c>
      <c r="B667" s="19">
        <v>313</v>
      </c>
      <c r="C667" s="19">
        <v>0.42709999999999998</v>
      </c>
      <c r="D667" s="19">
        <v>94.099270000000004</v>
      </c>
      <c r="E667" s="19">
        <v>20</v>
      </c>
      <c r="F667" s="19">
        <v>80</v>
      </c>
      <c r="G667" s="19">
        <v>1</v>
      </c>
      <c r="H667" s="16">
        <v>5</v>
      </c>
    </row>
    <row r="668" spans="1:8" x14ac:dyDescent="0.15">
      <c r="A668" s="19">
        <v>250.01415</v>
      </c>
      <c r="B668" s="19">
        <v>313.5</v>
      </c>
      <c r="C668" s="19">
        <v>0.42798999999999998</v>
      </c>
      <c r="D668" s="19">
        <v>94.172579999999996</v>
      </c>
      <c r="E668" s="19">
        <v>20</v>
      </c>
      <c r="F668" s="19">
        <v>80</v>
      </c>
      <c r="G668" s="19">
        <v>1</v>
      </c>
      <c r="H668" s="16">
        <v>5</v>
      </c>
    </row>
    <row r="669" spans="1:8" x14ac:dyDescent="0.15">
      <c r="A669" s="19">
        <v>250.01482999999999</v>
      </c>
      <c r="B669" s="19">
        <v>314</v>
      </c>
      <c r="C669" s="19">
        <v>0.42720000000000002</v>
      </c>
      <c r="D669" s="19">
        <v>94.028180000000006</v>
      </c>
      <c r="E669" s="19">
        <v>20</v>
      </c>
      <c r="F669" s="19">
        <v>80</v>
      </c>
      <c r="G669" s="19">
        <v>1</v>
      </c>
      <c r="H669" s="16">
        <v>5</v>
      </c>
    </row>
    <row r="670" spans="1:8" x14ac:dyDescent="0.15">
      <c r="A670" s="19">
        <v>250.01464000000001</v>
      </c>
      <c r="B670" s="19">
        <v>314.5</v>
      </c>
      <c r="C670" s="19">
        <v>0.42748000000000003</v>
      </c>
      <c r="D670" s="19">
        <v>94.153739999999999</v>
      </c>
      <c r="E670" s="19">
        <v>20</v>
      </c>
      <c r="F670" s="19">
        <v>80</v>
      </c>
      <c r="G670" s="19">
        <v>1</v>
      </c>
      <c r="H670" s="16">
        <v>5</v>
      </c>
    </row>
    <row r="671" spans="1:8" x14ac:dyDescent="0.15">
      <c r="A671" s="19">
        <v>250.01299</v>
      </c>
      <c r="B671" s="19">
        <v>315</v>
      </c>
      <c r="C671" s="19">
        <v>0.42851</v>
      </c>
      <c r="D671" s="19">
        <v>93.934049999999999</v>
      </c>
      <c r="E671" s="19">
        <v>20</v>
      </c>
      <c r="F671" s="19">
        <v>80</v>
      </c>
      <c r="G671" s="19">
        <v>1</v>
      </c>
      <c r="H671" s="16">
        <v>5</v>
      </c>
    </row>
    <row r="672" spans="1:8" x14ac:dyDescent="0.15">
      <c r="A672" s="19">
        <v>250.01485</v>
      </c>
      <c r="B672" s="19">
        <v>315.5</v>
      </c>
      <c r="C672" s="19">
        <v>0.42764999999999997</v>
      </c>
      <c r="D672" s="19">
        <v>94.064089999999993</v>
      </c>
      <c r="E672" s="19">
        <v>20</v>
      </c>
      <c r="F672" s="19">
        <v>80</v>
      </c>
      <c r="G672" s="19">
        <v>1</v>
      </c>
      <c r="H672" s="16">
        <v>5</v>
      </c>
    </row>
    <row r="673" spans="1:8" x14ac:dyDescent="0.15">
      <c r="A673" s="19">
        <v>250.01626999999999</v>
      </c>
      <c r="B673" s="19">
        <v>316</v>
      </c>
      <c r="C673" s="19">
        <v>0.42764000000000002</v>
      </c>
      <c r="D673" s="19">
        <v>93.947490000000002</v>
      </c>
      <c r="E673" s="19">
        <v>20</v>
      </c>
      <c r="F673" s="19">
        <v>80</v>
      </c>
      <c r="G673" s="19">
        <v>1</v>
      </c>
      <c r="H673" s="16">
        <v>5</v>
      </c>
    </row>
    <row r="674" spans="1:8" x14ac:dyDescent="0.15">
      <c r="A674" s="19">
        <v>250.01648</v>
      </c>
      <c r="B674" s="19">
        <v>316.5</v>
      </c>
      <c r="C674" s="19">
        <v>0.42480000000000001</v>
      </c>
      <c r="D674" s="19">
        <v>94.047820000000002</v>
      </c>
      <c r="E674" s="19">
        <v>20</v>
      </c>
      <c r="F674" s="19">
        <v>80</v>
      </c>
      <c r="G674" s="19">
        <v>1</v>
      </c>
      <c r="H674" s="16">
        <v>5</v>
      </c>
    </row>
    <row r="675" spans="1:8" x14ac:dyDescent="0.15">
      <c r="A675" s="19">
        <v>250.01385999999999</v>
      </c>
      <c r="B675" s="19">
        <v>317</v>
      </c>
      <c r="C675" s="19">
        <v>0.42516999999999999</v>
      </c>
      <c r="D675" s="19">
        <v>94.010919999999999</v>
      </c>
      <c r="E675" s="19">
        <v>20</v>
      </c>
      <c r="F675" s="19">
        <v>80</v>
      </c>
      <c r="G675" s="19">
        <v>1</v>
      </c>
      <c r="H675" s="16">
        <v>5</v>
      </c>
    </row>
    <row r="676" spans="1:8" x14ac:dyDescent="0.15">
      <c r="A676" s="19">
        <v>250.00852</v>
      </c>
      <c r="B676" s="19">
        <v>317.5</v>
      </c>
      <c r="C676" s="19">
        <v>0.42534</v>
      </c>
      <c r="D676" s="19">
        <v>94.021299999999997</v>
      </c>
      <c r="E676" s="19">
        <v>20</v>
      </c>
      <c r="F676" s="19">
        <v>80</v>
      </c>
      <c r="G676" s="19">
        <v>1</v>
      </c>
      <c r="H676" s="16">
        <v>5</v>
      </c>
    </row>
    <row r="677" spans="1:8" x14ac:dyDescent="0.15">
      <c r="A677" s="19">
        <v>250.00773000000001</v>
      </c>
      <c r="B677" s="19">
        <v>318</v>
      </c>
      <c r="C677" s="19">
        <v>0.42537999999999998</v>
      </c>
      <c r="D677" s="19">
        <v>93.946089999999998</v>
      </c>
      <c r="E677" s="19">
        <v>20</v>
      </c>
      <c r="F677" s="19">
        <v>80</v>
      </c>
      <c r="G677" s="19">
        <v>1</v>
      </c>
      <c r="H677" s="16">
        <v>5</v>
      </c>
    </row>
    <row r="678" spans="1:8" x14ac:dyDescent="0.15">
      <c r="A678" s="19">
        <v>250.00727000000001</v>
      </c>
      <c r="B678" s="19">
        <v>318.5</v>
      </c>
      <c r="C678" s="19">
        <v>0.42442000000000002</v>
      </c>
      <c r="D678" s="19">
        <v>93.940610000000007</v>
      </c>
      <c r="E678" s="19">
        <v>20</v>
      </c>
      <c r="F678" s="19">
        <v>80</v>
      </c>
      <c r="G678" s="19">
        <v>1</v>
      </c>
      <c r="H678" s="16">
        <v>5</v>
      </c>
    </row>
    <row r="679" spans="1:8" x14ac:dyDescent="0.15">
      <c r="A679" s="19">
        <v>250.00613999999999</v>
      </c>
      <c r="B679" s="19">
        <v>319</v>
      </c>
      <c r="C679" s="19">
        <v>0.42448999999999998</v>
      </c>
      <c r="D679" s="19">
        <v>93.950149999999994</v>
      </c>
      <c r="E679" s="19">
        <v>20</v>
      </c>
      <c r="F679" s="19">
        <v>80</v>
      </c>
      <c r="G679" s="19">
        <v>1</v>
      </c>
      <c r="H679" s="16">
        <v>5</v>
      </c>
    </row>
    <row r="680" spans="1:8" x14ac:dyDescent="0.15">
      <c r="A680" s="19">
        <v>250.00717</v>
      </c>
      <c r="B680" s="19">
        <v>319.5</v>
      </c>
      <c r="C680" s="19">
        <v>0.42629</v>
      </c>
      <c r="D680" s="19">
        <v>93.883489999999995</v>
      </c>
      <c r="E680" s="19">
        <v>20</v>
      </c>
      <c r="F680" s="19">
        <v>80</v>
      </c>
      <c r="G680" s="19">
        <v>1</v>
      </c>
      <c r="H680" s="16">
        <v>5</v>
      </c>
    </row>
    <row r="681" spans="1:8" x14ac:dyDescent="0.15">
      <c r="A681" s="19">
        <v>250.00942000000001</v>
      </c>
      <c r="B681" s="19">
        <v>320</v>
      </c>
      <c r="C681" s="19">
        <v>0.42531000000000002</v>
      </c>
      <c r="D681" s="19">
        <v>93.918629999999993</v>
      </c>
      <c r="E681" s="19">
        <v>20</v>
      </c>
      <c r="F681" s="19">
        <v>80</v>
      </c>
      <c r="G681" s="19">
        <v>1</v>
      </c>
      <c r="H681" s="16">
        <v>5</v>
      </c>
    </row>
    <row r="682" spans="1:8" x14ac:dyDescent="0.15">
      <c r="A682" s="19">
        <v>250.01275000000001</v>
      </c>
      <c r="B682" s="19">
        <v>320.5</v>
      </c>
      <c r="C682" s="19">
        <v>0.42503999999999997</v>
      </c>
      <c r="D682" s="19">
        <v>93.951520000000002</v>
      </c>
      <c r="E682" s="19">
        <v>20</v>
      </c>
      <c r="F682" s="19">
        <v>80</v>
      </c>
      <c r="G682" s="19">
        <v>1</v>
      </c>
      <c r="H682" s="16">
        <v>5</v>
      </c>
    </row>
    <row r="683" spans="1:8" x14ac:dyDescent="0.15">
      <c r="A683" s="19">
        <v>250.01736</v>
      </c>
      <c r="B683" s="19">
        <v>321</v>
      </c>
      <c r="C683" s="19">
        <v>0.42381000000000002</v>
      </c>
      <c r="D683" s="19">
        <v>93.824879999999993</v>
      </c>
      <c r="E683" s="19">
        <v>20</v>
      </c>
      <c r="F683" s="19">
        <v>80</v>
      </c>
      <c r="G683" s="19">
        <v>1</v>
      </c>
      <c r="H683" s="16">
        <v>5</v>
      </c>
    </row>
    <row r="684" spans="1:8" x14ac:dyDescent="0.15">
      <c r="A684" s="19">
        <v>250.01567</v>
      </c>
      <c r="B684" s="19">
        <v>321.5</v>
      </c>
      <c r="C684" s="19">
        <v>0.42516999999999999</v>
      </c>
      <c r="D684" s="19">
        <v>93.864819999999995</v>
      </c>
      <c r="E684" s="19">
        <v>20</v>
      </c>
      <c r="F684" s="19">
        <v>80</v>
      </c>
      <c r="G684" s="19">
        <v>1</v>
      </c>
      <c r="H684" s="16">
        <v>5</v>
      </c>
    </row>
    <row r="685" spans="1:8" x14ac:dyDescent="0.15">
      <c r="A685" s="19">
        <v>250.01509999999999</v>
      </c>
      <c r="B685" s="19">
        <v>322</v>
      </c>
      <c r="C685" s="19">
        <v>0.42310999999999999</v>
      </c>
      <c r="D685" s="19">
        <v>93.929550000000006</v>
      </c>
      <c r="E685" s="19">
        <v>20</v>
      </c>
      <c r="F685" s="19">
        <v>80</v>
      </c>
      <c r="G685" s="19">
        <v>1</v>
      </c>
      <c r="H685" s="16">
        <v>5</v>
      </c>
    </row>
    <row r="686" spans="1:8" x14ac:dyDescent="0.15">
      <c r="A686" s="19">
        <v>250.01496</v>
      </c>
      <c r="B686" s="19">
        <v>322.5</v>
      </c>
      <c r="C686" s="19">
        <v>0.42272999999999999</v>
      </c>
      <c r="D686" s="19">
        <v>93.852869999999996</v>
      </c>
      <c r="E686" s="19">
        <v>20</v>
      </c>
      <c r="F686" s="19">
        <v>80</v>
      </c>
      <c r="G686" s="19">
        <v>1</v>
      </c>
      <c r="H686" s="16">
        <v>5</v>
      </c>
    </row>
    <row r="687" spans="1:8" x14ac:dyDescent="0.15">
      <c r="A687" s="19">
        <v>250.01134999999999</v>
      </c>
      <c r="B687" s="19">
        <v>323</v>
      </c>
      <c r="C687" s="19">
        <v>0.42377999999999999</v>
      </c>
      <c r="D687" s="19">
        <v>93.859660000000005</v>
      </c>
      <c r="E687" s="19">
        <v>20</v>
      </c>
      <c r="F687" s="19">
        <v>80</v>
      </c>
      <c r="G687" s="19">
        <v>1</v>
      </c>
      <c r="H687" s="16">
        <v>5</v>
      </c>
    </row>
    <row r="688" spans="1:8" x14ac:dyDescent="0.15">
      <c r="A688" s="19">
        <v>250.01003</v>
      </c>
      <c r="B688" s="19">
        <v>323.5</v>
      </c>
      <c r="C688" s="19">
        <v>0.42531999999999998</v>
      </c>
      <c r="D688" s="19">
        <v>93.757859999999994</v>
      </c>
      <c r="E688" s="19">
        <v>20</v>
      </c>
      <c r="F688" s="19">
        <v>80</v>
      </c>
      <c r="G688" s="19">
        <v>1</v>
      </c>
      <c r="H688" s="16">
        <v>5</v>
      </c>
    </row>
    <row r="689" spans="1:8" x14ac:dyDescent="0.15">
      <c r="A689" s="19">
        <v>250.01320999999999</v>
      </c>
      <c r="B689" s="19">
        <v>324</v>
      </c>
      <c r="C689" s="19">
        <v>0.42482999999999999</v>
      </c>
      <c r="D689" s="19">
        <v>93.87115</v>
      </c>
      <c r="E689" s="19">
        <v>20</v>
      </c>
      <c r="F689" s="19">
        <v>80</v>
      </c>
      <c r="G689" s="19">
        <v>1</v>
      </c>
      <c r="H689" s="16">
        <v>5</v>
      </c>
    </row>
    <row r="690" spans="1:8" x14ac:dyDescent="0.15">
      <c r="A690" s="19">
        <v>250.01097999999999</v>
      </c>
      <c r="B690" s="19">
        <v>324.5</v>
      </c>
      <c r="C690" s="19">
        <v>0.42459000000000002</v>
      </c>
      <c r="D690" s="19">
        <v>93.876410000000007</v>
      </c>
      <c r="E690" s="19">
        <v>20</v>
      </c>
      <c r="F690" s="19">
        <v>80</v>
      </c>
      <c r="G690" s="19">
        <v>1</v>
      </c>
      <c r="H690" s="16">
        <v>5</v>
      </c>
    </row>
    <row r="691" spans="1:8" x14ac:dyDescent="0.15">
      <c r="A691" s="19">
        <v>250.00908999999999</v>
      </c>
      <c r="B691" s="19">
        <v>325</v>
      </c>
      <c r="C691" s="19">
        <v>0.42258000000000001</v>
      </c>
      <c r="D691" s="19">
        <v>93.911630000000002</v>
      </c>
      <c r="E691" s="19">
        <v>20</v>
      </c>
      <c r="F691" s="19">
        <v>80</v>
      </c>
      <c r="G691" s="19">
        <v>1</v>
      </c>
      <c r="H691" s="16">
        <v>5</v>
      </c>
    </row>
    <row r="692" spans="1:8" x14ac:dyDescent="0.15">
      <c r="A692" s="19">
        <v>250.01209</v>
      </c>
      <c r="B692" s="19">
        <v>325.5</v>
      </c>
      <c r="C692" s="19">
        <v>0.42260999999999999</v>
      </c>
      <c r="D692" s="19">
        <v>93.751940000000005</v>
      </c>
      <c r="E692" s="19">
        <v>20</v>
      </c>
      <c r="F692" s="19">
        <v>80</v>
      </c>
      <c r="G692" s="19">
        <v>1</v>
      </c>
      <c r="H692" s="16">
        <v>5</v>
      </c>
    </row>
    <row r="693" spans="1:8" x14ac:dyDescent="0.15">
      <c r="A693" s="19">
        <v>250.01719</v>
      </c>
      <c r="B693" s="19">
        <v>326</v>
      </c>
      <c r="C693" s="19">
        <v>0.42347000000000001</v>
      </c>
      <c r="D693" s="19">
        <v>93.77449</v>
      </c>
      <c r="E693" s="19">
        <v>20</v>
      </c>
      <c r="F693" s="19">
        <v>80</v>
      </c>
      <c r="G693" s="19">
        <v>1</v>
      </c>
      <c r="H693" s="16">
        <v>5</v>
      </c>
    </row>
    <row r="694" spans="1:8" x14ac:dyDescent="0.15">
      <c r="A694" s="19">
        <v>250.01687000000001</v>
      </c>
      <c r="B694" s="19">
        <v>326.5</v>
      </c>
      <c r="C694" s="19">
        <v>0.42227999999999999</v>
      </c>
      <c r="D694" s="19">
        <v>93.840149999999994</v>
      </c>
      <c r="E694" s="19">
        <v>20</v>
      </c>
      <c r="F694" s="19">
        <v>80</v>
      </c>
      <c r="G694" s="19">
        <v>1</v>
      </c>
      <c r="H694" s="16">
        <v>5</v>
      </c>
    </row>
    <row r="695" spans="1:8" x14ac:dyDescent="0.15">
      <c r="A695" s="19">
        <v>250.01581999999999</v>
      </c>
      <c r="B695" s="19">
        <v>327</v>
      </c>
      <c r="C695" s="19">
        <v>0.42277999999999999</v>
      </c>
      <c r="D695" s="19">
        <v>93.651889999999995</v>
      </c>
      <c r="E695" s="19">
        <v>20</v>
      </c>
      <c r="F695" s="19">
        <v>80</v>
      </c>
      <c r="G695" s="19">
        <v>1</v>
      </c>
      <c r="H695" s="16">
        <v>5</v>
      </c>
    </row>
    <row r="696" spans="1:8" x14ac:dyDescent="0.15">
      <c r="A696" s="19">
        <v>250.01813999999999</v>
      </c>
      <c r="B696" s="19">
        <v>327.5</v>
      </c>
      <c r="C696" s="19">
        <v>0.42231999999999997</v>
      </c>
      <c r="D696" s="19">
        <v>93.730369999999994</v>
      </c>
      <c r="E696" s="19">
        <v>20</v>
      </c>
      <c r="F696" s="19">
        <v>80</v>
      </c>
      <c r="G696" s="19">
        <v>1</v>
      </c>
      <c r="H696" s="16">
        <v>5</v>
      </c>
    </row>
    <row r="697" spans="1:8" x14ac:dyDescent="0.15">
      <c r="A697" s="19">
        <v>250.02275</v>
      </c>
      <c r="B697" s="19">
        <v>328</v>
      </c>
      <c r="C697" s="19">
        <v>0.42242000000000002</v>
      </c>
      <c r="D697" s="19">
        <v>93.704790000000003</v>
      </c>
      <c r="E697" s="19">
        <v>20</v>
      </c>
      <c r="F697" s="19">
        <v>80</v>
      </c>
      <c r="G697" s="19">
        <v>1</v>
      </c>
      <c r="H697" s="16">
        <v>5</v>
      </c>
    </row>
    <row r="698" spans="1:8" x14ac:dyDescent="0.15">
      <c r="A698" s="19">
        <v>250.02833999999999</v>
      </c>
      <c r="B698" s="19">
        <v>328.5</v>
      </c>
      <c r="C698" s="19">
        <v>0.42255999999999999</v>
      </c>
      <c r="D698" s="19">
        <v>93.759839999999997</v>
      </c>
      <c r="E698" s="19">
        <v>20</v>
      </c>
      <c r="F698" s="19">
        <v>80</v>
      </c>
      <c r="G698" s="19">
        <v>1</v>
      </c>
      <c r="H698" s="16">
        <v>5</v>
      </c>
    </row>
    <row r="699" spans="1:8" x14ac:dyDescent="0.15">
      <c r="A699" s="19">
        <v>250.02743000000001</v>
      </c>
      <c r="B699" s="19">
        <v>329</v>
      </c>
      <c r="C699" s="19">
        <v>0.42037000000000002</v>
      </c>
      <c r="D699" s="19">
        <v>93.721400000000003</v>
      </c>
      <c r="E699" s="19">
        <v>20</v>
      </c>
      <c r="F699" s="19">
        <v>80</v>
      </c>
      <c r="G699" s="19">
        <v>1</v>
      </c>
      <c r="H699" s="16">
        <v>5</v>
      </c>
    </row>
    <row r="700" spans="1:8" x14ac:dyDescent="0.15">
      <c r="A700" s="19">
        <v>250.02399</v>
      </c>
      <c r="B700" s="19">
        <v>329.5</v>
      </c>
      <c r="C700" s="19">
        <v>0.41929</v>
      </c>
      <c r="D700" s="19">
        <v>93.789280000000005</v>
      </c>
      <c r="E700" s="19">
        <v>20</v>
      </c>
      <c r="F700" s="19">
        <v>80</v>
      </c>
      <c r="G700" s="19">
        <v>1</v>
      </c>
      <c r="H700" s="16">
        <v>5</v>
      </c>
    </row>
    <row r="701" spans="1:8" x14ac:dyDescent="0.15">
      <c r="A701" s="19">
        <v>250.02421000000001</v>
      </c>
      <c r="B701" s="19">
        <v>330</v>
      </c>
      <c r="C701" s="19">
        <v>0.42076999999999998</v>
      </c>
      <c r="D701" s="19">
        <v>93.714330000000004</v>
      </c>
      <c r="E701" s="19">
        <v>20</v>
      </c>
      <c r="F701" s="19">
        <v>80</v>
      </c>
      <c r="G701" s="19">
        <v>1</v>
      </c>
      <c r="H701" s="16">
        <v>5</v>
      </c>
    </row>
    <row r="702" spans="1:8" x14ac:dyDescent="0.15">
      <c r="A702" s="19">
        <v>250.02305999999999</v>
      </c>
      <c r="B702" s="19">
        <v>330.5</v>
      </c>
      <c r="C702" s="19">
        <v>0.41932000000000003</v>
      </c>
      <c r="D702" s="19">
        <v>93.698629999999994</v>
      </c>
      <c r="E702" s="19">
        <v>20</v>
      </c>
      <c r="F702" s="19">
        <v>80</v>
      </c>
      <c r="G702" s="19">
        <v>1</v>
      </c>
      <c r="H702" s="16">
        <v>5</v>
      </c>
    </row>
    <row r="703" spans="1:8" x14ac:dyDescent="0.15">
      <c r="A703" s="19">
        <v>250.01988</v>
      </c>
      <c r="B703" s="19">
        <v>331</v>
      </c>
      <c r="C703" s="19">
        <v>0.41954000000000002</v>
      </c>
      <c r="D703" s="19">
        <v>93.679850000000002</v>
      </c>
      <c r="E703" s="19">
        <v>20</v>
      </c>
      <c r="F703" s="19">
        <v>80</v>
      </c>
      <c r="G703" s="19">
        <v>1</v>
      </c>
      <c r="H703" s="16">
        <v>5</v>
      </c>
    </row>
    <row r="704" spans="1:8" x14ac:dyDescent="0.15">
      <c r="A704" s="19">
        <v>250.02035000000001</v>
      </c>
      <c r="B704" s="19">
        <v>331.5</v>
      </c>
      <c r="C704" s="19">
        <v>0.41952</v>
      </c>
      <c r="D704" s="19">
        <v>93.694940000000003</v>
      </c>
      <c r="E704" s="19">
        <v>20</v>
      </c>
      <c r="F704" s="19">
        <v>80</v>
      </c>
      <c r="G704" s="19">
        <v>1</v>
      </c>
      <c r="H704" s="16">
        <v>5</v>
      </c>
    </row>
    <row r="705" spans="1:8" x14ac:dyDescent="0.15">
      <c r="A705" s="19">
        <v>250.01571999999999</v>
      </c>
      <c r="B705" s="19">
        <v>332</v>
      </c>
      <c r="C705" s="19">
        <v>0.42032000000000003</v>
      </c>
      <c r="D705" s="19">
        <v>93.735960000000006</v>
      </c>
      <c r="E705" s="19">
        <v>20</v>
      </c>
      <c r="F705" s="19">
        <v>80</v>
      </c>
      <c r="G705" s="19">
        <v>1</v>
      </c>
      <c r="H705" s="16">
        <v>5</v>
      </c>
    </row>
    <row r="706" spans="1:8" x14ac:dyDescent="0.15">
      <c r="A706" s="19">
        <v>250.01653999999999</v>
      </c>
      <c r="B706" s="19">
        <v>332.5</v>
      </c>
      <c r="C706" s="19">
        <v>0.42138999999999999</v>
      </c>
      <c r="D706" s="19">
        <v>93.623469999999998</v>
      </c>
      <c r="E706" s="19">
        <v>20</v>
      </c>
      <c r="F706" s="19">
        <v>80</v>
      </c>
      <c r="G706" s="19">
        <v>1</v>
      </c>
      <c r="H706" s="16">
        <v>5</v>
      </c>
    </row>
    <row r="707" spans="1:8" x14ac:dyDescent="0.15">
      <c r="A707" s="19">
        <v>250.02006</v>
      </c>
      <c r="B707" s="19">
        <v>333</v>
      </c>
      <c r="C707" s="19">
        <v>0.42169000000000001</v>
      </c>
      <c r="D707" s="19">
        <v>93.727339999999998</v>
      </c>
      <c r="E707" s="19">
        <v>20</v>
      </c>
      <c r="F707" s="19">
        <v>80</v>
      </c>
      <c r="G707" s="19">
        <v>1</v>
      </c>
      <c r="H707" s="16">
        <v>5</v>
      </c>
    </row>
    <row r="708" spans="1:8" x14ac:dyDescent="0.15">
      <c r="A708" s="19">
        <v>250.02019999999999</v>
      </c>
      <c r="B708" s="19">
        <v>333.5</v>
      </c>
      <c r="C708" s="19">
        <v>0.42232999999999998</v>
      </c>
      <c r="D708" s="19">
        <v>93.558909999999997</v>
      </c>
      <c r="E708" s="19">
        <v>20</v>
      </c>
      <c r="F708" s="19">
        <v>80</v>
      </c>
      <c r="G708" s="19">
        <v>1</v>
      </c>
      <c r="H708" s="16">
        <v>5</v>
      </c>
    </row>
    <row r="709" spans="1:8" x14ac:dyDescent="0.15">
      <c r="A709" s="19">
        <v>250.01966999999999</v>
      </c>
      <c r="B709" s="19">
        <v>334</v>
      </c>
      <c r="C709" s="19">
        <v>0.42153000000000002</v>
      </c>
      <c r="D709" s="19">
        <v>93.577520000000007</v>
      </c>
      <c r="E709" s="19">
        <v>20</v>
      </c>
      <c r="F709" s="19">
        <v>80</v>
      </c>
      <c r="G709" s="19">
        <v>1</v>
      </c>
      <c r="H709" s="16">
        <v>5</v>
      </c>
    </row>
    <row r="710" spans="1:8" x14ac:dyDescent="0.15">
      <c r="A710" s="19">
        <v>250.0197</v>
      </c>
      <c r="B710" s="19">
        <v>334.5</v>
      </c>
      <c r="C710" s="19">
        <v>0.42066999999999999</v>
      </c>
      <c r="D710" s="19">
        <v>93.548150000000007</v>
      </c>
      <c r="E710" s="19">
        <v>20</v>
      </c>
      <c r="F710" s="19">
        <v>80</v>
      </c>
      <c r="G710" s="19">
        <v>1</v>
      </c>
      <c r="H710" s="16">
        <v>5</v>
      </c>
    </row>
    <row r="711" spans="1:8" x14ac:dyDescent="0.15">
      <c r="A711" s="19">
        <v>250.02117000000001</v>
      </c>
      <c r="B711" s="19">
        <v>335</v>
      </c>
      <c r="C711" s="19">
        <v>0.41898000000000002</v>
      </c>
      <c r="D711" s="19">
        <v>93.554360000000003</v>
      </c>
      <c r="E711" s="19">
        <v>20</v>
      </c>
      <c r="F711" s="19">
        <v>80</v>
      </c>
      <c r="G711" s="19">
        <v>1</v>
      </c>
      <c r="H711" s="16">
        <v>5</v>
      </c>
    </row>
    <row r="712" spans="1:8" x14ac:dyDescent="0.15">
      <c r="A712" s="19">
        <v>250.02058</v>
      </c>
      <c r="B712" s="19">
        <v>335.5</v>
      </c>
      <c r="C712" s="19">
        <v>0.41946</v>
      </c>
      <c r="D712" s="19">
        <v>93.613309999999998</v>
      </c>
      <c r="E712" s="19">
        <v>20</v>
      </c>
      <c r="F712" s="19">
        <v>80</v>
      </c>
      <c r="G712" s="19">
        <v>1</v>
      </c>
      <c r="H712" s="16">
        <v>5</v>
      </c>
    </row>
    <row r="713" spans="1:8" x14ac:dyDescent="0.15">
      <c r="A713" s="19">
        <v>250.02243999999999</v>
      </c>
      <c r="B713" s="19">
        <v>336</v>
      </c>
      <c r="C713" s="19">
        <v>0.41815000000000002</v>
      </c>
      <c r="D713" s="19">
        <v>93.527789999999996</v>
      </c>
      <c r="E713" s="19">
        <v>20</v>
      </c>
      <c r="F713" s="19">
        <v>80</v>
      </c>
      <c r="G713" s="19">
        <v>1</v>
      </c>
      <c r="H713" s="16">
        <v>5</v>
      </c>
    </row>
    <row r="714" spans="1:8" x14ac:dyDescent="0.15">
      <c r="A714" s="19">
        <v>250.02600000000001</v>
      </c>
      <c r="B714" s="19">
        <v>336.5</v>
      </c>
      <c r="C714" s="19">
        <v>0.41847000000000001</v>
      </c>
      <c r="D714" s="19">
        <v>93.571809999999999</v>
      </c>
      <c r="E714" s="19">
        <v>20</v>
      </c>
      <c r="F714" s="19">
        <v>80</v>
      </c>
      <c r="G714" s="19">
        <v>1</v>
      </c>
      <c r="H714" s="16">
        <v>5</v>
      </c>
    </row>
    <row r="715" spans="1:8" x14ac:dyDescent="0.15">
      <c r="A715" s="19">
        <v>250.02397999999999</v>
      </c>
      <c r="B715" s="19">
        <v>337</v>
      </c>
      <c r="C715" s="19">
        <v>0.41876000000000002</v>
      </c>
      <c r="D715" s="19">
        <v>93.565439999999995</v>
      </c>
      <c r="E715" s="19">
        <v>20</v>
      </c>
      <c r="F715" s="19">
        <v>80</v>
      </c>
      <c r="G715" s="19">
        <v>1</v>
      </c>
      <c r="H715" s="16">
        <v>5</v>
      </c>
    </row>
    <row r="716" spans="1:8" x14ac:dyDescent="0.15">
      <c r="A716" s="19">
        <v>250.01508000000001</v>
      </c>
      <c r="B716" s="19">
        <v>337.5</v>
      </c>
      <c r="C716" s="19">
        <v>0.41816999999999999</v>
      </c>
      <c r="D716" s="19">
        <v>93.606489999999994</v>
      </c>
      <c r="E716" s="19">
        <v>20</v>
      </c>
      <c r="F716" s="19">
        <v>80</v>
      </c>
      <c r="G716" s="19">
        <v>1</v>
      </c>
      <c r="H716" s="16">
        <v>5</v>
      </c>
    </row>
    <row r="717" spans="1:8" x14ac:dyDescent="0.15">
      <c r="A717" s="19">
        <v>250.01222999999999</v>
      </c>
      <c r="B717" s="19">
        <v>338</v>
      </c>
      <c r="C717" s="19">
        <v>0.41799999999999998</v>
      </c>
      <c r="D717" s="19">
        <v>93.568119999999993</v>
      </c>
      <c r="E717" s="19">
        <v>20</v>
      </c>
      <c r="F717" s="19">
        <v>80</v>
      </c>
      <c r="G717" s="19">
        <v>1</v>
      </c>
      <c r="H717" s="16">
        <v>5</v>
      </c>
    </row>
    <row r="718" spans="1:8" x14ac:dyDescent="0.15">
      <c r="A718" s="19">
        <v>250.01784000000001</v>
      </c>
      <c r="B718" s="19">
        <v>338.5</v>
      </c>
      <c r="C718" s="19">
        <v>0.41886000000000001</v>
      </c>
      <c r="D718" s="19">
        <v>93.623760000000004</v>
      </c>
      <c r="E718" s="19">
        <v>20</v>
      </c>
      <c r="F718" s="19">
        <v>80</v>
      </c>
      <c r="G718" s="19">
        <v>1</v>
      </c>
      <c r="H718" s="16">
        <v>5</v>
      </c>
    </row>
    <row r="719" spans="1:8" x14ac:dyDescent="0.15">
      <c r="A719" s="19">
        <v>250.01757000000001</v>
      </c>
      <c r="B719" s="19">
        <v>339</v>
      </c>
      <c r="C719" s="19">
        <v>0.41887000000000002</v>
      </c>
      <c r="D719" s="19">
        <v>93.568250000000006</v>
      </c>
      <c r="E719" s="19">
        <v>20</v>
      </c>
      <c r="F719" s="19">
        <v>80</v>
      </c>
      <c r="G719" s="19">
        <v>1</v>
      </c>
      <c r="H719" s="16">
        <v>5</v>
      </c>
    </row>
    <row r="720" spans="1:8" x14ac:dyDescent="0.15">
      <c r="A720" s="19">
        <v>250.01737</v>
      </c>
      <c r="B720" s="19">
        <v>339.5</v>
      </c>
      <c r="C720" s="19">
        <v>0.41783999999999999</v>
      </c>
      <c r="D720" s="19">
        <v>93.414320000000004</v>
      </c>
      <c r="E720" s="19">
        <v>20</v>
      </c>
      <c r="F720" s="19">
        <v>80</v>
      </c>
      <c r="G720" s="19">
        <v>1</v>
      </c>
      <c r="H720" s="16">
        <v>5</v>
      </c>
    </row>
    <row r="721" spans="1:8" x14ac:dyDescent="0.15">
      <c r="A721" s="19">
        <v>250.01582999999999</v>
      </c>
      <c r="B721" s="19">
        <v>340</v>
      </c>
      <c r="C721" s="19">
        <v>0.41647000000000001</v>
      </c>
      <c r="D721" s="19">
        <v>93.470020000000005</v>
      </c>
      <c r="E721" s="19">
        <v>20</v>
      </c>
      <c r="F721" s="19">
        <v>80</v>
      </c>
      <c r="G721" s="19">
        <v>1</v>
      </c>
      <c r="H721" s="16">
        <v>5</v>
      </c>
    </row>
    <row r="722" spans="1:8" x14ac:dyDescent="0.15">
      <c r="A722" s="19">
        <v>250.01499999999999</v>
      </c>
      <c r="B722" s="19">
        <v>340.5</v>
      </c>
      <c r="C722" s="19">
        <v>0.41649000000000003</v>
      </c>
      <c r="D722" s="19">
        <v>93.426240000000007</v>
      </c>
      <c r="E722" s="19">
        <v>20</v>
      </c>
      <c r="F722" s="19">
        <v>80</v>
      </c>
      <c r="G722" s="19">
        <v>1</v>
      </c>
      <c r="H722" s="16">
        <v>5</v>
      </c>
    </row>
    <row r="723" spans="1:8" x14ac:dyDescent="0.15">
      <c r="A723" s="19">
        <v>250.01472999999999</v>
      </c>
      <c r="B723" s="19">
        <v>341</v>
      </c>
      <c r="C723" s="19">
        <v>0.41810999999999998</v>
      </c>
      <c r="D723" s="19">
        <v>93.365070000000003</v>
      </c>
      <c r="E723" s="19">
        <v>20</v>
      </c>
      <c r="F723" s="19">
        <v>80</v>
      </c>
      <c r="G723" s="19">
        <v>1</v>
      </c>
      <c r="H723" s="16">
        <v>5</v>
      </c>
    </row>
    <row r="724" spans="1:8" x14ac:dyDescent="0.15">
      <c r="A724" s="19">
        <v>250.01782</v>
      </c>
      <c r="B724" s="19">
        <v>341.5</v>
      </c>
      <c r="C724" s="19">
        <v>0.41786000000000001</v>
      </c>
      <c r="D724" s="19">
        <v>93.43253</v>
      </c>
      <c r="E724" s="19">
        <v>20</v>
      </c>
      <c r="F724" s="19">
        <v>80</v>
      </c>
      <c r="G724" s="19">
        <v>1</v>
      </c>
      <c r="H724" s="16">
        <v>5</v>
      </c>
    </row>
    <row r="725" spans="1:8" x14ac:dyDescent="0.15">
      <c r="A725" s="19">
        <v>250.01803000000001</v>
      </c>
      <c r="B725" s="19">
        <v>342</v>
      </c>
      <c r="C725" s="19">
        <v>0.41787999999999997</v>
      </c>
      <c r="D725" s="19">
        <v>93.427139999999994</v>
      </c>
      <c r="E725" s="19">
        <v>20</v>
      </c>
      <c r="F725" s="19">
        <v>80</v>
      </c>
      <c r="G725" s="19">
        <v>1</v>
      </c>
      <c r="H725" s="16">
        <v>5</v>
      </c>
    </row>
    <row r="726" spans="1:8" x14ac:dyDescent="0.15">
      <c r="A726" s="19">
        <v>250.01517000000001</v>
      </c>
      <c r="B726" s="19">
        <v>342.5</v>
      </c>
      <c r="C726" s="19">
        <v>0.41775000000000001</v>
      </c>
      <c r="D726" s="19">
        <v>93.31514</v>
      </c>
      <c r="E726" s="19">
        <v>20</v>
      </c>
      <c r="F726" s="19">
        <v>80</v>
      </c>
      <c r="G726" s="19">
        <v>1</v>
      </c>
      <c r="H726" s="16">
        <v>5</v>
      </c>
    </row>
    <row r="727" spans="1:8" x14ac:dyDescent="0.15">
      <c r="A727" s="19">
        <v>250.01557</v>
      </c>
      <c r="B727" s="19">
        <v>343</v>
      </c>
      <c r="C727" s="19">
        <v>0.41794999999999999</v>
      </c>
      <c r="D727" s="19">
        <v>93.481340000000003</v>
      </c>
      <c r="E727" s="19">
        <v>20</v>
      </c>
      <c r="F727" s="19">
        <v>80</v>
      </c>
      <c r="G727" s="19">
        <v>1</v>
      </c>
      <c r="H727" s="16">
        <v>5</v>
      </c>
    </row>
    <row r="728" spans="1:8" x14ac:dyDescent="0.15">
      <c r="A728" s="19">
        <v>250.01730000000001</v>
      </c>
      <c r="B728" s="19">
        <v>343.5</v>
      </c>
      <c r="C728" s="19">
        <v>0.41865999999999998</v>
      </c>
      <c r="D728" s="19">
        <v>93.364689999999996</v>
      </c>
      <c r="E728" s="19">
        <v>20</v>
      </c>
      <c r="F728" s="19">
        <v>80</v>
      </c>
      <c r="G728" s="19">
        <v>1</v>
      </c>
      <c r="H728" s="16">
        <v>5</v>
      </c>
    </row>
    <row r="729" spans="1:8" x14ac:dyDescent="0.15">
      <c r="A729" s="19">
        <v>250.01936000000001</v>
      </c>
      <c r="B729" s="19">
        <v>344</v>
      </c>
      <c r="C729" s="19">
        <v>0.41761999999999999</v>
      </c>
      <c r="D729" s="19">
        <v>93.439019999999999</v>
      </c>
      <c r="E729" s="19">
        <v>20</v>
      </c>
      <c r="F729" s="19">
        <v>80</v>
      </c>
      <c r="G729" s="19">
        <v>1</v>
      </c>
      <c r="H729" s="16">
        <v>5</v>
      </c>
    </row>
    <row r="730" spans="1:8" x14ac:dyDescent="0.15">
      <c r="A730" s="19">
        <v>250.02126999999999</v>
      </c>
      <c r="B730" s="19">
        <v>344.5</v>
      </c>
      <c r="C730" s="19">
        <v>0.41755999999999999</v>
      </c>
      <c r="D730" s="19">
        <v>93.337310000000002</v>
      </c>
      <c r="E730" s="19">
        <v>20</v>
      </c>
      <c r="F730" s="19">
        <v>80</v>
      </c>
      <c r="G730" s="19">
        <v>1</v>
      </c>
      <c r="H730" s="16">
        <v>5</v>
      </c>
    </row>
    <row r="731" spans="1:8" x14ac:dyDescent="0.15">
      <c r="A731" s="19">
        <v>250.02100999999999</v>
      </c>
      <c r="B731" s="19">
        <v>345</v>
      </c>
      <c r="C731" s="19">
        <v>0.41699000000000003</v>
      </c>
      <c r="D731" s="19">
        <v>93.353679999999997</v>
      </c>
      <c r="E731" s="19">
        <v>20</v>
      </c>
      <c r="F731" s="19">
        <v>80</v>
      </c>
      <c r="G731" s="19">
        <v>1</v>
      </c>
      <c r="H731" s="16">
        <v>5</v>
      </c>
    </row>
    <row r="732" spans="1:8" x14ac:dyDescent="0.15">
      <c r="A732" s="19">
        <v>250.01822000000001</v>
      </c>
      <c r="B732" s="19">
        <v>345.5</v>
      </c>
      <c r="C732" s="19">
        <v>0.41846</v>
      </c>
      <c r="D732" s="19">
        <v>93.297870000000003</v>
      </c>
      <c r="E732" s="19">
        <v>20</v>
      </c>
      <c r="F732" s="19">
        <v>80</v>
      </c>
      <c r="G732" s="19">
        <v>1</v>
      </c>
      <c r="H732" s="16">
        <v>5</v>
      </c>
    </row>
    <row r="733" spans="1:8" x14ac:dyDescent="0.15">
      <c r="A733" s="19">
        <v>250.01776000000001</v>
      </c>
      <c r="B733" s="19">
        <v>346</v>
      </c>
      <c r="C733" s="19">
        <v>0.41861999999999999</v>
      </c>
      <c r="D733" s="19">
        <v>93.522369999999995</v>
      </c>
      <c r="E733" s="19">
        <v>20</v>
      </c>
      <c r="F733" s="19">
        <v>80</v>
      </c>
      <c r="G733" s="19">
        <v>1</v>
      </c>
      <c r="H733" s="16">
        <v>5</v>
      </c>
    </row>
    <row r="734" spans="1:8" x14ac:dyDescent="0.15">
      <c r="A734" s="19">
        <v>250.01938999999999</v>
      </c>
      <c r="B734" s="19">
        <v>346.5</v>
      </c>
      <c r="C734" s="19">
        <v>0.41768</v>
      </c>
      <c r="D734" s="19">
        <v>93.275720000000007</v>
      </c>
      <c r="E734" s="19">
        <v>20</v>
      </c>
      <c r="F734" s="19">
        <v>80</v>
      </c>
      <c r="G734" s="19">
        <v>1</v>
      </c>
      <c r="H734" s="16">
        <v>5</v>
      </c>
    </row>
    <row r="735" spans="1:8" x14ac:dyDescent="0.15">
      <c r="A735" s="19">
        <v>250.02148</v>
      </c>
      <c r="B735" s="19">
        <v>347</v>
      </c>
      <c r="C735" s="19">
        <v>0.41785</v>
      </c>
      <c r="D735" s="19">
        <v>93.345969999999994</v>
      </c>
      <c r="E735" s="19">
        <v>20</v>
      </c>
      <c r="F735" s="19">
        <v>80</v>
      </c>
      <c r="G735" s="19">
        <v>1</v>
      </c>
      <c r="H735" s="16">
        <v>5</v>
      </c>
    </row>
    <row r="736" spans="1:8" x14ac:dyDescent="0.15">
      <c r="A736" s="19">
        <v>250.02298999999999</v>
      </c>
      <c r="B736" s="19">
        <v>347.5</v>
      </c>
      <c r="C736" s="19">
        <v>0.41658000000000001</v>
      </c>
      <c r="D736" s="19">
        <v>93.24812</v>
      </c>
      <c r="E736" s="19">
        <v>20</v>
      </c>
      <c r="F736" s="19">
        <v>80</v>
      </c>
      <c r="G736" s="19">
        <v>1</v>
      </c>
      <c r="H736" s="16">
        <v>5</v>
      </c>
    </row>
    <row r="737" spans="1:8" x14ac:dyDescent="0.15">
      <c r="A737" s="19">
        <v>250.01931999999999</v>
      </c>
      <c r="B737" s="19">
        <v>348</v>
      </c>
      <c r="C737" s="19">
        <v>0.41521999999999998</v>
      </c>
      <c r="D737" s="19">
        <v>93.214849999999998</v>
      </c>
      <c r="E737" s="19">
        <v>20</v>
      </c>
      <c r="F737" s="19">
        <v>80</v>
      </c>
      <c r="G737" s="19">
        <v>1</v>
      </c>
      <c r="H737" s="16">
        <v>5</v>
      </c>
    </row>
    <row r="738" spans="1:8" x14ac:dyDescent="0.15">
      <c r="A738" s="19">
        <v>250.01438999999999</v>
      </c>
      <c r="B738" s="19">
        <v>348.5</v>
      </c>
      <c r="C738" s="19">
        <v>0.41674</v>
      </c>
      <c r="D738" s="19">
        <v>93.272059999999996</v>
      </c>
      <c r="E738" s="19">
        <v>20</v>
      </c>
      <c r="F738" s="19">
        <v>80</v>
      </c>
      <c r="G738" s="19">
        <v>1</v>
      </c>
      <c r="H738" s="16">
        <v>5</v>
      </c>
    </row>
    <row r="739" spans="1:8" x14ac:dyDescent="0.15">
      <c r="A739" s="19">
        <v>250.01535000000001</v>
      </c>
      <c r="B739" s="19">
        <v>349</v>
      </c>
      <c r="C739" s="19">
        <v>0.41520000000000001</v>
      </c>
      <c r="D739" s="19">
        <v>93.236400000000003</v>
      </c>
      <c r="E739" s="19">
        <v>20</v>
      </c>
      <c r="F739" s="19">
        <v>80</v>
      </c>
      <c r="G739" s="19">
        <v>1</v>
      </c>
      <c r="H739" s="16">
        <v>5</v>
      </c>
    </row>
    <row r="740" spans="1:8" x14ac:dyDescent="0.15">
      <c r="A740" s="19">
        <v>250.01803000000001</v>
      </c>
      <c r="B740" s="19">
        <v>349.5</v>
      </c>
      <c r="C740" s="19">
        <v>0.41768</v>
      </c>
      <c r="D740" s="19">
        <v>93.301519999999996</v>
      </c>
      <c r="E740" s="19">
        <v>20</v>
      </c>
      <c r="F740" s="19">
        <v>80</v>
      </c>
      <c r="G740" s="19">
        <v>1</v>
      </c>
      <c r="H740" s="16">
        <v>5</v>
      </c>
    </row>
    <row r="741" spans="1:8" x14ac:dyDescent="0.15">
      <c r="A741" s="19">
        <v>250.01784000000001</v>
      </c>
      <c r="B741" s="19">
        <v>350</v>
      </c>
      <c r="C741" s="19">
        <v>0.41683999999999999</v>
      </c>
      <c r="D741" s="19">
        <v>93.233369999999994</v>
      </c>
      <c r="E741" s="19">
        <v>20</v>
      </c>
      <c r="F741" s="19">
        <v>80</v>
      </c>
      <c r="G741" s="19">
        <v>1</v>
      </c>
      <c r="H741" s="16">
        <v>5</v>
      </c>
    </row>
    <row r="742" spans="1:8" x14ac:dyDescent="0.15">
      <c r="A742" s="19">
        <v>250.01947999999999</v>
      </c>
      <c r="B742" s="19">
        <v>350.5</v>
      </c>
      <c r="C742" s="19">
        <v>0.41837000000000002</v>
      </c>
      <c r="D742" s="19">
        <v>93.271900000000002</v>
      </c>
      <c r="E742" s="19">
        <v>20</v>
      </c>
      <c r="F742" s="19">
        <v>80</v>
      </c>
      <c r="G742" s="19">
        <v>1</v>
      </c>
      <c r="H742" s="16">
        <v>5</v>
      </c>
    </row>
    <row r="743" spans="1:8" x14ac:dyDescent="0.15">
      <c r="A743" s="19">
        <v>250.02033</v>
      </c>
      <c r="B743" s="19">
        <v>351</v>
      </c>
      <c r="C743" s="19">
        <v>0.41652</v>
      </c>
      <c r="D743" s="19">
        <v>93.262979999999999</v>
      </c>
      <c r="E743" s="19">
        <v>20</v>
      </c>
      <c r="F743" s="19">
        <v>80</v>
      </c>
      <c r="G743" s="19">
        <v>1</v>
      </c>
      <c r="H743" s="16">
        <v>5</v>
      </c>
    </row>
    <row r="744" spans="1:8" x14ac:dyDescent="0.15">
      <c r="A744" s="19">
        <v>250.01921999999999</v>
      </c>
      <c r="B744" s="19">
        <v>351.5</v>
      </c>
      <c r="C744" s="19">
        <v>0.41791</v>
      </c>
      <c r="D744" s="19">
        <v>93.19426</v>
      </c>
      <c r="E744" s="19">
        <v>20</v>
      </c>
      <c r="F744" s="19">
        <v>80</v>
      </c>
      <c r="G744" s="19">
        <v>1</v>
      </c>
      <c r="H744" s="16">
        <v>5</v>
      </c>
    </row>
    <row r="745" spans="1:8" x14ac:dyDescent="0.15">
      <c r="A745" s="19">
        <v>250.01985999999999</v>
      </c>
      <c r="B745" s="19">
        <v>352</v>
      </c>
      <c r="C745" s="19">
        <v>0.41604999999999998</v>
      </c>
      <c r="D745" s="19">
        <v>93.151160000000004</v>
      </c>
      <c r="E745" s="19">
        <v>20</v>
      </c>
      <c r="F745" s="19">
        <v>80</v>
      </c>
      <c r="G745" s="19">
        <v>1</v>
      </c>
      <c r="H745" s="16">
        <v>5</v>
      </c>
    </row>
    <row r="746" spans="1:8" x14ac:dyDescent="0.15">
      <c r="A746" s="19">
        <v>250.01428999999999</v>
      </c>
      <c r="B746" s="19">
        <v>352.5</v>
      </c>
      <c r="C746" s="19">
        <v>0.41560999999999998</v>
      </c>
      <c r="D746" s="19">
        <v>93.17662</v>
      </c>
      <c r="E746" s="19">
        <v>20</v>
      </c>
      <c r="F746" s="19">
        <v>80</v>
      </c>
      <c r="G746" s="19">
        <v>1</v>
      </c>
      <c r="H746" s="16">
        <v>5</v>
      </c>
    </row>
    <row r="747" spans="1:8" x14ac:dyDescent="0.15">
      <c r="A747" s="19">
        <v>250.01508999999999</v>
      </c>
      <c r="B747" s="19">
        <v>353</v>
      </c>
      <c r="C747" s="19">
        <v>0.41675000000000001</v>
      </c>
      <c r="D747" s="19">
        <v>93.132109999999997</v>
      </c>
      <c r="E747" s="19">
        <v>20</v>
      </c>
      <c r="F747" s="19">
        <v>80</v>
      </c>
      <c r="G747" s="19">
        <v>1</v>
      </c>
      <c r="H747" s="16">
        <v>5</v>
      </c>
    </row>
    <row r="748" spans="1:8" x14ac:dyDescent="0.15">
      <c r="A748" s="19">
        <v>250.01684</v>
      </c>
      <c r="B748" s="19">
        <v>353.5</v>
      </c>
      <c r="C748" s="19">
        <v>0.41603000000000001</v>
      </c>
      <c r="D748" s="19">
        <v>93.191220000000001</v>
      </c>
      <c r="E748" s="19">
        <v>20</v>
      </c>
      <c r="F748" s="19">
        <v>80</v>
      </c>
      <c r="G748" s="19">
        <v>1</v>
      </c>
      <c r="H748" s="16">
        <v>5</v>
      </c>
    </row>
    <row r="749" spans="1:8" x14ac:dyDescent="0.15">
      <c r="A749" s="19">
        <v>250.01731000000001</v>
      </c>
      <c r="B749" s="19">
        <v>354</v>
      </c>
      <c r="C749" s="19">
        <v>0.41654999999999998</v>
      </c>
      <c r="D749" s="19">
        <v>93.137590000000003</v>
      </c>
      <c r="E749" s="19">
        <v>20</v>
      </c>
      <c r="F749" s="19">
        <v>80</v>
      </c>
      <c r="G749" s="19">
        <v>1</v>
      </c>
      <c r="H749" s="16">
        <v>5</v>
      </c>
    </row>
    <row r="750" spans="1:8" x14ac:dyDescent="0.15">
      <c r="A750" s="19">
        <v>250.01779999999999</v>
      </c>
      <c r="B750" s="19">
        <v>354.5</v>
      </c>
      <c r="C750" s="19">
        <v>0.41550999999999999</v>
      </c>
      <c r="D750" s="19">
        <v>93.14246</v>
      </c>
      <c r="E750" s="19">
        <v>20</v>
      </c>
      <c r="F750" s="19">
        <v>80</v>
      </c>
      <c r="G750" s="19">
        <v>1</v>
      </c>
      <c r="H750" s="16">
        <v>5</v>
      </c>
    </row>
    <row r="751" spans="1:8" x14ac:dyDescent="0.15">
      <c r="A751" s="19">
        <v>250.01626999999999</v>
      </c>
      <c r="B751" s="19">
        <v>355</v>
      </c>
      <c r="C751" s="19">
        <v>0.41583999999999999</v>
      </c>
      <c r="D751" s="19">
        <v>93.083209999999994</v>
      </c>
      <c r="E751" s="19">
        <v>20</v>
      </c>
      <c r="F751" s="19">
        <v>80</v>
      </c>
      <c r="G751" s="19">
        <v>1</v>
      </c>
      <c r="H751" s="16">
        <v>5</v>
      </c>
    </row>
    <row r="752" spans="1:8" x14ac:dyDescent="0.15">
      <c r="A752" s="19">
        <v>250.01338999999999</v>
      </c>
      <c r="B752" s="19">
        <v>355.5</v>
      </c>
      <c r="C752" s="19">
        <v>0.41508</v>
      </c>
      <c r="D752" s="19">
        <v>93.082160000000002</v>
      </c>
      <c r="E752" s="19">
        <v>20</v>
      </c>
      <c r="F752" s="19">
        <v>80</v>
      </c>
      <c r="G752" s="19">
        <v>1</v>
      </c>
      <c r="H752" s="16">
        <v>5</v>
      </c>
    </row>
    <row r="753" spans="1:8" x14ac:dyDescent="0.15">
      <c r="A753" s="19">
        <v>250.01474999999999</v>
      </c>
      <c r="B753" s="19">
        <v>356</v>
      </c>
      <c r="C753" s="19">
        <v>0.41492000000000001</v>
      </c>
      <c r="D753" s="19">
        <v>93.198729999999998</v>
      </c>
      <c r="E753" s="19">
        <v>20</v>
      </c>
      <c r="F753" s="19">
        <v>80</v>
      </c>
      <c r="G753" s="19">
        <v>1</v>
      </c>
      <c r="H753" s="16">
        <v>5</v>
      </c>
    </row>
    <row r="754" spans="1:8" x14ac:dyDescent="0.15">
      <c r="A754" s="19">
        <v>250.01586</v>
      </c>
      <c r="B754" s="19">
        <v>356.5</v>
      </c>
      <c r="C754" s="19">
        <v>0.41549000000000003</v>
      </c>
      <c r="D754" s="19">
        <v>92.986549999999994</v>
      </c>
      <c r="E754" s="19">
        <v>20</v>
      </c>
      <c r="F754" s="19">
        <v>80</v>
      </c>
      <c r="G754" s="19">
        <v>1</v>
      </c>
      <c r="H754" s="16">
        <v>5</v>
      </c>
    </row>
    <row r="755" spans="1:8" x14ac:dyDescent="0.15">
      <c r="A755" s="19">
        <v>250.01508999999999</v>
      </c>
      <c r="B755" s="19">
        <v>357</v>
      </c>
      <c r="C755" s="19">
        <v>0.41678999999999999</v>
      </c>
      <c r="D755" s="19">
        <v>93.052000000000007</v>
      </c>
      <c r="E755" s="19">
        <v>20</v>
      </c>
      <c r="F755" s="19">
        <v>80</v>
      </c>
      <c r="G755" s="19">
        <v>1</v>
      </c>
      <c r="H755" s="16">
        <v>5</v>
      </c>
    </row>
    <row r="756" spans="1:8" x14ac:dyDescent="0.15">
      <c r="A756" s="19">
        <v>250.01776000000001</v>
      </c>
      <c r="B756" s="19">
        <v>357.5</v>
      </c>
      <c r="C756" s="19">
        <v>0.41547000000000001</v>
      </c>
      <c r="D756" s="19">
        <v>93.051940000000002</v>
      </c>
      <c r="E756" s="19">
        <v>20</v>
      </c>
      <c r="F756" s="19">
        <v>80</v>
      </c>
      <c r="G756" s="19">
        <v>1</v>
      </c>
      <c r="H756" s="16">
        <v>5</v>
      </c>
    </row>
    <row r="757" spans="1:8" x14ac:dyDescent="0.15">
      <c r="A757" s="19">
        <v>250.01743999999999</v>
      </c>
      <c r="B757" s="19">
        <v>358</v>
      </c>
      <c r="C757" s="19">
        <v>0.41454999999999997</v>
      </c>
      <c r="D757" s="19">
        <v>93.015749999999997</v>
      </c>
      <c r="E757" s="19">
        <v>20</v>
      </c>
      <c r="F757" s="19">
        <v>80</v>
      </c>
      <c r="G757" s="19">
        <v>1</v>
      </c>
      <c r="H757" s="16">
        <v>5</v>
      </c>
    </row>
    <row r="758" spans="1:8" x14ac:dyDescent="0.15">
      <c r="A758" s="19">
        <v>250.01949999999999</v>
      </c>
      <c r="B758" s="19">
        <v>358.5</v>
      </c>
      <c r="C758" s="19">
        <v>0.41543999999999998</v>
      </c>
      <c r="D758" s="19">
        <v>93.009439999999998</v>
      </c>
      <c r="E758" s="19">
        <v>20</v>
      </c>
      <c r="F758" s="19">
        <v>80</v>
      </c>
      <c r="G758" s="19">
        <v>1</v>
      </c>
      <c r="H758" s="16">
        <v>5</v>
      </c>
    </row>
    <row r="759" spans="1:8" x14ac:dyDescent="0.15">
      <c r="A759" s="19">
        <v>250.01954000000001</v>
      </c>
      <c r="B759" s="19">
        <v>359</v>
      </c>
      <c r="C759" s="19">
        <v>0.41448000000000002</v>
      </c>
      <c r="D759" s="19">
        <v>92.894980000000004</v>
      </c>
      <c r="E759" s="19">
        <v>20</v>
      </c>
      <c r="F759" s="19">
        <v>80</v>
      </c>
      <c r="G759" s="19">
        <v>1</v>
      </c>
      <c r="H759" s="16">
        <v>5</v>
      </c>
    </row>
    <row r="760" spans="1:8" x14ac:dyDescent="0.15">
      <c r="A760" s="19">
        <v>250.01731000000001</v>
      </c>
      <c r="B760" s="19">
        <v>359.5</v>
      </c>
      <c r="C760" s="19">
        <v>0.41287000000000001</v>
      </c>
      <c r="D760" s="19">
        <v>92.947630000000004</v>
      </c>
      <c r="E760" s="19">
        <v>20</v>
      </c>
      <c r="F760" s="19">
        <v>80</v>
      </c>
      <c r="G760" s="19">
        <v>1</v>
      </c>
      <c r="H760" s="16">
        <v>5</v>
      </c>
    </row>
    <row r="761" spans="1:8" x14ac:dyDescent="0.15">
      <c r="A761" s="19">
        <v>250.01365000000001</v>
      </c>
      <c r="B761" s="19">
        <v>360</v>
      </c>
      <c r="C761" s="19">
        <v>0.41441</v>
      </c>
      <c r="D761" s="19">
        <v>92.97448</v>
      </c>
      <c r="E761" s="19">
        <v>20</v>
      </c>
      <c r="F761" s="19">
        <v>80</v>
      </c>
      <c r="G761" s="19">
        <v>1</v>
      </c>
      <c r="H761" s="16">
        <v>5</v>
      </c>
    </row>
    <row r="762" spans="1:8" x14ac:dyDescent="0.15">
      <c r="A762" s="19">
        <v>250.01288</v>
      </c>
      <c r="B762" s="19">
        <v>360.5</v>
      </c>
      <c r="C762" s="19">
        <v>0.41442000000000001</v>
      </c>
      <c r="D762" s="19">
        <v>92.905879999999996</v>
      </c>
      <c r="E762" s="19">
        <v>20</v>
      </c>
      <c r="F762" s="19">
        <v>80</v>
      </c>
      <c r="G762" s="19">
        <v>1</v>
      </c>
      <c r="H762" s="16">
        <v>5</v>
      </c>
    </row>
    <row r="763" spans="1:8" x14ac:dyDescent="0.15">
      <c r="A763" s="19">
        <v>250.01213999999999</v>
      </c>
      <c r="B763" s="19">
        <v>361</v>
      </c>
      <c r="C763" s="19">
        <v>0.41438999999999998</v>
      </c>
      <c r="D763" s="19">
        <v>92.949299999999994</v>
      </c>
      <c r="E763" s="19">
        <v>20</v>
      </c>
      <c r="F763" s="19">
        <v>80</v>
      </c>
      <c r="G763" s="19">
        <v>1</v>
      </c>
      <c r="H763" s="16">
        <v>5</v>
      </c>
    </row>
    <row r="764" spans="1:8" x14ac:dyDescent="0.15">
      <c r="A764" s="19">
        <v>250.01202000000001</v>
      </c>
      <c r="B764" s="19">
        <v>361.5</v>
      </c>
      <c r="C764" s="19">
        <v>0.41577999999999998</v>
      </c>
      <c r="D764" s="19">
        <v>92.987089999999995</v>
      </c>
      <c r="E764" s="19">
        <v>20</v>
      </c>
      <c r="F764" s="19">
        <v>80</v>
      </c>
      <c r="G764" s="19">
        <v>1</v>
      </c>
      <c r="H764" s="16">
        <v>5</v>
      </c>
    </row>
    <row r="765" spans="1:8" x14ac:dyDescent="0.15">
      <c r="A765" s="19">
        <v>250.01123999999999</v>
      </c>
      <c r="B765" s="19">
        <v>362</v>
      </c>
      <c r="C765" s="19">
        <v>0.41385</v>
      </c>
      <c r="D765" s="19">
        <v>93.025059999999996</v>
      </c>
      <c r="E765" s="19">
        <v>20</v>
      </c>
      <c r="F765" s="19">
        <v>80</v>
      </c>
      <c r="G765" s="19">
        <v>1</v>
      </c>
      <c r="H765" s="16">
        <v>5</v>
      </c>
    </row>
    <row r="766" spans="1:8" x14ac:dyDescent="0.15">
      <c r="A766" s="19">
        <v>250.01648</v>
      </c>
      <c r="B766" s="19">
        <v>362.5</v>
      </c>
      <c r="C766" s="19">
        <v>0.41367999999999999</v>
      </c>
      <c r="D766" s="19">
        <v>93.037620000000004</v>
      </c>
      <c r="E766" s="19">
        <v>20</v>
      </c>
      <c r="F766" s="19">
        <v>80</v>
      </c>
      <c r="G766" s="19">
        <v>1</v>
      </c>
      <c r="H766" s="16">
        <v>5</v>
      </c>
    </row>
    <row r="767" spans="1:8" x14ac:dyDescent="0.15">
      <c r="A767" s="19">
        <v>250.02059</v>
      </c>
      <c r="B767" s="19">
        <v>363</v>
      </c>
      <c r="C767" s="19">
        <v>0.41326000000000002</v>
      </c>
      <c r="D767" s="19">
        <v>92.885480000000001</v>
      </c>
      <c r="E767" s="19">
        <v>20</v>
      </c>
      <c r="F767" s="19">
        <v>80</v>
      </c>
      <c r="G767" s="19">
        <v>1</v>
      </c>
      <c r="H767" s="16">
        <v>5</v>
      </c>
    </row>
    <row r="768" spans="1:8" x14ac:dyDescent="0.15">
      <c r="A768" s="19">
        <v>250.01925</v>
      </c>
      <c r="B768" s="19">
        <v>363.5</v>
      </c>
      <c r="C768" s="19">
        <v>0.41352</v>
      </c>
      <c r="D768" s="19">
        <v>92.987489999999994</v>
      </c>
      <c r="E768" s="19">
        <v>20</v>
      </c>
      <c r="F768" s="19">
        <v>80</v>
      </c>
      <c r="G768" s="19">
        <v>1</v>
      </c>
      <c r="H768" s="16">
        <v>5</v>
      </c>
    </row>
    <row r="769" spans="1:8" x14ac:dyDescent="0.15">
      <c r="A769" s="19">
        <v>250.01707999999999</v>
      </c>
      <c r="B769" s="19">
        <v>364</v>
      </c>
      <c r="C769" s="19">
        <v>0.41210000000000002</v>
      </c>
      <c r="D769" s="19">
        <v>92.916910000000001</v>
      </c>
      <c r="E769" s="19">
        <v>20</v>
      </c>
      <c r="F769" s="19">
        <v>80</v>
      </c>
      <c r="G769" s="19">
        <v>1</v>
      </c>
      <c r="H769" s="16">
        <v>5</v>
      </c>
    </row>
    <row r="770" spans="1:8" x14ac:dyDescent="0.15">
      <c r="A770" s="19">
        <v>250.01281</v>
      </c>
      <c r="B770" s="19">
        <v>364.5</v>
      </c>
      <c r="C770" s="19">
        <v>0.41161999999999999</v>
      </c>
      <c r="D770" s="19">
        <v>92.925389999999993</v>
      </c>
      <c r="E770" s="19">
        <v>20</v>
      </c>
      <c r="F770" s="19">
        <v>80</v>
      </c>
      <c r="G770" s="19">
        <v>1</v>
      </c>
      <c r="H770" s="16">
        <v>5</v>
      </c>
    </row>
    <row r="771" spans="1:8" x14ac:dyDescent="0.15">
      <c r="A771" s="19">
        <v>250.01148000000001</v>
      </c>
      <c r="B771" s="19">
        <v>365</v>
      </c>
      <c r="C771" s="19">
        <v>0.41282000000000002</v>
      </c>
      <c r="D771" s="19">
        <v>92.946669999999997</v>
      </c>
      <c r="E771" s="19">
        <v>20</v>
      </c>
      <c r="F771" s="19">
        <v>80</v>
      </c>
      <c r="G771" s="19">
        <v>1</v>
      </c>
      <c r="H771" s="16">
        <v>5</v>
      </c>
    </row>
    <row r="772" spans="1:8" x14ac:dyDescent="0.15">
      <c r="A772" s="19">
        <v>250.00944000000001</v>
      </c>
      <c r="B772" s="19">
        <v>365.5</v>
      </c>
      <c r="C772" s="19">
        <v>0.41182000000000002</v>
      </c>
      <c r="D772" s="19">
        <v>92.866690000000006</v>
      </c>
      <c r="E772" s="19">
        <v>20</v>
      </c>
      <c r="F772" s="19">
        <v>80</v>
      </c>
      <c r="G772" s="19">
        <v>1</v>
      </c>
      <c r="H772" s="16">
        <v>5</v>
      </c>
    </row>
    <row r="773" spans="1:8" x14ac:dyDescent="0.15">
      <c r="A773" s="19">
        <v>250.01387</v>
      </c>
      <c r="B773" s="19">
        <v>366</v>
      </c>
      <c r="C773" s="19">
        <v>0.41332999999999998</v>
      </c>
      <c r="D773" s="19">
        <v>93.108360000000005</v>
      </c>
      <c r="E773" s="19">
        <v>20</v>
      </c>
      <c r="F773" s="19">
        <v>80</v>
      </c>
      <c r="G773" s="19">
        <v>1</v>
      </c>
      <c r="H773" s="16">
        <v>5</v>
      </c>
    </row>
    <row r="774" spans="1:8" x14ac:dyDescent="0.15">
      <c r="A774" s="19">
        <v>250.01992999999999</v>
      </c>
      <c r="B774" s="19">
        <v>366.5</v>
      </c>
      <c r="C774" s="19">
        <v>0.41252</v>
      </c>
      <c r="D774" s="19">
        <v>92.909610000000001</v>
      </c>
      <c r="E774" s="19">
        <v>20</v>
      </c>
      <c r="F774" s="19">
        <v>80</v>
      </c>
      <c r="G774" s="19">
        <v>1</v>
      </c>
      <c r="H774" s="16">
        <v>5</v>
      </c>
    </row>
    <row r="775" spans="1:8" x14ac:dyDescent="0.15">
      <c r="A775" s="19">
        <v>250.02261999999999</v>
      </c>
      <c r="B775" s="19">
        <v>367</v>
      </c>
      <c r="C775" s="19">
        <v>0.41215000000000002</v>
      </c>
      <c r="D775" s="19">
        <v>92.840490000000003</v>
      </c>
      <c r="E775" s="19">
        <v>20</v>
      </c>
      <c r="F775" s="19">
        <v>80</v>
      </c>
      <c r="G775" s="19">
        <v>1</v>
      </c>
      <c r="H775" s="16">
        <v>5</v>
      </c>
    </row>
    <row r="776" spans="1:8" x14ac:dyDescent="0.15">
      <c r="A776" s="19">
        <v>250.01859999999999</v>
      </c>
      <c r="B776" s="19">
        <v>367.5</v>
      </c>
      <c r="C776" s="19">
        <v>0.41175</v>
      </c>
      <c r="D776" s="19">
        <v>92.833590000000001</v>
      </c>
      <c r="E776" s="19">
        <v>20</v>
      </c>
      <c r="F776" s="19">
        <v>80</v>
      </c>
      <c r="G776" s="19">
        <v>1</v>
      </c>
      <c r="H776" s="16">
        <v>5</v>
      </c>
    </row>
    <row r="777" spans="1:8" x14ac:dyDescent="0.15">
      <c r="A777" s="19">
        <v>250.01646</v>
      </c>
      <c r="B777" s="19">
        <v>368</v>
      </c>
      <c r="C777" s="19">
        <v>0.41089999999999999</v>
      </c>
      <c r="D777" s="19">
        <v>92.77243</v>
      </c>
      <c r="E777" s="19">
        <v>20</v>
      </c>
      <c r="F777" s="19">
        <v>80</v>
      </c>
      <c r="G777" s="19">
        <v>1</v>
      </c>
      <c r="H777" s="16">
        <v>5</v>
      </c>
    </row>
    <row r="778" spans="1:8" x14ac:dyDescent="0.15">
      <c r="A778" s="19">
        <v>250.01563999999999</v>
      </c>
      <c r="B778" s="19">
        <v>368.5</v>
      </c>
      <c r="C778" s="19">
        <v>0.41166999999999998</v>
      </c>
      <c r="D778" s="19">
        <v>92.842600000000004</v>
      </c>
      <c r="E778" s="19">
        <v>20</v>
      </c>
      <c r="F778" s="19">
        <v>80</v>
      </c>
      <c r="G778" s="19">
        <v>1</v>
      </c>
      <c r="H778" s="16">
        <v>5</v>
      </c>
    </row>
    <row r="779" spans="1:8" x14ac:dyDescent="0.15">
      <c r="A779" s="19">
        <v>250.01575</v>
      </c>
      <c r="B779" s="19">
        <v>369</v>
      </c>
      <c r="C779" s="19">
        <v>0.40967999999999999</v>
      </c>
      <c r="D779" s="19">
        <v>92.787890000000004</v>
      </c>
      <c r="E779" s="19">
        <v>20</v>
      </c>
      <c r="F779" s="19">
        <v>80</v>
      </c>
      <c r="G779" s="19">
        <v>1</v>
      </c>
      <c r="H779" s="16">
        <v>5</v>
      </c>
    </row>
    <row r="780" spans="1:8" x14ac:dyDescent="0.15">
      <c r="A780" s="19">
        <v>250.01566</v>
      </c>
      <c r="B780" s="19">
        <v>369.5</v>
      </c>
      <c r="C780" s="19">
        <v>0.41023999999999999</v>
      </c>
      <c r="D780" s="19">
        <v>92.793899999999994</v>
      </c>
      <c r="E780" s="19">
        <v>20</v>
      </c>
      <c r="F780" s="19">
        <v>80</v>
      </c>
      <c r="G780" s="19">
        <v>1</v>
      </c>
      <c r="H780" s="16">
        <v>5</v>
      </c>
    </row>
    <row r="781" spans="1:8" x14ac:dyDescent="0.15">
      <c r="A781" s="19">
        <v>250.01939999999999</v>
      </c>
      <c r="B781" s="19">
        <v>370</v>
      </c>
      <c r="C781" s="19">
        <v>0.41078999999999999</v>
      </c>
      <c r="D781" s="19">
        <v>92.711920000000006</v>
      </c>
      <c r="E781" s="19">
        <v>20</v>
      </c>
      <c r="F781" s="19">
        <v>80</v>
      </c>
      <c r="G781" s="19">
        <v>1</v>
      </c>
      <c r="H781" s="16">
        <v>5</v>
      </c>
    </row>
    <row r="782" spans="1:8" x14ac:dyDescent="0.15">
      <c r="A782" s="19">
        <v>250.01965999999999</v>
      </c>
      <c r="B782" s="19">
        <v>370.5</v>
      </c>
      <c r="C782" s="19">
        <v>0.41127999999999998</v>
      </c>
      <c r="D782" s="19">
        <v>92.652469999999994</v>
      </c>
      <c r="E782" s="19">
        <v>20</v>
      </c>
      <c r="F782" s="19">
        <v>80</v>
      </c>
      <c r="G782" s="19">
        <v>1</v>
      </c>
      <c r="H782" s="16">
        <v>5</v>
      </c>
    </row>
    <row r="783" spans="1:8" x14ac:dyDescent="0.15">
      <c r="A783" s="19">
        <v>250.01866999999999</v>
      </c>
      <c r="B783" s="19">
        <v>371</v>
      </c>
      <c r="C783" s="19">
        <v>0.41054000000000002</v>
      </c>
      <c r="D783" s="19">
        <v>92.75094</v>
      </c>
      <c r="E783" s="19">
        <v>20</v>
      </c>
      <c r="F783" s="19">
        <v>80</v>
      </c>
      <c r="G783" s="19">
        <v>1</v>
      </c>
      <c r="H783" s="16">
        <v>5</v>
      </c>
    </row>
    <row r="784" spans="1:8" x14ac:dyDescent="0.15">
      <c r="A784" s="19">
        <v>250.02053000000001</v>
      </c>
      <c r="B784" s="19">
        <v>371.5</v>
      </c>
      <c r="C784" s="19">
        <v>0.40960000000000002</v>
      </c>
      <c r="D784" s="19">
        <v>92.797210000000007</v>
      </c>
      <c r="E784" s="19">
        <v>20</v>
      </c>
      <c r="F784" s="19">
        <v>80</v>
      </c>
      <c r="G784" s="19">
        <v>1</v>
      </c>
      <c r="H784" s="16">
        <v>5</v>
      </c>
    </row>
    <row r="785" spans="1:8" x14ac:dyDescent="0.15">
      <c r="A785" s="19">
        <v>250.02024</v>
      </c>
      <c r="B785" s="19">
        <v>372</v>
      </c>
      <c r="C785" s="19">
        <v>0.41016000000000002</v>
      </c>
      <c r="D785" s="19">
        <v>92.649900000000002</v>
      </c>
      <c r="E785" s="19">
        <v>20</v>
      </c>
      <c r="F785" s="19">
        <v>80</v>
      </c>
      <c r="G785" s="19">
        <v>1</v>
      </c>
      <c r="H785" s="16">
        <v>5</v>
      </c>
    </row>
    <row r="786" spans="1:8" x14ac:dyDescent="0.15">
      <c r="A786" s="19">
        <v>250.01865000000001</v>
      </c>
      <c r="B786" s="19">
        <v>372.5</v>
      </c>
      <c r="C786" s="19">
        <v>0.40842000000000001</v>
      </c>
      <c r="D786" s="19">
        <v>92.647689999999997</v>
      </c>
      <c r="E786" s="19">
        <v>20</v>
      </c>
      <c r="F786" s="19">
        <v>80</v>
      </c>
      <c r="G786" s="19">
        <v>1</v>
      </c>
      <c r="H786" s="16">
        <v>5</v>
      </c>
    </row>
    <row r="787" spans="1:8" x14ac:dyDescent="0.15">
      <c r="A787" s="19">
        <v>250.01713000000001</v>
      </c>
      <c r="B787" s="19">
        <v>373</v>
      </c>
      <c r="C787" s="19">
        <v>0.40976000000000001</v>
      </c>
      <c r="D787" s="19">
        <v>92.625559999999993</v>
      </c>
      <c r="E787" s="19">
        <v>20</v>
      </c>
      <c r="F787" s="19">
        <v>80</v>
      </c>
      <c r="G787" s="19">
        <v>1</v>
      </c>
      <c r="H787" s="16">
        <v>5</v>
      </c>
    </row>
    <row r="788" spans="1:8" x14ac:dyDescent="0.15">
      <c r="A788" s="19">
        <v>250.01737</v>
      </c>
      <c r="B788" s="19">
        <v>373.5</v>
      </c>
      <c r="C788" s="19">
        <v>0.40782000000000002</v>
      </c>
      <c r="D788" s="19">
        <v>92.735470000000007</v>
      </c>
      <c r="E788" s="19">
        <v>20</v>
      </c>
      <c r="F788" s="19">
        <v>80</v>
      </c>
      <c r="G788" s="19">
        <v>1</v>
      </c>
      <c r="H788" s="16">
        <v>5</v>
      </c>
    </row>
    <row r="789" spans="1:8" x14ac:dyDescent="0.15">
      <c r="A789" s="19">
        <v>250.01812000000001</v>
      </c>
      <c r="B789" s="19">
        <v>374</v>
      </c>
      <c r="C789" s="19">
        <v>0.40749999999999997</v>
      </c>
      <c r="D789" s="19">
        <v>92.629459999999995</v>
      </c>
      <c r="E789" s="19">
        <v>20</v>
      </c>
      <c r="F789" s="19">
        <v>80</v>
      </c>
      <c r="G789" s="19">
        <v>1</v>
      </c>
      <c r="H789" s="16">
        <v>5</v>
      </c>
    </row>
    <row r="790" spans="1:8" x14ac:dyDescent="0.15">
      <c r="A790" s="19">
        <v>250.01713000000001</v>
      </c>
      <c r="B790" s="19">
        <v>374.5</v>
      </c>
      <c r="C790" s="19">
        <v>0.40665000000000001</v>
      </c>
      <c r="D790" s="19">
        <v>92.560649999999995</v>
      </c>
      <c r="E790" s="19">
        <v>20</v>
      </c>
      <c r="F790" s="19">
        <v>80</v>
      </c>
      <c r="G790" s="19">
        <v>1</v>
      </c>
      <c r="H790" s="16">
        <v>5</v>
      </c>
    </row>
    <row r="791" spans="1:8" x14ac:dyDescent="0.15">
      <c r="A791" s="19">
        <v>250.01678999999999</v>
      </c>
      <c r="B791" s="19">
        <v>375</v>
      </c>
      <c r="C791" s="19">
        <v>0.40767999999999999</v>
      </c>
      <c r="D791" s="19">
        <v>92.682559999999995</v>
      </c>
      <c r="E791" s="19">
        <v>20</v>
      </c>
      <c r="F791" s="19">
        <v>80</v>
      </c>
      <c r="G791" s="19">
        <v>1</v>
      </c>
      <c r="H791" s="16">
        <v>5</v>
      </c>
    </row>
    <row r="792" spans="1:8" x14ac:dyDescent="0.15">
      <c r="A792" s="19">
        <v>250.01185000000001</v>
      </c>
      <c r="B792" s="19">
        <v>375.5</v>
      </c>
      <c r="C792" s="19">
        <v>0.40797</v>
      </c>
      <c r="D792" s="19">
        <v>92.652240000000006</v>
      </c>
      <c r="E792" s="19">
        <v>20</v>
      </c>
      <c r="F792" s="19">
        <v>80</v>
      </c>
      <c r="G792" s="19">
        <v>1</v>
      </c>
      <c r="H792" s="16">
        <v>5</v>
      </c>
    </row>
    <row r="793" spans="1:8" x14ac:dyDescent="0.15">
      <c r="A793" s="19">
        <v>250.01453000000001</v>
      </c>
      <c r="B793" s="19">
        <v>376</v>
      </c>
      <c r="C793" s="19">
        <v>0.40875</v>
      </c>
      <c r="D793" s="19">
        <v>92.739360000000005</v>
      </c>
      <c r="E793" s="19">
        <v>20</v>
      </c>
      <c r="F793" s="19">
        <v>80</v>
      </c>
      <c r="G793" s="19">
        <v>1</v>
      </c>
      <c r="H793" s="16">
        <v>5</v>
      </c>
    </row>
    <row r="794" spans="1:8" x14ac:dyDescent="0.15">
      <c r="A794" s="19">
        <v>250.01714999999999</v>
      </c>
      <c r="B794" s="19">
        <v>376.5</v>
      </c>
      <c r="C794" s="19">
        <v>0.40921000000000002</v>
      </c>
      <c r="D794" s="19">
        <v>92.607529999999997</v>
      </c>
      <c r="E794" s="19">
        <v>20</v>
      </c>
      <c r="F794" s="19">
        <v>80</v>
      </c>
      <c r="G794" s="19">
        <v>1</v>
      </c>
      <c r="H794" s="16">
        <v>5</v>
      </c>
    </row>
    <row r="795" spans="1:8" x14ac:dyDescent="0.15">
      <c r="A795" s="19">
        <v>250.01849000000001</v>
      </c>
      <c r="B795" s="19">
        <v>377</v>
      </c>
      <c r="C795" s="19">
        <v>0.40888999999999998</v>
      </c>
      <c r="D795" s="19">
        <v>92.600819999999999</v>
      </c>
      <c r="E795" s="19">
        <v>20</v>
      </c>
      <c r="F795" s="19">
        <v>80</v>
      </c>
      <c r="G795" s="19">
        <v>1</v>
      </c>
      <c r="H795" s="16">
        <v>5</v>
      </c>
    </row>
    <row r="796" spans="1:8" x14ac:dyDescent="0.15">
      <c r="A796" s="19">
        <v>250.02030999999999</v>
      </c>
      <c r="B796" s="19">
        <v>377.5</v>
      </c>
      <c r="C796" s="19">
        <v>0.40838999999999998</v>
      </c>
      <c r="D796" s="19">
        <v>92.699439999999996</v>
      </c>
      <c r="E796" s="19">
        <v>20</v>
      </c>
      <c r="F796" s="19">
        <v>80</v>
      </c>
      <c r="G796" s="19">
        <v>1</v>
      </c>
      <c r="H796" s="16">
        <v>5</v>
      </c>
    </row>
    <row r="797" spans="1:8" x14ac:dyDescent="0.15">
      <c r="A797" s="19">
        <v>250.02153999999999</v>
      </c>
      <c r="B797" s="19">
        <v>378</v>
      </c>
      <c r="C797" s="19">
        <v>0.40788000000000002</v>
      </c>
      <c r="D797" s="19">
        <v>92.618740000000003</v>
      </c>
      <c r="E797" s="19">
        <v>20</v>
      </c>
      <c r="F797" s="19">
        <v>80</v>
      </c>
      <c r="G797" s="19">
        <v>1</v>
      </c>
      <c r="H797" s="16">
        <v>5</v>
      </c>
    </row>
    <row r="798" spans="1:8" x14ac:dyDescent="0.15">
      <c r="A798" s="19">
        <v>250.02306999999999</v>
      </c>
      <c r="B798" s="19">
        <v>378.5</v>
      </c>
      <c r="C798" s="19">
        <v>0.40716000000000002</v>
      </c>
      <c r="D798" s="19">
        <v>92.559190000000001</v>
      </c>
      <c r="E798" s="19">
        <v>20</v>
      </c>
      <c r="F798" s="19">
        <v>80</v>
      </c>
      <c r="G798" s="19">
        <v>1</v>
      </c>
      <c r="H798" s="16">
        <v>5</v>
      </c>
    </row>
    <row r="799" spans="1:8" x14ac:dyDescent="0.15">
      <c r="A799" s="19">
        <v>250.02616</v>
      </c>
      <c r="B799" s="19">
        <v>379</v>
      </c>
      <c r="C799" s="19">
        <v>0.40642</v>
      </c>
      <c r="D799" s="19">
        <v>92.616789999999995</v>
      </c>
      <c r="E799" s="19">
        <v>20</v>
      </c>
      <c r="F799" s="19">
        <v>80</v>
      </c>
      <c r="G799" s="19">
        <v>1</v>
      </c>
      <c r="H799" s="16">
        <v>5</v>
      </c>
    </row>
    <row r="800" spans="1:8" x14ac:dyDescent="0.15">
      <c r="A800" s="19">
        <v>250.02452</v>
      </c>
      <c r="B800" s="19">
        <v>379.5</v>
      </c>
      <c r="C800" s="19">
        <v>0.40690999999999999</v>
      </c>
      <c r="D800" s="19">
        <v>92.559420000000003</v>
      </c>
      <c r="E800" s="19">
        <v>20</v>
      </c>
      <c r="F800" s="19">
        <v>80</v>
      </c>
      <c r="G800" s="19">
        <v>1</v>
      </c>
      <c r="H800" s="16">
        <v>5</v>
      </c>
    </row>
    <row r="801" spans="1:8" x14ac:dyDescent="0.15">
      <c r="A801" s="19">
        <v>250.02072000000001</v>
      </c>
      <c r="B801" s="19">
        <v>380</v>
      </c>
      <c r="C801" s="19">
        <v>0.40679999999999999</v>
      </c>
      <c r="D801" s="19">
        <v>92.608699999999999</v>
      </c>
      <c r="E801" s="19">
        <v>20</v>
      </c>
      <c r="F801" s="19">
        <v>80</v>
      </c>
      <c r="G801" s="19">
        <v>1</v>
      </c>
      <c r="H801" s="16">
        <v>5</v>
      </c>
    </row>
    <row r="802" spans="1:8" x14ac:dyDescent="0.15">
      <c r="A802" s="19">
        <v>250.01933</v>
      </c>
      <c r="B802" s="19">
        <v>380.5</v>
      </c>
      <c r="C802" s="19">
        <v>0.40694999999999998</v>
      </c>
      <c r="D802" s="19">
        <v>92.504750000000001</v>
      </c>
      <c r="E802" s="19">
        <v>20</v>
      </c>
      <c r="F802" s="19">
        <v>80</v>
      </c>
      <c r="G802" s="19">
        <v>1</v>
      </c>
      <c r="H802" s="16">
        <v>5</v>
      </c>
    </row>
    <row r="803" spans="1:8" x14ac:dyDescent="0.15">
      <c r="A803" s="19">
        <v>250.01650000000001</v>
      </c>
      <c r="B803" s="19">
        <v>381</v>
      </c>
      <c r="C803" s="19">
        <v>0.40811999999999998</v>
      </c>
      <c r="D803" s="19">
        <v>92.627799999999993</v>
      </c>
      <c r="E803" s="19">
        <v>20</v>
      </c>
      <c r="F803" s="19">
        <v>80</v>
      </c>
      <c r="G803" s="19">
        <v>1</v>
      </c>
      <c r="H803" s="16">
        <v>5</v>
      </c>
    </row>
    <row r="804" spans="1:8" x14ac:dyDescent="0.15">
      <c r="A804" s="19">
        <v>250.01665</v>
      </c>
      <c r="B804" s="19">
        <v>381.5</v>
      </c>
      <c r="C804" s="19">
        <v>0.40699000000000002</v>
      </c>
      <c r="D804" s="19">
        <v>92.509919999999994</v>
      </c>
      <c r="E804" s="19">
        <v>20</v>
      </c>
      <c r="F804" s="19">
        <v>80</v>
      </c>
      <c r="G804" s="19">
        <v>1</v>
      </c>
      <c r="H804" s="16">
        <v>5</v>
      </c>
    </row>
    <row r="805" spans="1:8" x14ac:dyDescent="0.15">
      <c r="A805" s="19">
        <v>250.01510999999999</v>
      </c>
      <c r="B805" s="19">
        <v>382</v>
      </c>
      <c r="C805" s="19">
        <v>0.40699999999999997</v>
      </c>
      <c r="D805" s="19">
        <v>92.582480000000004</v>
      </c>
      <c r="E805" s="19">
        <v>20</v>
      </c>
      <c r="F805" s="19">
        <v>80</v>
      </c>
      <c r="G805" s="19">
        <v>1</v>
      </c>
      <c r="H805" s="16">
        <v>5</v>
      </c>
    </row>
    <row r="806" spans="1:8" x14ac:dyDescent="0.15">
      <c r="A806" s="19">
        <v>250.01669000000001</v>
      </c>
      <c r="B806" s="19">
        <v>382.5</v>
      </c>
      <c r="C806" s="19">
        <v>0.40749000000000002</v>
      </c>
      <c r="D806" s="19">
        <v>92.637709999999998</v>
      </c>
      <c r="E806" s="19">
        <v>20</v>
      </c>
      <c r="F806" s="19">
        <v>80</v>
      </c>
      <c r="G806" s="19">
        <v>1</v>
      </c>
      <c r="H806" s="16">
        <v>5</v>
      </c>
    </row>
    <row r="807" spans="1:8" x14ac:dyDescent="0.15">
      <c r="A807" s="19">
        <v>250.01569000000001</v>
      </c>
      <c r="B807" s="19">
        <v>383</v>
      </c>
      <c r="C807" s="19">
        <v>0.40550000000000003</v>
      </c>
      <c r="D807" s="19">
        <v>92.384060000000005</v>
      </c>
      <c r="E807" s="19">
        <v>20</v>
      </c>
      <c r="F807" s="19">
        <v>80</v>
      </c>
      <c r="G807" s="19">
        <v>1</v>
      </c>
      <c r="H807" s="16">
        <v>5</v>
      </c>
    </row>
    <row r="808" spans="1:8" x14ac:dyDescent="0.15">
      <c r="A808" s="19">
        <v>250.01679999999999</v>
      </c>
      <c r="B808" s="19">
        <v>383.5</v>
      </c>
      <c r="C808" s="19">
        <v>0.40600999999999998</v>
      </c>
      <c r="D808" s="19">
        <v>92.491919999999993</v>
      </c>
      <c r="E808" s="19">
        <v>20</v>
      </c>
      <c r="F808" s="19">
        <v>80</v>
      </c>
      <c r="G808" s="19">
        <v>1</v>
      </c>
      <c r="H808" s="16">
        <v>5</v>
      </c>
    </row>
    <row r="809" spans="1:8" x14ac:dyDescent="0.15">
      <c r="A809" s="19">
        <v>250.01698999999999</v>
      </c>
      <c r="B809" s="19">
        <v>384</v>
      </c>
      <c r="C809" s="19">
        <v>0.40503</v>
      </c>
      <c r="D809" s="19">
        <v>92.462440000000001</v>
      </c>
      <c r="E809" s="19">
        <v>20</v>
      </c>
      <c r="F809" s="19">
        <v>80</v>
      </c>
      <c r="G809" s="19">
        <v>1</v>
      </c>
      <c r="H809" s="16">
        <v>5</v>
      </c>
    </row>
    <row r="810" spans="1:8" x14ac:dyDescent="0.15">
      <c r="A810" s="19">
        <v>250.01608999999999</v>
      </c>
      <c r="B810" s="19">
        <v>384.5</v>
      </c>
      <c r="C810" s="19">
        <v>0.40594000000000002</v>
      </c>
      <c r="D810" s="19">
        <v>92.432860000000005</v>
      </c>
      <c r="E810" s="19">
        <v>20</v>
      </c>
      <c r="F810" s="19">
        <v>80</v>
      </c>
      <c r="G810" s="19">
        <v>1</v>
      </c>
      <c r="H810" s="16">
        <v>5</v>
      </c>
    </row>
    <row r="811" spans="1:8" x14ac:dyDescent="0.15">
      <c r="A811" s="19">
        <v>250.01468</v>
      </c>
      <c r="B811" s="19">
        <v>385</v>
      </c>
      <c r="C811" s="19">
        <v>0.40669</v>
      </c>
      <c r="D811" s="19">
        <v>92.460539999999995</v>
      </c>
      <c r="E811" s="19">
        <v>20</v>
      </c>
      <c r="F811" s="19">
        <v>80</v>
      </c>
      <c r="G811" s="19">
        <v>1</v>
      </c>
      <c r="H811" s="16">
        <v>5</v>
      </c>
    </row>
    <row r="812" spans="1:8" x14ac:dyDescent="0.15">
      <c r="A812" s="19">
        <v>250.01418000000001</v>
      </c>
      <c r="B812" s="19">
        <v>385.5</v>
      </c>
      <c r="C812" s="19">
        <v>0.40655000000000002</v>
      </c>
      <c r="D812" s="19">
        <v>92.421019999999999</v>
      </c>
      <c r="E812" s="19">
        <v>20</v>
      </c>
      <c r="F812" s="19">
        <v>80</v>
      </c>
      <c r="G812" s="19">
        <v>1</v>
      </c>
      <c r="H812" s="16">
        <v>5</v>
      </c>
    </row>
    <row r="813" spans="1:8" x14ac:dyDescent="0.15">
      <c r="A813" s="19">
        <v>250.01459</v>
      </c>
      <c r="B813" s="19">
        <v>386</v>
      </c>
      <c r="C813" s="19">
        <v>0.40522999999999998</v>
      </c>
      <c r="D813" s="19">
        <v>92.450590000000005</v>
      </c>
      <c r="E813" s="19">
        <v>20</v>
      </c>
      <c r="F813" s="19">
        <v>80</v>
      </c>
      <c r="G813" s="19">
        <v>1</v>
      </c>
      <c r="H813" s="16">
        <v>5</v>
      </c>
    </row>
    <row r="814" spans="1:8" x14ac:dyDescent="0.15">
      <c r="A814" s="19">
        <v>250.01875000000001</v>
      </c>
      <c r="B814" s="19">
        <v>386.5</v>
      </c>
      <c r="C814" s="19">
        <v>0.40503</v>
      </c>
      <c r="D814" s="19">
        <v>92.451939999999993</v>
      </c>
      <c r="E814" s="19">
        <v>20</v>
      </c>
      <c r="F814" s="19">
        <v>80</v>
      </c>
      <c r="G814" s="19">
        <v>1</v>
      </c>
      <c r="H814" s="16">
        <v>5</v>
      </c>
    </row>
    <row r="815" spans="1:8" x14ac:dyDescent="0.15">
      <c r="A815" s="19">
        <v>250.01715999999999</v>
      </c>
      <c r="B815" s="19">
        <v>387</v>
      </c>
      <c r="C815" s="19">
        <v>0.40377000000000002</v>
      </c>
      <c r="D815" s="19">
        <v>92.411299999999997</v>
      </c>
      <c r="E815" s="19">
        <v>20</v>
      </c>
      <c r="F815" s="19">
        <v>80</v>
      </c>
      <c r="G815" s="19">
        <v>1</v>
      </c>
      <c r="H815" s="16">
        <v>5</v>
      </c>
    </row>
    <row r="816" spans="1:8" x14ac:dyDescent="0.15">
      <c r="A816" s="19">
        <v>250.01382000000001</v>
      </c>
      <c r="B816" s="19">
        <v>387.5</v>
      </c>
      <c r="C816" s="19">
        <v>0.40376000000000001</v>
      </c>
      <c r="D816" s="19">
        <v>92.435940000000002</v>
      </c>
      <c r="E816" s="19">
        <v>20</v>
      </c>
      <c r="F816" s="19">
        <v>80</v>
      </c>
      <c r="G816" s="19">
        <v>1</v>
      </c>
      <c r="H816" s="16">
        <v>5</v>
      </c>
    </row>
    <row r="817" spans="1:8" x14ac:dyDescent="0.15">
      <c r="A817" s="19">
        <v>250.01514</v>
      </c>
      <c r="B817" s="19">
        <v>388</v>
      </c>
      <c r="C817" s="19">
        <v>0.40468999999999999</v>
      </c>
      <c r="D817" s="19">
        <v>92.34066</v>
      </c>
      <c r="E817" s="19">
        <v>20</v>
      </c>
      <c r="F817" s="19">
        <v>80</v>
      </c>
      <c r="G817" s="19">
        <v>1</v>
      </c>
      <c r="H817" s="16">
        <v>5</v>
      </c>
    </row>
    <row r="818" spans="1:8" x14ac:dyDescent="0.15">
      <c r="A818" s="19">
        <v>250.01241999999999</v>
      </c>
      <c r="B818" s="19">
        <v>388.5</v>
      </c>
      <c r="C818" s="19">
        <v>0.40429999999999999</v>
      </c>
      <c r="D818" s="19">
        <v>92.389600000000002</v>
      </c>
      <c r="E818" s="19">
        <v>20</v>
      </c>
      <c r="F818" s="19">
        <v>80</v>
      </c>
      <c r="G818" s="19">
        <v>1</v>
      </c>
      <c r="H818" s="16">
        <v>5</v>
      </c>
    </row>
    <row r="819" spans="1:8" x14ac:dyDescent="0.15">
      <c r="A819" s="19">
        <v>250.01239000000001</v>
      </c>
      <c r="B819" s="19">
        <v>389</v>
      </c>
      <c r="C819" s="19">
        <v>0.40389999999999998</v>
      </c>
      <c r="D819" s="19">
        <v>92.441999999999993</v>
      </c>
      <c r="E819" s="19">
        <v>20</v>
      </c>
      <c r="F819" s="19">
        <v>80</v>
      </c>
      <c r="G819" s="19">
        <v>1</v>
      </c>
      <c r="H819" s="16">
        <v>5</v>
      </c>
    </row>
    <row r="820" spans="1:8" x14ac:dyDescent="0.15">
      <c r="A820" s="19">
        <v>250.01373000000001</v>
      </c>
      <c r="B820" s="19">
        <v>389.5</v>
      </c>
      <c r="C820" s="19">
        <v>0.40312999999999999</v>
      </c>
      <c r="D820" s="19">
        <v>92.308959999999999</v>
      </c>
      <c r="E820" s="19">
        <v>20</v>
      </c>
      <c r="F820" s="19">
        <v>80</v>
      </c>
      <c r="G820" s="19">
        <v>1</v>
      </c>
      <c r="H820" s="16">
        <v>5</v>
      </c>
    </row>
    <row r="821" spans="1:8" x14ac:dyDescent="0.15">
      <c r="A821" s="19">
        <v>250.01045999999999</v>
      </c>
      <c r="B821" s="19">
        <v>390</v>
      </c>
      <c r="C821" s="19">
        <v>0.40326000000000001</v>
      </c>
      <c r="D821" s="19">
        <v>92.412019999999998</v>
      </c>
      <c r="E821" s="19">
        <v>20</v>
      </c>
      <c r="F821" s="19">
        <v>80</v>
      </c>
      <c r="G821" s="19">
        <v>1</v>
      </c>
      <c r="H821" s="16">
        <v>5</v>
      </c>
    </row>
    <row r="822" spans="1:8" x14ac:dyDescent="0.15">
      <c r="A822" s="19">
        <v>250.00842</v>
      </c>
      <c r="B822" s="19">
        <v>390.5</v>
      </c>
      <c r="C822" s="19">
        <v>0.40393000000000001</v>
      </c>
      <c r="D822" s="19">
        <v>92.295509999999993</v>
      </c>
      <c r="E822" s="19">
        <v>20</v>
      </c>
      <c r="F822" s="19">
        <v>80</v>
      </c>
      <c r="G822" s="19">
        <v>1</v>
      </c>
      <c r="H822" s="16">
        <v>5</v>
      </c>
    </row>
    <row r="823" spans="1:8" x14ac:dyDescent="0.15">
      <c r="A823" s="19">
        <v>250.00960000000001</v>
      </c>
      <c r="B823" s="19">
        <v>391</v>
      </c>
      <c r="C823" s="19">
        <v>0.40334999999999999</v>
      </c>
      <c r="D823" s="19">
        <v>92.289820000000006</v>
      </c>
      <c r="E823" s="19">
        <v>20</v>
      </c>
      <c r="F823" s="19">
        <v>80</v>
      </c>
      <c r="G823" s="19">
        <v>1</v>
      </c>
      <c r="H823" s="16">
        <v>5</v>
      </c>
    </row>
    <row r="824" spans="1:8" x14ac:dyDescent="0.15">
      <c r="A824" s="19">
        <v>250.01226</v>
      </c>
      <c r="B824" s="19">
        <v>391.5</v>
      </c>
      <c r="C824" s="19">
        <v>0.40344000000000002</v>
      </c>
      <c r="D824" s="19">
        <v>92.30574</v>
      </c>
      <c r="E824" s="19">
        <v>20</v>
      </c>
      <c r="F824" s="19">
        <v>80</v>
      </c>
      <c r="G824" s="19">
        <v>1</v>
      </c>
      <c r="H824" s="16">
        <v>5</v>
      </c>
    </row>
    <row r="825" spans="1:8" x14ac:dyDescent="0.15">
      <c r="A825" s="19">
        <v>250.01016999999999</v>
      </c>
      <c r="B825" s="19">
        <v>392</v>
      </c>
      <c r="C825" s="19">
        <v>0.40243000000000001</v>
      </c>
      <c r="D825" s="19">
        <v>92.25018</v>
      </c>
      <c r="E825" s="19">
        <v>20</v>
      </c>
      <c r="F825" s="19">
        <v>80</v>
      </c>
      <c r="G825" s="19">
        <v>1</v>
      </c>
      <c r="H825" s="16">
        <v>5</v>
      </c>
    </row>
    <row r="826" spans="1:8" x14ac:dyDescent="0.15">
      <c r="A826" s="19">
        <v>250.00873000000001</v>
      </c>
      <c r="B826" s="19">
        <v>392.5</v>
      </c>
      <c r="C826" s="19">
        <v>0.40289999999999998</v>
      </c>
      <c r="D826" s="19">
        <v>92.34178</v>
      </c>
      <c r="E826" s="19">
        <v>20</v>
      </c>
      <c r="F826" s="19">
        <v>80</v>
      </c>
      <c r="G826" s="19">
        <v>1</v>
      </c>
      <c r="H826" s="16">
        <v>5</v>
      </c>
    </row>
    <row r="827" spans="1:8" x14ac:dyDescent="0.15">
      <c r="A827" s="19">
        <v>250.01271</v>
      </c>
      <c r="B827" s="19">
        <v>393</v>
      </c>
      <c r="C827" s="19">
        <v>0.40431</v>
      </c>
      <c r="D827" s="19">
        <v>92.228859999999997</v>
      </c>
      <c r="E827" s="19">
        <v>20</v>
      </c>
      <c r="F827" s="19">
        <v>80</v>
      </c>
      <c r="G827" s="19">
        <v>1</v>
      </c>
      <c r="H827" s="16">
        <v>5</v>
      </c>
    </row>
    <row r="828" spans="1:8" x14ac:dyDescent="0.15">
      <c r="A828" s="19">
        <v>250.01328000000001</v>
      </c>
      <c r="B828" s="19">
        <v>393.5</v>
      </c>
      <c r="C828" s="19">
        <v>0.40343000000000001</v>
      </c>
      <c r="D828" s="19">
        <v>92.268349999999998</v>
      </c>
      <c r="E828" s="19">
        <v>20</v>
      </c>
      <c r="F828" s="19">
        <v>80</v>
      </c>
      <c r="G828" s="19">
        <v>1</v>
      </c>
      <c r="H828" s="16">
        <v>5</v>
      </c>
    </row>
    <row r="829" spans="1:8" x14ac:dyDescent="0.15">
      <c r="A829" s="19">
        <v>250.01729</v>
      </c>
      <c r="B829" s="19">
        <v>394</v>
      </c>
      <c r="C829" s="19">
        <v>0.40379999999999999</v>
      </c>
      <c r="D829" s="19">
        <v>92.197019999999995</v>
      </c>
      <c r="E829" s="19">
        <v>20</v>
      </c>
      <c r="F829" s="19">
        <v>80</v>
      </c>
      <c r="G829" s="19">
        <v>1</v>
      </c>
      <c r="H829" s="16">
        <v>5</v>
      </c>
    </row>
    <row r="830" spans="1:8" x14ac:dyDescent="0.15">
      <c r="A830" s="19">
        <v>250.01994999999999</v>
      </c>
      <c r="B830" s="19">
        <v>394.5</v>
      </c>
      <c r="C830" s="19">
        <v>0.40416999999999997</v>
      </c>
      <c r="D830" s="19">
        <v>92.247889999999998</v>
      </c>
      <c r="E830" s="19">
        <v>20</v>
      </c>
      <c r="F830" s="19">
        <v>80</v>
      </c>
      <c r="G830" s="19">
        <v>1</v>
      </c>
      <c r="H830" s="16">
        <v>5</v>
      </c>
    </row>
    <row r="831" spans="1:8" x14ac:dyDescent="0.15">
      <c r="A831" s="19">
        <v>250.01768000000001</v>
      </c>
      <c r="B831" s="19">
        <v>395</v>
      </c>
      <c r="C831" s="19">
        <v>0.40261999999999998</v>
      </c>
      <c r="D831" s="19">
        <v>92.264489999999995</v>
      </c>
      <c r="E831" s="19">
        <v>20</v>
      </c>
      <c r="F831" s="19">
        <v>80</v>
      </c>
      <c r="G831" s="19">
        <v>1</v>
      </c>
      <c r="H831" s="16">
        <v>5</v>
      </c>
    </row>
    <row r="832" spans="1:8" x14ac:dyDescent="0.15">
      <c r="A832" s="19">
        <v>250.01760999999999</v>
      </c>
      <c r="B832" s="19">
        <v>395.5</v>
      </c>
      <c r="C832" s="19">
        <v>0.40223999999999999</v>
      </c>
      <c r="D832" s="19">
        <v>92.322090000000003</v>
      </c>
      <c r="E832" s="19">
        <v>20</v>
      </c>
      <c r="F832" s="19">
        <v>80</v>
      </c>
      <c r="G832" s="19">
        <v>1</v>
      </c>
      <c r="H832" s="16">
        <v>5</v>
      </c>
    </row>
    <row r="833" spans="1:8" x14ac:dyDescent="0.15">
      <c r="A833" s="19">
        <v>250.01687999999999</v>
      </c>
      <c r="B833" s="19">
        <v>396</v>
      </c>
      <c r="C833" s="19">
        <v>0.40064</v>
      </c>
      <c r="D833" s="19">
        <v>92.241579999999999</v>
      </c>
      <c r="E833" s="19">
        <v>20</v>
      </c>
      <c r="F833" s="19">
        <v>80</v>
      </c>
      <c r="G833" s="19">
        <v>1</v>
      </c>
      <c r="H833" s="16">
        <v>5</v>
      </c>
    </row>
    <row r="834" spans="1:8" x14ac:dyDescent="0.15">
      <c r="A834" s="19">
        <v>250.01586</v>
      </c>
      <c r="B834" s="19">
        <v>396.5</v>
      </c>
      <c r="C834" s="19">
        <v>0.40104000000000001</v>
      </c>
      <c r="D834" s="19">
        <v>92.282880000000006</v>
      </c>
      <c r="E834" s="19">
        <v>20</v>
      </c>
      <c r="F834" s="19">
        <v>80</v>
      </c>
      <c r="G834" s="19">
        <v>1</v>
      </c>
      <c r="H834" s="16">
        <v>5</v>
      </c>
    </row>
    <row r="835" spans="1:8" x14ac:dyDescent="0.15">
      <c r="A835" s="19">
        <v>250.01727</v>
      </c>
      <c r="B835" s="19">
        <v>397</v>
      </c>
      <c r="C835" s="19">
        <v>0.40110000000000001</v>
      </c>
      <c r="D835" s="19">
        <v>92.227189999999993</v>
      </c>
      <c r="E835" s="19">
        <v>20</v>
      </c>
      <c r="F835" s="19">
        <v>80</v>
      </c>
      <c r="G835" s="19">
        <v>1</v>
      </c>
      <c r="H835" s="16">
        <v>5</v>
      </c>
    </row>
    <row r="836" spans="1:8" x14ac:dyDescent="0.15">
      <c r="A836" s="19">
        <v>250.01866000000001</v>
      </c>
      <c r="B836" s="19">
        <v>397.5</v>
      </c>
      <c r="C836" s="19">
        <v>0.40089000000000002</v>
      </c>
      <c r="D836" s="19">
        <v>92.258690000000001</v>
      </c>
      <c r="E836" s="19">
        <v>20</v>
      </c>
      <c r="F836" s="19">
        <v>80</v>
      </c>
      <c r="G836" s="19">
        <v>1</v>
      </c>
      <c r="H836" s="16">
        <v>5</v>
      </c>
    </row>
    <row r="837" spans="1:8" x14ac:dyDescent="0.15">
      <c r="A837" s="19">
        <v>250.01723000000001</v>
      </c>
      <c r="B837" s="19">
        <v>398</v>
      </c>
      <c r="C837" s="19">
        <v>0.40183999999999997</v>
      </c>
      <c r="D837" s="19">
        <v>92.172229999999999</v>
      </c>
      <c r="E837" s="19">
        <v>20</v>
      </c>
      <c r="F837" s="19">
        <v>80</v>
      </c>
      <c r="G837" s="19">
        <v>1</v>
      </c>
      <c r="H837" s="16">
        <v>5</v>
      </c>
    </row>
    <row r="838" spans="1:8" x14ac:dyDescent="0.15">
      <c r="A838" s="19">
        <v>250.01625000000001</v>
      </c>
      <c r="B838" s="19">
        <v>398.5</v>
      </c>
      <c r="C838" s="19">
        <v>0.40217000000000003</v>
      </c>
      <c r="D838" s="19">
        <v>92.190790000000007</v>
      </c>
      <c r="E838" s="19">
        <v>20</v>
      </c>
      <c r="F838" s="19">
        <v>80</v>
      </c>
      <c r="G838" s="19">
        <v>1</v>
      </c>
      <c r="H838" s="16">
        <v>5</v>
      </c>
    </row>
    <row r="839" spans="1:8" x14ac:dyDescent="0.15">
      <c r="A839" s="19">
        <v>250.01563999999999</v>
      </c>
      <c r="B839" s="19">
        <v>399</v>
      </c>
      <c r="C839" s="19">
        <v>0.40068999999999999</v>
      </c>
      <c r="D839" s="19">
        <v>92.069950000000006</v>
      </c>
      <c r="E839" s="19">
        <v>20</v>
      </c>
      <c r="F839" s="19">
        <v>80</v>
      </c>
      <c r="G839" s="19">
        <v>1</v>
      </c>
      <c r="H839" s="16">
        <v>5</v>
      </c>
    </row>
    <row r="840" spans="1:8" x14ac:dyDescent="0.15">
      <c r="A840" s="19">
        <v>250.01268999999999</v>
      </c>
      <c r="B840" s="19">
        <v>399.5</v>
      </c>
      <c r="C840" s="19">
        <v>0.40172000000000002</v>
      </c>
      <c r="D840" s="19">
        <v>92.04853</v>
      </c>
      <c r="E840" s="19">
        <v>20</v>
      </c>
      <c r="F840" s="19">
        <v>80</v>
      </c>
      <c r="G840" s="19">
        <v>1</v>
      </c>
      <c r="H840" s="16">
        <v>5</v>
      </c>
    </row>
    <row r="841" spans="1:8" x14ac:dyDescent="0.15">
      <c r="A841" s="19">
        <v>250.01322999999999</v>
      </c>
      <c r="B841" s="19">
        <v>400</v>
      </c>
      <c r="C841" s="19">
        <v>0.39988000000000001</v>
      </c>
      <c r="D841" s="19">
        <v>92.135890000000003</v>
      </c>
      <c r="E841" s="19">
        <v>20</v>
      </c>
      <c r="F841" s="19">
        <v>80</v>
      </c>
      <c r="G841" s="19">
        <v>1</v>
      </c>
      <c r="H841" s="16">
        <v>5</v>
      </c>
    </row>
    <row r="842" spans="1:8" x14ac:dyDescent="0.15">
      <c r="A842" s="19">
        <v>250.01412999999999</v>
      </c>
      <c r="B842" s="19">
        <v>400.5</v>
      </c>
      <c r="C842" s="19">
        <v>0.39988000000000001</v>
      </c>
      <c r="D842" s="19">
        <v>92.143129999999999</v>
      </c>
      <c r="E842" s="19">
        <v>20</v>
      </c>
      <c r="F842" s="19">
        <v>80</v>
      </c>
      <c r="G842" s="19">
        <v>1</v>
      </c>
      <c r="H842" s="16">
        <v>5</v>
      </c>
    </row>
    <row r="843" spans="1:8" x14ac:dyDescent="0.15">
      <c r="A843" s="19">
        <v>250.01496</v>
      </c>
      <c r="B843" s="19">
        <v>401</v>
      </c>
      <c r="C843" s="19">
        <v>0.40079999999999999</v>
      </c>
      <c r="D843" s="19">
        <v>92.029409999999999</v>
      </c>
      <c r="E843" s="19">
        <v>20</v>
      </c>
      <c r="F843" s="19">
        <v>80</v>
      </c>
      <c r="G843" s="19">
        <v>1</v>
      </c>
      <c r="H843" s="16">
        <v>5</v>
      </c>
    </row>
    <row r="844" spans="1:8" x14ac:dyDescent="0.15">
      <c r="A844" s="19">
        <v>250.01253</v>
      </c>
      <c r="B844" s="19">
        <v>401.5</v>
      </c>
      <c r="C844" s="19">
        <v>0.39890999999999999</v>
      </c>
      <c r="D844" s="19">
        <v>92.063590000000005</v>
      </c>
      <c r="E844" s="19">
        <v>20</v>
      </c>
      <c r="F844" s="19">
        <v>80</v>
      </c>
      <c r="G844" s="19">
        <v>1</v>
      </c>
      <c r="H844" s="16">
        <v>5</v>
      </c>
    </row>
    <row r="845" spans="1:8" x14ac:dyDescent="0.15">
      <c r="A845" s="19">
        <v>250.01197999999999</v>
      </c>
      <c r="B845" s="19">
        <v>402</v>
      </c>
      <c r="C845" s="19">
        <v>0.39871000000000001</v>
      </c>
      <c r="D845" s="19">
        <v>92.082099999999997</v>
      </c>
      <c r="E845" s="19">
        <v>20</v>
      </c>
      <c r="F845" s="19">
        <v>80</v>
      </c>
      <c r="G845" s="19">
        <v>1</v>
      </c>
      <c r="H845" s="16">
        <v>5</v>
      </c>
    </row>
    <row r="846" spans="1:8" x14ac:dyDescent="0.15">
      <c r="A846" s="19">
        <v>250.00946999999999</v>
      </c>
      <c r="B846" s="19">
        <v>402.5</v>
      </c>
      <c r="C846" s="19">
        <v>0.40056000000000003</v>
      </c>
      <c r="D846" s="19">
        <v>92.032539999999997</v>
      </c>
      <c r="E846" s="19">
        <v>20</v>
      </c>
      <c r="F846" s="19">
        <v>80</v>
      </c>
      <c r="G846" s="19">
        <v>1</v>
      </c>
      <c r="H846" s="16">
        <v>5</v>
      </c>
    </row>
    <row r="847" spans="1:8" x14ac:dyDescent="0.15">
      <c r="A847" s="19">
        <v>250.01007000000001</v>
      </c>
      <c r="B847" s="19">
        <v>403</v>
      </c>
      <c r="C847" s="19">
        <v>0.39998</v>
      </c>
      <c r="D847" s="19">
        <v>92.06071</v>
      </c>
      <c r="E847" s="19">
        <v>20</v>
      </c>
      <c r="F847" s="19">
        <v>80</v>
      </c>
      <c r="G847" s="19">
        <v>1</v>
      </c>
      <c r="H847" s="16">
        <v>5</v>
      </c>
    </row>
    <row r="848" spans="1:8" x14ac:dyDescent="0.15">
      <c r="A848" s="19">
        <v>250.01102</v>
      </c>
      <c r="B848" s="19">
        <v>403.5</v>
      </c>
      <c r="C848" s="19">
        <v>0.40125</v>
      </c>
      <c r="D848" s="19">
        <v>91.936580000000006</v>
      </c>
      <c r="E848" s="19">
        <v>20</v>
      </c>
      <c r="F848" s="19">
        <v>80</v>
      </c>
      <c r="G848" s="19">
        <v>1</v>
      </c>
      <c r="H848" s="16">
        <v>5</v>
      </c>
    </row>
    <row r="849" spans="1:8" x14ac:dyDescent="0.15">
      <c r="A849" s="19">
        <v>250.01609999999999</v>
      </c>
      <c r="B849" s="19">
        <v>404</v>
      </c>
      <c r="C849" s="19">
        <v>0.40104000000000001</v>
      </c>
      <c r="D849" s="19">
        <v>92.089129999999997</v>
      </c>
      <c r="E849" s="19">
        <v>20</v>
      </c>
      <c r="F849" s="19">
        <v>80</v>
      </c>
      <c r="G849" s="19">
        <v>1</v>
      </c>
      <c r="H849" s="16">
        <v>5</v>
      </c>
    </row>
    <row r="850" spans="1:8" x14ac:dyDescent="0.15">
      <c r="A850" s="19">
        <v>250.02376000000001</v>
      </c>
      <c r="B850" s="19">
        <v>404.5</v>
      </c>
      <c r="C850" s="19">
        <v>0.39872000000000002</v>
      </c>
      <c r="D850" s="19">
        <v>92.114580000000004</v>
      </c>
      <c r="E850" s="19">
        <v>20</v>
      </c>
      <c r="F850" s="19">
        <v>80</v>
      </c>
      <c r="G850" s="19">
        <v>1</v>
      </c>
      <c r="H850" s="16">
        <v>5</v>
      </c>
    </row>
    <row r="851" spans="1:8" x14ac:dyDescent="0.15">
      <c r="A851" s="19">
        <v>250.02598</v>
      </c>
      <c r="B851" s="19">
        <v>405</v>
      </c>
      <c r="C851" s="19">
        <v>0.39926</v>
      </c>
      <c r="D851" s="19">
        <v>92.053210000000007</v>
      </c>
      <c r="E851" s="19">
        <v>20</v>
      </c>
      <c r="F851" s="19">
        <v>80</v>
      </c>
      <c r="G851" s="19">
        <v>1</v>
      </c>
      <c r="H851" s="16">
        <v>5</v>
      </c>
    </row>
    <row r="852" spans="1:8" x14ac:dyDescent="0.15">
      <c r="A852" s="19">
        <v>250.02753999999999</v>
      </c>
      <c r="B852" s="19">
        <v>405.5</v>
      </c>
      <c r="C852" s="19">
        <v>0.39805000000000001</v>
      </c>
      <c r="D852" s="19">
        <v>91.975960000000001</v>
      </c>
      <c r="E852" s="19">
        <v>20</v>
      </c>
      <c r="F852" s="19">
        <v>80</v>
      </c>
      <c r="G852" s="19">
        <v>1</v>
      </c>
      <c r="H852" s="16">
        <v>5</v>
      </c>
    </row>
    <row r="853" spans="1:8" x14ac:dyDescent="0.15">
      <c r="A853" s="19">
        <v>250.02280999999999</v>
      </c>
      <c r="B853" s="19">
        <v>406</v>
      </c>
      <c r="C853" s="19">
        <v>0.39734999999999998</v>
      </c>
      <c r="D853" s="19">
        <v>91.970299999999995</v>
      </c>
      <c r="E853" s="19">
        <v>20</v>
      </c>
      <c r="F853" s="19">
        <v>80</v>
      </c>
      <c r="G853" s="19">
        <v>1</v>
      </c>
      <c r="H853" s="16">
        <v>5</v>
      </c>
    </row>
    <row r="854" spans="1:8" x14ac:dyDescent="0.15">
      <c r="A854" s="19">
        <v>250.01808</v>
      </c>
      <c r="B854" s="19">
        <v>406.5</v>
      </c>
      <c r="C854" s="19">
        <v>0.39811999999999997</v>
      </c>
      <c r="D854" s="19">
        <v>91.954120000000003</v>
      </c>
      <c r="E854" s="19">
        <v>20</v>
      </c>
      <c r="F854" s="19">
        <v>80</v>
      </c>
      <c r="G854" s="19">
        <v>1</v>
      </c>
      <c r="H854" s="16">
        <v>5</v>
      </c>
    </row>
    <row r="855" spans="1:8" x14ac:dyDescent="0.15">
      <c r="A855" s="19">
        <v>250.02018000000001</v>
      </c>
      <c r="B855" s="19">
        <v>407</v>
      </c>
      <c r="C855" s="19">
        <v>0.39940999999999999</v>
      </c>
      <c r="D855" s="19">
        <v>92.007649999999998</v>
      </c>
      <c r="E855" s="19">
        <v>20</v>
      </c>
      <c r="F855" s="19">
        <v>80</v>
      </c>
      <c r="G855" s="19">
        <v>1</v>
      </c>
      <c r="H855" s="16">
        <v>5</v>
      </c>
    </row>
    <row r="856" spans="1:8" x14ac:dyDescent="0.15">
      <c r="A856" s="19">
        <v>250.02012999999999</v>
      </c>
      <c r="B856" s="19">
        <v>407.5</v>
      </c>
      <c r="C856" s="19">
        <v>0.39895999999999998</v>
      </c>
      <c r="D856" s="19">
        <v>91.967060000000004</v>
      </c>
      <c r="E856" s="19">
        <v>20</v>
      </c>
      <c r="F856" s="19">
        <v>80</v>
      </c>
      <c r="G856" s="19">
        <v>1</v>
      </c>
      <c r="H856" s="16">
        <v>5</v>
      </c>
    </row>
    <row r="857" spans="1:8" x14ac:dyDescent="0.15">
      <c r="A857" s="19">
        <v>250.01536999999999</v>
      </c>
      <c r="B857" s="19">
        <v>408</v>
      </c>
      <c r="C857" s="19">
        <v>0.39845000000000003</v>
      </c>
      <c r="D857" s="19">
        <v>92.040059999999997</v>
      </c>
      <c r="E857" s="19">
        <v>20</v>
      </c>
      <c r="F857" s="19">
        <v>80</v>
      </c>
      <c r="G857" s="19">
        <v>1</v>
      </c>
      <c r="H857" s="16">
        <v>5</v>
      </c>
    </row>
    <row r="858" spans="1:8" x14ac:dyDescent="0.15">
      <c r="A858" s="19">
        <v>250.01517999999999</v>
      </c>
      <c r="B858" s="19">
        <v>408.5</v>
      </c>
      <c r="C858" s="19">
        <v>0.39862999999999998</v>
      </c>
      <c r="D858" s="19">
        <v>91.888509999999997</v>
      </c>
      <c r="E858" s="19">
        <v>20</v>
      </c>
      <c r="F858" s="19">
        <v>80</v>
      </c>
      <c r="G858" s="19">
        <v>1</v>
      </c>
      <c r="H858" s="16">
        <v>5</v>
      </c>
    </row>
    <row r="859" spans="1:8" x14ac:dyDescent="0.15">
      <c r="A859" s="19">
        <v>250.01930999999999</v>
      </c>
      <c r="B859" s="19">
        <v>409</v>
      </c>
      <c r="C859" s="19">
        <v>0.39790999999999999</v>
      </c>
      <c r="D859" s="19">
        <v>91.988600000000005</v>
      </c>
      <c r="E859" s="19">
        <v>20</v>
      </c>
      <c r="F859" s="19">
        <v>80</v>
      </c>
      <c r="G859" s="19">
        <v>1</v>
      </c>
      <c r="H859" s="16">
        <v>5</v>
      </c>
    </row>
    <row r="860" spans="1:8" x14ac:dyDescent="0.15">
      <c r="A860" s="19">
        <v>250.01979</v>
      </c>
      <c r="B860" s="19">
        <v>409.5</v>
      </c>
      <c r="C860" s="19">
        <v>0.39911000000000002</v>
      </c>
      <c r="D860" s="19">
        <v>91.933989999999994</v>
      </c>
      <c r="E860" s="19">
        <v>20</v>
      </c>
      <c r="F860" s="19">
        <v>80</v>
      </c>
      <c r="G860" s="19">
        <v>1</v>
      </c>
      <c r="H860" s="16">
        <v>5</v>
      </c>
    </row>
    <row r="861" spans="1:8" x14ac:dyDescent="0.15">
      <c r="A861" s="19">
        <v>250.01823999999999</v>
      </c>
      <c r="B861" s="19">
        <v>410</v>
      </c>
      <c r="C861" s="19">
        <v>0.39888000000000001</v>
      </c>
      <c r="D861" s="19">
        <v>91.904660000000007</v>
      </c>
      <c r="E861" s="19">
        <v>20</v>
      </c>
      <c r="F861" s="19">
        <v>80</v>
      </c>
      <c r="G861" s="19">
        <v>1</v>
      </c>
      <c r="H861" s="16">
        <v>5</v>
      </c>
    </row>
    <row r="862" spans="1:8" x14ac:dyDescent="0.15">
      <c r="A862" s="19">
        <v>250.0196</v>
      </c>
      <c r="B862" s="19">
        <v>410.5</v>
      </c>
      <c r="C862" s="19">
        <v>0.39810000000000001</v>
      </c>
      <c r="D862" s="19">
        <v>91.986639999999994</v>
      </c>
      <c r="E862" s="19">
        <v>20</v>
      </c>
      <c r="F862" s="19">
        <v>80</v>
      </c>
      <c r="G862" s="19">
        <v>1</v>
      </c>
      <c r="H862" s="16">
        <v>5</v>
      </c>
    </row>
    <row r="863" spans="1:8" x14ac:dyDescent="0.15">
      <c r="A863" s="19">
        <v>250.02035000000001</v>
      </c>
      <c r="B863" s="19">
        <v>411</v>
      </c>
      <c r="C863" s="19">
        <v>0.39640999999999998</v>
      </c>
      <c r="D863" s="19">
        <v>91.933340000000001</v>
      </c>
      <c r="E863" s="19">
        <v>20</v>
      </c>
      <c r="F863" s="19">
        <v>80</v>
      </c>
      <c r="G863" s="19">
        <v>1</v>
      </c>
      <c r="H863" s="16">
        <v>5</v>
      </c>
    </row>
    <row r="864" spans="1:8" x14ac:dyDescent="0.15">
      <c r="A864" s="19">
        <v>250.02072000000001</v>
      </c>
      <c r="B864" s="19">
        <v>411.5</v>
      </c>
      <c r="C864" s="19">
        <v>0.39682000000000001</v>
      </c>
      <c r="D864" s="19">
        <v>91.774180000000001</v>
      </c>
      <c r="E864" s="19">
        <v>20</v>
      </c>
      <c r="F864" s="19">
        <v>80</v>
      </c>
      <c r="G864" s="19">
        <v>1</v>
      </c>
      <c r="H864" s="16">
        <v>5</v>
      </c>
    </row>
    <row r="865" spans="1:8" x14ac:dyDescent="0.15">
      <c r="A865" s="19">
        <v>250.01849999999999</v>
      </c>
      <c r="B865" s="19">
        <v>412</v>
      </c>
      <c r="C865" s="19">
        <v>0.39717999999999998</v>
      </c>
      <c r="D865" s="19">
        <v>91.702920000000006</v>
      </c>
      <c r="E865" s="19">
        <v>20</v>
      </c>
      <c r="F865" s="19">
        <v>80</v>
      </c>
      <c r="G865" s="19">
        <v>1</v>
      </c>
      <c r="H865" s="16">
        <v>5</v>
      </c>
    </row>
    <row r="866" spans="1:8" x14ac:dyDescent="0.15">
      <c r="A866" s="19">
        <v>250.01799</v>
      </c>
      <c r="B866" s="19">
        <v>412.5</v>
      </c>
      <c r="C866" s="19">
        <v>0.39761000000000002</v>
      </c>
      <c r="D866" s="19">
        <v>91.798929999999999</v>
      </c>
      <c r="E866" s="19">
        <v>20</v>
      </c>
      <c r="F866" s="19">
        <v>80</v>
      </c>
      <c r="G866" s="19">
        <v>1</v>
      </c>
      <c r="H866" s="16">
        <v>5</v>
      </c>
    </row>
    <row r="867" spans="1:8" x14ac:dyDescent="0.15">
      <c r="A867" s="19">
        <v>250.01982000000001</v>
      </c>
      <c r="B867" s="19">
        <v>413</v>
      </c>
      <c r="C867" s="19">
        <v>0.39829999999999999</v>
      </c>
      <c r="D867" s="19">
        <v>91.870400000000004</v>
      </c>
      <c r="E867" s="19">
        <v>20</v>
      </c>
      <c r="F867" s="19">
        <v>80</v>
      </c>
      <c r="G867" s="19">
        <v>1</v>
      </c>
      <c r="H867" s="16">
        <v>5</v>
      </c>
    </row>
    <row r="868" spans="1:8" x14ac:dyDescent="0.15">
      <c r="A868" s="19">
        <v>250.02157</v>
      </c>
      <c r="B868" s="19">
        <v>413.5</v>
      </c>
      <c r="C868" s="19">
        <v>0.39768999999999999</v>
      </c>
      <c r="D868" s="19">
        <v>91.806330000000003</v>
      </c>
      <c r="E868" s="19">
        <v>20</v>
      </c>
      <c r="F868" s="19">
        <v>80</v>
      </c>
      <c r="G868" s="19">
        <v>1</v>
      </c>
      <c r="H868" s="16">
        <v>5</v>
      </c>
    </row>
    <row r="869" spans="1:8" x14ac:dyDescent="0.15">
      <c r="A869" s="19">
        <v>250.02030999999999</v>
      </c>
      <c r="B869" s="19">
        <v>414</v>
      </c>
      <c r="C869" s="19">
        <v>0.39839000000000002</v>
      </c>
      <c r="D869" s="19">
        <v>91.791120000000006</v>
      </c>
      <c r="E869" s="19">
        <v>20</v>
      </c>
      <c r="F869" s="19">
        <v>80</v>
      </c>
      <c r="G869" s="19">
        <v>1</v>
      </c>
      <c r="H869" s="16">
        <v>5</v>
      </c>
    </row>
    <row r="870" spans="1:8" x14ac:dyDescent="0.15">
      <c r="A870" s="19">
        <v>250.01859999999999</v>
      </c>
      <c r="B870" s="19">
        <v>414.5</v>
      </c>
      <c r="C870" s="19">
        <v>0.39848</v>
      </c>
      <c r="D870" s="19">
        <v>91.699950000000001</v>
      </c>
      <c r="E870" s="19">
        <v>20</v>
      </c>
      <c r="F870" s="19">
        <v>80</v>
      </c>
      <c r="G870" s="19">
        <v>1</v>
      </c>
      <c r="H870" s="16">
        <v>5</v>
      </c>
    </row>
    <row r="871" spans="1:8" x14ac:dyDescent="0.15">
      <c r="A871" s="19">
        <v>250.01477</v>
      </c>
      <c r="B871" s="19">
        <v>415</v>
      </c>
      <c r="C871" s="19">
        <v>0.39788000000000001</v>
      </c>
      <c r="D871" s="19">
        <v>91.815770000000001</v>
      </c>
      <c r="E871" s="19">
        <v>20</v>
      </c>
      <c r="F871" s="19">
        <v>80</v>
      </c>
      <c r="G871" s="19">
        <v>1</v>
      </c>
      <c r="H871" s="16">
        <v>5</v>
      </c>
    </row>
    <row r="872" spans="1:8" x14ac:dyDescent="0.15">
      <c r="A872" s="19">
        <v>250.01364000000001</v>
      </c>
      <c r="B872" s="19">
        <v>415.5</v>
      </c>
      <c r="C872" s="19">
        <v>0.3957</v>
      </c>
      <c r="D872" s="19">
        <v>91.855559999999997</v>
      </c>
      <c r="E872" s="19">
        <v>20</v>
      </c>
      <c r="F872" s="19">
        <v>80</v>
      </c>
      <c r="G872" s="19">
        <v>1</v>
      </c>
      <c r="H872" s="16">
        <v>5</v>
      </c>
    </row>
    <row r="873" spans="1:8" x14ac:dyDescent="0.15">
      <c r="A873" s="19">
        <v>250.01053999999999</v>
      </c>
      <c r="B873" s="19">
        <v>416</v>
      </c>
      <c r="C873" s="19">
        <v>0.39705000000000001</v>
      </c>
      <c r="D873" s="19">
        <v>91.715739999999997</v>
      </c>
      <c r="E873" s="19">
        <v>20</v>
      </c>
      <c r="F873" s="19">
        <v>80</v>
      </c>
      <c r="G873" s="19">
        <v>1</v>
      </c>
      <c r="H873" s="16">
        <v>5</v>
      </c>
    </row>
    <row r="874" spans="1:8" x14ac:dyDescent="0.15">
      <c r="A874" s="19">
        <v>250.00971999999999</v>
      </c>
      <c r="B874" s="19">
        <v>416.5</v>
      </c>
      <c r="C874" s="19">
        <v>0.39617000000000002</v>
      </c>
      <c r="D874" s="19">
        <v>91.793710000000004</v>
      </c>
      <c r="E874" s="19">
        <v>20</v>
      </c>
      <c r="F874" s="19">
        <v>80</v>
      </c>
      <c r="G874" s="19">
        <v>1</v>
      </c>
      <c r="H874" s="16">
        <v>5</v>
      </c>
    </row>
    <row r="875" spans="1:8" x14ac:dyDescent="0.15">
      <c r="A875" s="19">
        <v>250.01240000000001</v>
      </c>
      <c r="B875" s="19">
        <v>417</v>
      </c>
      <c r="C875" s="19">
        <v>0.39729999999999999</v>
      </c>
      <c r="D875" s="19">
        <v>91.684349999999995</v>
      </c>
      <c r="E875" s="19">
        <v>20</v>
      </c>
      <c r="F875" s="19">
        <v>80</v>
      </c>
      <c r="G875" s="19">
        <v>1</v>
      </c>
      <c r="H875" s="16">
        <v>5</v>
      </c>
    </row>
    <row r="876" spans="1:8" x14ac:dyDescent="0.15">
      <c r="A876" s="19">
        <v>250.01623000000001</v>
      </c>
      <c r="B876" s="19">
        <v>417.5</v>
      </c>
      <c r="C876" s="19">
        <v>0.39673999999999998</v>
      </c>
      <c r="D876" s="19">
        <v>91.707679999999996</v>
      </c>
      <c r="E876" s="19">
        <v>20</v>
      </c>
      <c r="F876" s="19">
        <v>80</v>
      </c>
      <c r="G876" s="19">
        <v>1</v>
      </c>
      <c r="H876" s="16">
        <v>5</v>
      </c>
    </row>
    <row r="877" spans="1:8" x14ac:dyDescent="0.15">
      <c r="A877" s="19">
        <v>250.01465999999999</v>
      </c>
      <c r="B877" s="19">
        <v>418</v>
      </c>
      <c r="C877" s="19">
        <v>0.39698</v>
      </c>
      <c r="D877" s="19">
        <v>91.771860000000004</v>
      </c>
      <c r="E877" s="19">
        <v>20</v>
      </c>
      <c r="F877" s="19">
        <v>80</v>
      </c>
      <c r="G877" s="19">
        <v>1</v>
      </c>
      <c r="H877" s="16">
        <v>5</v>
      </c>
    </row>
    <row r="878" spans="1:8" x14ac:dyDescent="0.15">
      <c r="A878" s="19">
        <v>250.01595</v>
      </c>
      <c r="B878" s="19">
        <v>418.5</v>
      </c>
      <c r="C878" s="19">
        <v>0.39595999999999998</v>
      </c>
      <c r="D878" s="19">
        <v>91.759910000000005</v>
      </c>
      <c r="E878" s="19">
        <v>20</v>
      </c>
      <c r="F878" s="19">
        <v>80</v>
      </c>
      <c r="G878" s="19">
        <v>1</v>
      </c>
      <c r="H878" s="16">
        <v>5</v>
      </c>
    </row>
    <row r="879" spans="1:8" x14ac:dyDescent="0.15">
      <c r="A879" s="19">
        <v>250.01756</v>
      </c>
      <c r="B879" s="19">
        <v>419</v>
      </c>
      <c r="C879" s="19">
        <v>0.39489999999999997</v>
      </c>
      <c r="D879" s="19">
        <v>91.693449999999999</v>
      </c>
      <c r="E879" s="19">
        <v>20</v>
      </c>
      <c r="F879" s="19">
        <v>80</v>
      </c>
      <c r="G879" s="19">
        <v>1</v>
      </c>
      <c r="H879" s="16">
        <v>5</v>
      </c>
    </row>
    <row r="880" spans="1:8" x14ac:dyDescent="0.15">
      <c r="A880" s="19">
        <v>250.01544000000001</v>
      </c>
      <c r="B880" s="19">
        <v>419.5</v>
      </c>
      <c r="C880" s="19">
        <v>0.39629999999999999</v>
      </c>
      <c r="D880" s="19">
        <v>91.74033</v>
      </c>
      <c r="E880" s="19">
        <v>20</v>
      </c>
      <c r="F880" s="19">
        <v>80</v>
      </c>
      <c r="G880" s="19">
        <v>1</v>
      </c>
      <c r="H880" s="16">
        <v>5</v>
      </c>
    </row>
    <row r="881" spans="1:8" x14ac:dyDescent="0.15">
      <c r="A881" s="19">
        <v>250.01695000000001</v>
      </c>
      <c r="B881" s="19">
        <v>420</v>
      </c>
      <c r="C881" s="19">
        <v>0.39485999999999999</v>
      </c>
      <c r="D881" s="19">
        <v>91.757599999999996</v>
      </c>
      <c r="E881" s="19">
        <v>20</v>
      </c>
      <c r="F881" s="19">
        <v>80</v>
      </c>
      <c r="G881" s="19">
        <v>1</v>
      </c>
      <c r="H881" s="16">
        <v>5</v>
      </c>
    </row>
    <row r="882" spans="1:8" x14ac:dyDescent="0.15">
      <c r="A882" s="19">
        <v>250.01759999999999</v>
      </c>
      <c r="B882" s="19">
        <v>420.5</v>
      </c>
      <c r="C882" s="19">
        <v>0.39607999999999999</v>
      </c>
      <c r="D882" s="19">
        <v>91.550989999999999</v>
      </c>
      <c r="E882" s="19">
        <v>20</v>
      </c>
      <c r="F882" s="19">
        <v>80</v>
      </c>
      <c r="G882" s="19">
        <v>1</v>
      </c>
      <c r="H882" s="16">
        <v>5</v>
      </c>
    </row>
    <row r="883" spans="1:8" x14ac:dyDescent="0.15">
      <c r="A883" s="19">
        <v>250.01799</v>
      </c>
      <c r="B883" s="19">
        <v>421</v>
      </c>
      <c r="C883" s="19">
        <v>0.39607999999999999</v>
      </c>
      <c r="D883" s="19">
        <v>91.566820000000007</v>
      </c>
      <c r="E883" s="19">
        <v>20</v>
      </c>
      <c r="F883" s="19">
        <v>80</v>
      </c>
      <c r="G883" s="19">
        <v>1</v>
      </c>
      <c r="H883" s="16">
        <v>5</v>
      </c>
    </row>
    <row r="884" spans="1:8" x14ac:dyDescent="0.15">
      <c r="A884" s="19">
        <v>250.01911000000001</v>
      </c>
      <c r="B884" s="19">
        <v>421.5</v>
      </c>
      <c r="C884" s="19">
        <v>0.39701999999999998</v>
      </c>
      <c r="D884" s="19">
        <v>91.708070000000006</v>
      </c>
      <c r="E884" s="19">
        <v>20</v>
      </c>
      <c r="F884" s="19">
        <v>80</v>
      </c>
      <c r="G884" s="19">
        <v>1</v>
      </c>
      <c r="H884" s="16">
        <v>5</v>
      </c>
    </row>
    <row r="885" spans="1:8" x14ac:dyDescent="0.15">
      <c r="A885" s="19">
        <v>250.01857000000001</v>
      </c>
      <c r="B885" s="19">
        <v>422</v>
      </c>
      <c r="C885" s="19">
        <v>0.39423000000000002</v>
      </c>
      <c r="D885" s="19">
        <v>91.543840000000003</v>
      </c>
      <c r="E885" s="19">
        <v>20</v>
      </c>
      <c r="F885" s="19">
        <v>80</v>
      </c>
      <c r="G885" s="19">
        <v>1</v>
      </c>
      <c r="H885" s="16">
        <v>5</v>
      </c>
    </row>
    <row r="886" spans="1:8" x14ac:dyDescent="0.15">
      <c r="A886" s="19">
        <v>250.02034</v>
      </c>
      <c r="B886" s="19">
        <v>422.5</v>
      </c>
      <c r="C886" s="19">
        <v>0.39419999999999999</v>
      </c>
      <c r="D886" s="19">
        <v>91.657870000000003</v>
      </c>
      <c r="E886" s="19">
        <v>20</v>
      </c>
      <c r="F886" s="19">
        <v>80</v>
      </c>
      <c r="G886" s="19">
        <v>1</v>
      </c>
      <c r="H886" s="16">
        <v>5</v>
      </c>
    </row>
    <row r="887" spans="1:8" x14ac:dyDescent="0.15">
      <c r="A887" s="19">
        <v>250.01669000000001</v>
      </c>
      <c r="B887" s="19">
        <v>423</v>
      </c>
      <c r="C887" s="19">
        <v>0.39601999999999998</v>
      </c>
      <c r="D887" s="19">
        <v>91.515929999999997</v>
      </c>
      <c r="E887" s="19">
        <v>20</v>
      </c>
      <c r="F887" s="19">
        <v>80</v>
      </c>
      <c r="G887" s="19">
        <v>1</v>
      </c>
      <c r="H887" s="16">
        <v>5</v>
      </c>
    </row>
    <row r="888" spans="1:8" x14ac:dyDescent="0.15">
      <c r="A888" s="19">
        <v>250.01194000000001</v>
      </c>
      <c r="B888" s="19">
        <v>423.5</v>
      </c>
      <c r="C888" s="19">
        <v>0.39513999999999999</v>
      </c>
      <c r="D888" s="19">
        <v>91.503399999999999</v>
      </c>
      <c r="E888" s="19">
        <v>20</v>
      </c>
      <c r="F888" s="19">
        <v>80</v>
      </c>
      <c r="G888" s="19">
        <v>1</v>
      </c>
      <c r="H888" s="16">
        <v>5</v>
      </c>
    </row>
    <row r="889" spans="1:8" x14ac:dyDescent="0.15">
      <c r="A889" s="19">
        <v>250.01555999999999</v>
      </c>
      <c r="B889" s="19">
        <v>424</v>
      </c>
      <c r="C889" s="19">
        <v>0.39544000000000001</v>
      </c>
      <c r="D889" s="19">
        <v>91.548810000000003</v>
      </c>
      <c r="E889" s="19">
        <v>20</v>
      </c>
      <c r="F889" s="19">
        <v>80</v>
      </c>
      <c r="G889" s="19">
        <v>1</v>
      </c>
      <c r="H889" s="16">
        <v>5</v>
      </c>
    </row>
    <row r="890" spans="1:8" x14ac:dyDescent="0.15">
      <c r="A890" s="19">
        <v>250.01808</v>
      </c>
      <c r="B890" s="19">
        <v>424.5</v>
      </c>
      <c r="C890" s="19">
        <v>0.39543</v>
      </c>
      <c r="D890" s="19">
        <v>91.48066</v>
      </c>
      <c r="E890" s="19">
        <v>20</v>
      </c>
      <c r="F890" s="19">
        <v>80</v>
      </c>
      <c r="G890" s="19">
        <v>1</v>
      </c>
      <c r="H890" s="16">
        <v>5</v>
      </c>
    </row>
    <row r="891" spans="1:8" x14ac:dyDescent="0.15">
      <c r="A891" s="19">
        <v>250.01859999999999</v>
      </c>
      <c r="B891" s="19">
        <v>425</v>
      </c>
      <c r="C891" s="19">
        <v>0.39521000000000001</v>
      </c>
      <c r="D891" s="19">
        <v>91.536280000000005</v>
      </c>
      <c r="E891" s="19">
        <v>20</v>
      </c>
      <c r="F891" s="19">
        <v>80</v>
      </c>
      <c r="G891" s="19">
        <v>1</v>
      </c>
      <c r="H891" s="16">
        <v>5</v>
      </c>
    </row>
    <row r="892" spans="1:8" x14ac:dyDescent="0.15">
      <c r="A892" s="19">
        <v>250.02227999999999</v>
      </c>
      <c r="B892" s="19">
        <v>425.5</v>
      </c>
      <c r="C892" s="19">
        <v>0.39478999999999997</v>
      </c>
      <c r="D892" s="19">
        <v>91.608009999999993</v>
      </c>
      <c r="E892" s="19">
        <v>20</v>
      </c>
      <c r="F892" s="19">
        <v>80</v>
      </c>
      <c r="G892" s="19">
        <v>1</v>
      </c>
      <c r="H892" s="16">
        <v>5</v>
      </c>
    </row>
    <row r="893" spans="1:8" x14ac:dyDescent="0.15">
      <c r="A893" s="19">
        <v>250.02384000000001</v>
      </c>
      <c r="B893" s="19">
        <v>426</v>
      </c>
      <c r="C893" s="19">
        <v>0.39302999999999999</v>
      </c>
      <c r="D893" s="19">
        <v>91.653459999999995</v>
      </c>
      <c r="E893" s="19">
        <v>20</v>
      </c>
      <c r="F893" s="19">
        <v>80</v>
      </c>
      <c r="G893" s="19">
        <v>1</v>
      </c>
      <c r="H893" s="16">
        <v>5</v>
      </c>
    </row>
    <row r="894" spans="1:8" x14ac:dyDescent="0.15">
      <c r="A894" s="19">
        <v>250.02137999999999</v>
      </c>
      <c r="B894" s="19">
        <v>426.5</v>
      </c>
      <c r="C894" s="19">
        <v>0.39206999999999997</v>
      </c>
      <c r="D894" s="19">
        <v>91.573160000000001</v>
      </c>
      <c r="E894" s="19">
        <v>20</v>
      </c>
      <c r="F894" s="19">
        <v>80</v>
      </c>
      <c r="G894" s="19">
        <v>1</v>
      </c>
      <c r="H894" s="16">
        <v>5</v>
      </c>
    </row>
    <row r="895" spans="1:8" x14ac:dyDescent="0.15">
      <c r="A895" s="19">
        <v>250.01915</v>
      </c>
      <c r="B895" s="19">
        <v>427</v>
      </c>
      <c r="C895" s="19">
        <v>0.39246999999999999</v>
      </c>
      <c r="D895" s="19">
        <v>91.513599999999997</v>
      </c>
      <c r="E895" s="19">
        <v>20</v>
      </c>
      <c r="F895" s="19">
        <v>80</v>
      </c>
      <c r="G895" s="19">
        <v>1</v>
      </c>
      <c r="H895" s="16">
        <v>5</v>
      </c>
    </row>
    <row r="896" spans="1:8" x14ac:dyDescent="0.15">
      <c r="A896" s="19">
        <v>250.01863</v>
      </c>
      <c r="B896" s="19">
        <v>427.5</v>
      </c>
      <c r="C896" s="19">
        <v>0.39237</v>
      </c>
      <c r="D896" s="19">
        <v>91.519319999999993</v>
      </c>
      <c r="E896" s="19">
        <v>20</v>
      </c>
      <c r="F896" s="19">
        <v>80</v>
      </c>
      <c r="G896" s="19">
        <v>1</v>
      </c>
      <c r="H896" s="16">
        <v>5</v>
      </c>
    </row>
    <row r="897" spans="1:8" x14ac:dyDescent="0.15">
      <c r="A897" s="19">
        <v>250.01732000000001</v>
      </c>
      <c r="B897" s="19">
        <v>428</v>
      </c>
      <c r="C897" s="19">
        <v>0.39426</v>
      </c>
      <c r="D897" s="19">
        <v>91.626339999999999</v>
      </c>
      <c r="E897" s="19">
        <v>20</v>
      </c>
      <c r="F897" s="19">
        <v>80</v>
      </c>
      <c r="G897" s="19">
        <v>1</v>
      </c>
      <c r="H897" s="16">
        <v>5</v>
      </c>
    </row>
    <row r="898" spans="1:8" x14ac:dyDescent="0.15">
      <c r="A898" s="19">
        <v>250.01089999999999</v>
      </c>
      <c r="B898" s="19">
        <v>428.5</v>
      </c>
      <c r="C898" s="19">
        <v>0.39340999999999998</v>
      </c>
      <c r="D898" s="19">
        <v>91.449380000000005</v>
      </c>
      <c r="E898" s="19">
        <v>20</v>
      </c>
      <c r="F898" s="19">
        <v>80</v>
      </c>
      <c r="G898" s="19">
        <v>1</v>
      </c>
      <c r="H898" s="16">
        <v>5</v>
      </c>
    </row>
    <row r="899" spans="1:8" x14ac:dyDescent="0.15">
      <c r="A899" s="19">
        <v>250.01447999999999</v>
      </c>
      <c r="B899" s="19">
        <v>429</v>
      </c>
      <c r="C899" s="19">
        <v>0.39450000000000002</v>
      </c>
      <c r="D899" s="19">
        <v>91.488560000000007</v>
      </c>
      <c r="E899" s="19">
        <v>20</v>
      </c>
      <c r="F899" s="19">
        <v>80</v>
      </c>
      <c r="G899" s="19">
        <v>1</v>
      </c>
      <c r="H899" s="16">
        <v>5</v>
      </c>
    </row>
    <row r="900" spans="1:8" x14ac:dyDescent="0.15">
      <c r="A900" s="19">
        <v>250.02312000000001</v>
      </c>
      <c r="B900" s="19">
        <v>429.5</v>
      </c>
      <c r="C900" s="19">
        <v>0.39308999999999999</v>
      </c>
      <c r="D900" s="19">
        <v>91.306920000000005</v>
      </c>
      <c r="E900" s="19">
        <v>20</v>
      </c>
      <c r="F900" s="19">
        <v>80</v>
      </c>
      <c r="G900" s="19">
        <v>1</v>
      </c>
      <c r="H900" s="16">
        <v>5</v>
      </c>
    </row>
    <row r="901" spans="1:8" x14ac:dyDescent="0.15">
      <c r="A901" s="19">
        <v>250.02104</v>
      </c>
      <c r="B901" s="19">
        <v>430</v>
      </c>
      <c r="C901" s="19">
        <v>0.39018999999999998</v>
      </c>
      <c r="D901" s="19">
        <v>91.426169999999999</v>
      </c>
      <c r="E901" s="19">
        <v>20</v>
      </c>
      <c r="F901" s="19">
        <v>80</v>
      </c>
      <c r="G901" s="19">
        <v>1</v>
      </c>
      <c r="H901" s="16">
        <v>5</v>
      </c>
    </row>
    <row r="902" spans="1:8" x14ac:dyDescent="0.15">
      <c r="A902" s="19">
        <v>250.01761999999999</v>
      </c>
      <c r="B902" s="19">
        <v>430.5</v>
      </c>
      <c r="C902" s="19">
        <v>0.39190999999999998</v>
      </c>
      <c r="D902" s="19">
        <v>91.439880000000002</v>
      </c>
      <c r="E902" s="19">
        <v>20</v>
      </c>
      <c r="F902" s="19">
        <v>80</v>
      </c>
      <c r="G902" s="19">
        <v>1</v>
      </c>
      <c r="H902" s="16">
        <v>5</v>
      </c>
    </row>
    <row r="903" spans="1:8" x14ac:dyDescent="0.15">
      <c r="A903" s="19">
        <v>250.01682</v>
      </c>
      <c r="B903" s="19">
        <v>431</v>
      </c>
      <c r="C903" s="19">
        <v>0.39122000000000001</v>
      </c>
      <c r="D903" s="19">
        <v>91.341149999999999</v>
      </c>
      <c r="E903" s="19">
        <v>20</v>
      </c>
      <c r="F903" s="19">
        <v>80</v>
      </c>
      <c r="G903" s="19">
        <v>1</v>
      </c>
      <c r="H903" s="16">
        <v>5</v>
      </c>
    </row>
    <row r="904" spans="1:8" x14ac:dyDescent="0.15">
      <c r="A904" s="19">
        <v>250.01797999999999</v>
      </c>
      <c r="B904" s="19">
        <v>431.5</v>
      </c>
      <c r="C904" s="19">
        <v>0.39123999999999998</v>
      </c>
      <c r="D904" s="19">
        <v>91.468050000000005</v>
      </c>
      <c r="E904" s="19">
        <v>20</v>
      </c>
      <c r="F904" s="19">
        <v>80</v>
      </c>
      <c r="G904" s="19">
        <v>1</v>
      </c>
      <c r="H904" s="16">
        <v>5</v>
      </c>
    </row>
    <row r="905" spans="1:8" x14ac:dyDescent="0.15">
      <c r="A905" s="19">
        <v>250.01587000000001</v>
      </c>
      <c r="B905" s="19">
        <v>432</v>
      </c>
      <c r="C905" s="19">
        <v>0.39187</v>
      </c>
      <c r="D905" s="19">
        <v>91.414699999999996</v>
      </c>
      <c r="E905" s="19">
        <v>20</v>
      </c>
      <c r="F905" s="19">
        <v>80</v>
      </c>
      <c r="G905" s="19">
        <v>1</v>
      </c>
      <c r="H905" s="16">
        <v>5</v>
      </c>
    </row>
    <row r="906" spans="1:8" x14ac:dyDescent="0.15">
      <c r="A906" s="19">
        <v>250.01293999999999</v>
      </c>
      <c r="B906" s="19">
        <v>432.5</v>
      </c>
      <c r="C906" s="19">
        <v>0.39176</v>
      </c>
      <c r="D906" s="19">
        <v>91.424899999999994</v>
      </c>
      <c r="E906" s="19">
        <v>20</v>
      </c>
      <c r="F906" s="19">
        <v>80</v>
      </c>
      <c r="G906" s="19">
        <v>1</v>
      </c>
      <c r="H906" s="16">
        <v>5</v>
      </c>
    </row>
    <row r="907" spans="1:8" x14ac:dyDescent="0.15">
      <c r="A907" s="19">
        <v>250.01229000000001</v>
      </c>
      <c r="B907" s="19">
        <v>433</v>
      </c>
      <c r="C907" s="19">
        <v>0.39346999999999999</v>
      </c>
      <c r="D907" s="19">
        <v>91.406959999999998</v>
      </c>
      <c r="E907" s="19">
        <v>20</v>
      </c>
      <c r="F907" s="19">
        <v>80</v>
      </c>
      <c r="G907" s="19">
        <v>1</v>
      </c>
      <c r="H907" s="16">
        <v>5</v>
      </c>
    </row>
    <row r="908" spans="1:8" x14ac:dyDescent="0.15">
      <c r="A908" s="19">
        <v>250.01344</v>
      </c>
      <c r="B908" s="19">
        <v>433.5</v>
      </c>
      <c r="C908" s="19">
        <v>0.39157999999999998</v>
      </c>
      <c r="D908" s="19">
        <v>91.350980000000007</v>
      </c>
      <c r="E908" s="19">
        <v>20</v>
      </c>
      <c r="F908" s="19">
        <v>80</v>
      </c>
      <c r="G908" s="19">
        <v>1</v>
      </c>
      <c r="H908" s="16">
        <v>5</v>
      </c>
    </row>
    <row r="909" spans="1:8" x14ac:dyDescent="0.15">
      <c r="A909" s="19">
        <v>250.01181</v>
      </c>
      <c r="B909" s="19">
        <v>434</v>
      </c>
      <c r="C909" s="19">
        <v>0.39274999999999999</v>
      </c>
      <c r="D909" s="19">
        <v>91.306399999999996</v>
      </c>
      <c r="E909" s="19">
        <v>20</v>
      </c>
      <c r="F909" s="19">
        <v>80</v>
      </c>
      <c r="G909" s="19">
        <v>1</v>
      </c>
      <c r="H909" s="16">
        <v>5</v>
      </c>
    </row>
    <row r="910" spans="1:8" x14ac:dyDescent="0.15">
      <c r="A910" s="19">
        <v>250.01389</v>
      </c>
      <c r="B910" s="19">
        <v>434.5</v>
      </c>
      <c r="C910" s="19">
        <v>0.39099</v>
      </c>
      <c r="D910" s="19">
        <v>91.294489999999996</v>
      </c>
      <c r="E910" s="19">
        <v>20</v>
      </c>
      <c r="F910" s="19">
        <v>80</v>
      </c>
      <c r="G910" s="19">
        <v>1</v>
      </c>
      <c r="H910" s="16">
        <v>5</v>
      </c>
    </row>
    <row r="911" spans="1:8" x14ac:dyDescent="0.15">
      <c r="A911" s="19">
        <v>250.01408000000001</v>
      </c>
      <c r="B911" s="19">
        <v>435</v>
      </c>
      <c r="C911" s="19">
        <v>0.39273999999999998</v>
      </c>
      <c r="D911" s="19">
        <v>91.30556</v>
      </c>
      <c r="E911" s="19">
        <v>20</v>
      </c>
      <c r="F911" s="19">
        <v>80</v>
      </c>
      <c r="G911" s="19">
        <v>1</v>
      </c>
      <c r="H911" s="16">
        <v>5</v>
      </c>
    </row>
    <row r="912" spans="1:8" x14ac:dyDescent="0.15">
      <c r="A912" s="19">
        <v>250.01408000000001</v>
      </c>
      <c r="B912" s="19">
        <v>435.5</v>
      </c>
      <c r="C912" s="19">
        <v>0.39262999999999998</v>
      </c>
      <c r="D912" s="19">
        <v>91.404499999999999</v>
      </c>
      <c r="E912" s="19">
        <v>20</v>
      </c>
      <c r="F912" s="19">
        <v>80</v>
      </c>
      <c r="G912" s="19">
        <v>1</v>
      </c>
      <c r="H912" s="16">
        <v>5</v>
      </c>
    </row>
    <row r="913" spans="1:8" x14ac:dyDescent="0.15">
      <c r="A913" s="19">
        <v>250.01355000000001</v>
      </c>
      <c r="B913" s="19">
        <v>436</v>
      </c>
      <c r="C913" s="19">
        <v>0.39169999999999999</v>
      </c>
      <c r="D913" s="19">
        <v>91.442639999999997</v>
      </c>
      <c r="E913" s="19">
        <v>20</v>
      </c>
      <c r="F913" s="19">
        <v>80</v>
      </c>
      <c r="G913" s="19">
        <v>1</v>
      </c>
      <c r="H913" s="16">
        <v>5</v>
      </c>
    </row>
    <row r="914" spans="1:8" x14ac:dyDescent="0.15">
      <c r="A914" s="19">
        <v>250.01354000000001</v>
      </c>
      <c r="B914" s="19">
        <v>436.5</v>
      </c>
      <c r="C914" s="19">
        <v>0.39224999999999999</v>
      </c>
      <c r="D914" s="19">
        <v>91.42689</v>
      </c>
      <c r="E914" s="19">
        <v>20</v>
      </c>
      <c r="F914" s="19">
        <v>80</v>
      </c>
      <c r="G914" s="19">
        <v>1</v>
      </c>
      <c r="H914" s="16">
        <v>5</v>
      </c>
    </row>
    <row r="915" spans="1:8" x14ac:dyDescent="0.15">
      <c r="A915" s="19">
        <v>250.01768999999999</v>
      </c>
      <c r="B915" s="19">
        <v>437</v>
      </c>
      <c r="C915" s="19">
        <v>0.39111000000000001</v>
      </c>
      <c r="D915" s="19">
        <v>91.263040000000004</v>
      </c>
      <c r="E915" s="19">
        <v>20</v>
      </c>
      <c r="F915" s="19">
        <v>80</v>
      </c>
      <c r="G915" s="19">
        <v>1</v>
      </c>
      <c r="H915" s="16">
        <v>5</v>
      </c>
    </row>
    <row r="916" spans="1:8" x14ac:dyDescent="0.15">
      <c r="A916" s="19">
        <v>250.02109999999999</v>
      </c>
      <c r="B916" s="19">
        <v>437.5</v>
      </c>
      <c r="C916" s="19">
        <v>0.39047999999999999</v>
      </c>
      <c r="D916" s="19">
        <v>91.37321</v>
      </c>
      <c r="E916" s="19">
        <v>20</v>
      </c>
      <c r="F916" s="19">
        <v>80</v>
      </c>
      <c r="G916" s="19">
        <v>1</v>
      </c>
      <c r="H916" s="16">
        <v>5</v>
      </c>
    </row>
    <row r="917" spans="1:8" x14ac:dyDescent="0.15">
      <c r="A917" s="19">
        <v>250.02103</v>
      </c>
      <c r="B917" s="19">
        <v>438</v>
      </c>
      <c r="C917" s="19">
        <v>0.39050000000000001</v>
      </c>
      <c r="D917" s="19">
        <v>91.233549999999994</v>
      </c>
      <c r="E917" s="19">
        <v>20</v>
      </c>
      <c r="F917" s="19">
        <v>80</v>
      </c>
      <c r="G917" s="19">
        <v>1</v>
      </c>
      <c r="H917" s="16">
        <v>5</v>
      </c>
    </row>
    <row r="918" spans="1:8" x14ac:dyDescent="0.15">
      <c r="A918" s="19">
        <v>250.01935</v>
      </c>
      <c r="B918" s="19">
        <v>438.5</v>
      </c>
      <c r="C918" s="19">
        <v>0.39050000000000001</v>
      </c>
      <c r="D918" s="19">
        <v>91.353179999999995</v>
      </c>
      <c r="E918" s="19">
        <v>20</v>
      </c>
      <c r="F918" s="19">
        <v>80</v>
      </c>
      <c r="G918" s="19">
        <v>1</v>
      </c>
      <c r="H918" s="16">
        <v>5</v>
      </c>
    </row>
    <row r="919" spans="1:8" x14ac:dyDescent="0.15">
      <c r="A919" s="19">
        <v>250.02250000000001</v>
      </c>
      <c r="B919" s="19">
        <v>439</v>
      </c>
      <c r="C919" s="19">
        <v>0.39126</v>
      </c>
      <c r="D919" s="19">
        <v>91.315439999999995</v>
      </c>
      <c r="E919" s="19">
        <v>20</v>
      </c>
      <c r="F919" s="19">
        <v>80</v>
      </c>
      <c r="G919" s="19">
        <v>1</v>
      </c>
      <c r="H919" s="16">
        <v>5</v>
      </c>
    </row>
    <row r="920" spans="1:8" x14ac:dyDescent="0.15">
      <c r="A920" s="19">
        <v>250.02445</v>
      </c>
      <c r="B920" s="19">
        <v>439.5</v>
      </c>
      <c r="C920" s="19">
        <v>0.39013999999999999</v>
      </c>
      <c r="D920" s="19">
        <v>91.349369999999993</v>
      </c>
      <c r="E920" s="19">
        <v>20</v>
      </c>
      <c r="F920" s="19">
        <v>80</v>
      </c>
      <c r="G920" s="19">
        <v>1</v>
      </c>
      <c r="H920" s="16">
        <v>5</v>
      </c>
    </row>
    <row r="921" spans="1:8" x14ac:dyDescent="0.15">
      <c r="A921" s="19">
        <v>250.02336</v>
      </c>
      <c r="B921" s="19">
        <v>440</v>
      </c>
      <c r="C921" s="19">
        <v>0.39012999999999998</v>
      </c>
      <c r="D921" s="19">
        <v>91.311710000000005</v>
      </c>
      <c r="E921" s="19">
        <v>20</v>
      </c>
      <c r="F921" s="19">
        <v>80</v>
      </c>
      <c r="G921" s="19">
        <v>1</v>
      </c>
      <c r="H921" s="16">
        <v>5</v>
      </c>
    </row>
    <row r="922" spans="1:8" x14ac:dyDescent="0.15">
      <c r="A922" s="19">
        <v>250.01632000000001</v>
      </c>
      <c r="B922" s="19">
        <v>440.5</v>
      </c>
      <c r="C922" s="19">
        <v>0.38904</v>
      </c>
      <c r="D922" s="19">
        <v>91.217339999999993</v>
      </c>
      <c r="E922" s="19">
        <v>20</v>
      </c>
      <c r="F922" s="19">
        <v>80</v>
      </c>
      <c r="G922" s="19">
        <v>1</v>
      </c>
      <c r="H922" s="16">
        <v>5</v>
      </c>
    </row>
    <row r="923" spans="1:8" x14ac:dyDescent="0.15">
      <c r="A923" s="19">
        <v>250.01384999999999</v>
      </c>
      <c r="B923" s="19">
        <v>441</v>
      </c>
      <c r="C923" s="19">
        <v>0.38868000000000003</v>
      </c>
      <c r="D923" s="19">
        <v>91.245249999999999</v>
      </c>
      <c r="E923" s="19">
        <v>20</v>
      </c>
      <c r="F923" s="19">
        <v>80</v>
      </c>
      <c r="G923" s="19">
        <v>1</v>
      </c>
      <c r="H923" s="16">
        <v>5</v>
      </c>
    </row>
    <row r="924" spans="1:8" x14ac:dyDescent="0.15">
      <c r="A924" s="19">
        <v>250.01067</v>
      </c>
      <c r="B924" s="19">
        <v>441.5</v>
      </c>
      <c r="C924" s="19">
        <v>0.39090999999999998</v>
      </c>
      <c r="D924" s="19">
        <v>91.124600000000001</v>
      </c>
      <c r="E924" s="19">
        <v>20</v>
      </c>
      <c r="F924" s="19">
        <v>80</v>
      </c>
      <c r="G924" s="19">
        <v>1</v>
      </c>
      <c r="H924" s="16">
        <v>5</v>
      </c>
    </row>
    <row r="925" spans="1:8" x14ac:dyDescent="0.15">
      <c r="A925" s="19">
        <v>250.00693999999999</v>
      </c>
      <c r="B925" s="19">
        <v>442</v>
      </c>
      <c r="C925" s="19">
        <v>0.39068999999999998</v>
      </c>
      <c r="D925" s="19">
        <v>91.25179</v>
      </c>
      <c r="E925" s="19">
        <v>20</v>
      </c>
      <c r="F925" s="19">
        <v>80</v>
      </c>
      <c r="G925" s="19">
        <v>1</v>
      </c>
      <c r="H925" s="16">
        <v>5</v>
      </c>
    </row>
    <row r="926" spans="1:8" x14ac:dyDescent="0.15">
      <c r="A926" s="19">
        <v>250.00977</v>
      </c>
      <c r="B926" s="19">
        <v>442.5</v>
      </c>
      <c r="C926" s="19">
        <v>0.39061000000000001</v>
      </c>
      <c r="D926" s="19">
        <v>91.169280000000001</v>
      </c>
      <c r="E926" s="19">
        <v>20</v>
      </c>
      <c r="F926" s="19">
        <v>80</v>
      </c>
      <c r="G926" s="19">
        <v>1</v>
      </c>
      <c r="H926" s="16">
        <v>5</v>
      </c>
    </row>
    <row r="927" spans="1:8" x14ac:dyDescent="0.15">
      <c r="A927" s="19">
        <v>250.00829999999999</v>
      </c>
      <c r="B927" s="19">
        <v>443</v>
      </c>
      <c r="C927" s="19">
        <v>0.38823000000000002</v>
      </c>
      <c r="D927" s="19">
        <v>91.193110000000004</v>
      </c>
      <c r="E927" s="19">
        <v>20</v>
      </c>
      <c r="F927" s="19">
        <v>80</v>
      </c>
      <c r="G927" s="19">
        <v>1</v>
      </c>
      <c r="H927" s="16">
        <v>5</v>
      </c>
    </row>
    <row r="928" spans="1:8" x14ac:dyDescent="0.15">
      <c r="A928" s="19">
        <v>250.00906000000001</v>
      </c>
      <c r="B928" s="19">
        <v>443.5</v>
      </c>
      <c r="C928" s="19">
        <v>0.38915</v>
      </c>
      <c r="D928" s="19">
        <v>91.259169999999997</v>
      </c>
      <c r="E928" s="19">
        <v>20</v>
      </c>
      <c r="F928" s="19">
        <v>80</v>
      </c>
      <c r="G928" s="19">
        <v>1</v>
      </c>
      <c r="H928" s="16">
        <v>5</v>
      </c>
    </row>
    <row r="929" spans="1:8" x14ac:dyDescent="0.15">
      <c r="A929" s="19">
        <v>250.01505</v>
      </c>
      <c r="B929" s="19">
        <v>444</v>
      </c>
      <c r="C929" s="19">
        <v>0.38994000000000001</v>
      </c>
      <c r="D929" s="19">
        <v>91.119500000000002</v>
      </c>
      <c r="E929" s="19">
        <v>20</v>
      </c>
      <c r="F929" s="19">
        <v>80</v>
      </c>
      <c r="G929" s="19">
        <v>1</v>
      </c>
      <c r="H929" s="16">
        <v>5</v>
      </c>
    </row>
    <row r="930" spans="1:8" x14ac:dyDescent="0.15">
      <c r="A930" s="19">
        <v>250.01436000000001</v>
      </c>
      <c r="B930" s="19">
        <v>444.5</v>
      </c>
      <c r="C930" s="19">
        <v>0.38900000000000001</v>
      </c>
      <c r="D930" s="19">
        <v>91.024510000000006</v>
      </c>
      <c r="E930" s="19">
        <v>20</v>
      </c>
      <c r="F930" s="19">
        <v>80</v>
      </c>
      <c r="G930" s="19">
        <v>1</v>
      </c>
      <c r="H930" s="16">
        <v>5</v>
      </c>
    </row>
    <row r="931" spans="1:8" x14ac:dyDescent="0.15">
      <c r="A931" s="19">
        <v>250.01496</v>
      </c>
      <c r="B931" s="19">
        <v>445</v>
      </c>
      <c r="C931" s="19">
        <v>0.38983000000000001</v>
      </c>
      <c r="D931" s="19">
        <v>91.13691</v>
      </c>
      <c r="E931" s="19">
        <v>20</v>
      </c>
      <c r="F931" s="19">
        <v>80</v>
      </c>
      <c r="G931" s="19">
        <v>1</v>
      </c>
      <c r="H931" s="16">
        <v>5</v>
      </c>
    </row>
    <row r="932" spans="1:8" x14ac:dyDescent="0.15">
      <c r="A932" s="19">
        <v>250.01893000000001</v>
      </c>
      <c r="B932" s="19">
        <v>445.5</v>
      </c>
      <c r="C932" s="19">
        <v>0.38967000000000002</v>
      </c>
      <c r="D932" s="19">
        <v>91.083070000000006</v>
      </c>
      <c r="E932" s="19">
        <v>20</v>
      </c>
      <c r="F932" s="19">
        <v>80</v>
      </c>
      <c r="G932" s="19">
        <v>1</v>
      </c>
      <c r="H932" s="16">
        <v>5</v>
      </c>
    </row>
    <row r="933" spans="1:8" x14ac:dyDescent="0.15">
      <c r="A933" s="19">
        <v>250.01958999999999</v>
      </c>
      <c r="B933" s="19">
        <v>446</v>
      </c>
      <c r="C933" s="19">
        <v>0.38822000000000001</v>
      </c>
      <c r="D933" s="19">
        <v>91.090609999999998</v>
      </c>
      <c r="E933" s="19">
        <v>20</v>
      </c>
      <c r="F933" s="19">
        <v>80</v>
      </c>
      <c r="G933" s="19">
        <v>1</v>
      </c>
      <c r="H933" s="16">
        <v>5</v>
      </c>
    </row>
    <row r="934" spans="1:8" x14ac:dyDescent="0.15">
      <c r="A934" s="19">
        <v>250.01931999999999</v>
      </c>
      <c r="B934" s="19">
        <v>446.5</v>
      </c>
      <c r="C934" s="19">
        <v>0.3886</v>
      </c>
      <c r="D934" s="19">
        <v>91.148179999999996</v>
      </c>
      <c r="E934" s="19">
        <v>20</v>
      </c>
      <c r="F934" s="19">
        <v>80</v>
      </c>
      <c r="G934" s="19">
        <v>1</v>
      </c>
      <c r="H934" s="16">
        <v>5</v>
      </c>
    </row>
    <row r="935" spans="1:8" x14ac:dyDescent="0.15">
      <c r="A935" s="19">
        <v>250.01898</v>
      </c>
      <c r="B935" s="19">
        <v>447</v>
      </c>
      <c r="C935" s="19">
        <v>0.38817000000000002</v>
      </c>
      <c r="D935" s="19">
        <v>91.126130000000003</v>
      </c>
      <c r="E935" s="19">
        <v>20</v>
      </c>
      <c r="F935" s="19">
        <v>80</v>
      </c>
      <c r="G935" s="19">
        <v>1</v>
      </c>
      <c r="H935" s="16">
        <v>5</v>
      </c>
    </row>
    <row r="936" spans="1:8" x14ac:dyDescent="0.15">
      <c r="A936" s="19">
        <v>250.01926</v>
      </c>
      <c r="B936" s="19">
        <v>447.5</v>
      </c>
      <c r="C936" s="19">
        <v>0.38777</v>
      </c>
      <c r="D936" s="19">
        <v>90.987179999999995</v>
      </c>
      <c r="E936" s="19">
        <v>20</v>
      </c>
      <c r="F936" s="19">
        <v>80</v>
      </c>
      <c r="G936" s="19">
        <v>1</v>
      </c>
      <c r="H936" s="16">
        <v>5</v>
      </c>
    </row>
    <row r="937" spans="1:8" x14ac:dyDescent="0.15">
      <c r="A937" s="19">
        <v>250.02269999999999</v>
      </c>
      <c r="B937" s="19">
        <v>448</v>
      </c>
      <c r="C937" s="19">
        <v>0.38801000000000002</v>
      </c>
      <c r="D937" s="19">
        <v>91.049899999999994</v>
      </c>
      <c r="E937" s="19">
        <v>20</v>
      </c>
      <c r="F937" s="19">
        <v>80</v>
      </c>
      <c r="G937" s="19">
        <v>1</v>
      </c>
      <c r="H937" s="16">
        <v>5</v>
      </c>
    </row>
    <row r="938" spans="1:8" x14ac:dyDescent="0.15">
      <c r="A938" s="19">
        <v>250.02163999999999</v>
      </c>
      <c r="B938" s="19">
        <v>448.5</v>
      </c>
      <c r="C938" s="19">
        <v>0.38579999999999998</v>
      </c>
      <c r="D938" s="19">
        <v>91.163399999999996</v>
      </c>
      <c r="E938" s="19">
        <v>20</v>
      </c>
      <c r="F938" s="19">
        <v>80</v>
      </c>
      <c r="G938" s="19">
        <v>1</v>
      </c>
      <c r="H938" s="16">
        <v>5</v>
      </c>
    </row>
    <row r="939" spans="1:8" x14ac:dyDescent="0.15">
      <c r="A939" s="19">
        <v>250.01954000000001</v>
      </c>
      <c r="B939" s="19">
        <v>449</v>
      </c>
      <c r="C939" s="19">
        <v>0.38707000000000003</v>
      </c>
      <c r="D939" s="19">
        <v>91.062749999999994</v>
      </c>
      <c r="E939" s="19">
        <v>20</v>
      </c>
      <c r="F939" s="19">
        <v>80</v>
      </c>
      <c r="G939" s="19">
        <v>1</v>
      </c>
      <c r="H939" s="16">
        <v>5</v>
      </c>
    </row>
    <row r="940" spans="1:8" x14ac:dyDescent="0.15">
      <c r="A940" s="19">
        <v>250.01792</v>
      </c>
      <c r="B940" s="19">
        <v>449.5</v>
      </c>
      <c r="C940" s="19">
        <v>0.38714999999999999</v>
      </c>
      <c r="D940" s="19">
        <v>91.089150000000004</v>
      </c>
      <c r="E940" s="19">
        <v>20</v>
      </c>
      <c r="F940" s="19">
        <v>80</v>
      </c>
      <c r="G940" s="19">
        <v>1</v>
      </c>
      <c r="H940" s="16">
        <v>5</v>
      </c>
    </row>
    <row r="941" spans="1:8" x14ac:dyDescent="0.15">
      <c r="A941" s="19">
        <v>250.01618999999999</v>
      </c>
      <c r="B941" s="19">
        <v>450</v>
      </c>
      <c r="C941" s="19">
        <v>0.38796000000000003</v>
      </c>
      <c r="D941" s="19">
        <v>90.991100000000003</v>
      </c>
      <c r="E941" s="19">
        <v>20</v>
      </c>
      <c r="F941" s="19">
        <v>80</v>
      </c>
      <c r="G941" s="19">
        <v>1</v>
      </c>
      <c r="H941" s="16">
        <v>5</v>
      </c>
    </row>
    <row r="942" spans="1:8" x14ac:dyDescent="0.15">
      <c r="A942" s="19">
        <v>250.01430999999999</v>
      </c>
      <c r="B942" s="19">
        <v>450.5</v>
      </c>
      <c r="C942" s="19">
        <v>0.38739000000000001</v>
      </c>
      <c r="D942" s="19">
        <v>91.093239999999994</v>
      </c>
      <c r="E942" s="19">
        <v>20</v>
      </c>
      <c r="F942" s="19">
        <v>80</v>
      </c>
      <c r="G942" s="19">
        <v>1</v>
      </c>
      <c r="H942" s="16">
        <v>5</v>
      </c>
    </row>
    <row r="943" spans="1:8" x14ac:dyDescent="0.15">
      <c r="A943" s="19">
        <v>250.01527999999999</v>
      </c>
      <c r="B943" s="19">
        <v>451</v>
      </c>
      <c r="C943" s="19">
        <v>0.38843</v>
      </c>
      <c r="D943" s="19">
        <v>91.082719999999995</v>
      </c>
      <c r="E943" s="19">
        <v>20</v>
      </c>
      <c r="F943" s="19">
        <v>80</v>
      </c>
      <c r="G943" s="19">
        <v>1</v>
      </c>
      <c r="H943" s="16">
        <v>5</v>
      </c>
    </row>
    <row r="944" spans="1:8" x14ac:dyDescent="0.15">
      <c r="A944" s="19">
        <v>250.02269999999999</v>
      </c>
      <c r="B944" s="19">
        <v>451.5</v>
      </c>
      <c r="C944" s="19">
        <v>0.38688</v>
      </c>
      <c r="D944" s="19">
        <v>91.016869999999997</v>
      </c>
      <c r="E944" s="19">
        <v>20</v>
      </c>
      <c r="F944" s="19">
        <v>80</v>
      </c>
      <c r="G944" s="19">
        <v>1</v>
      </c>
      <c r="H944" s="16">
        <v>5</v>
      </c>
    </row>
    <row r="945" spans="1:8" x14ac:dyDescent="0.15">
      <c r="A945" s="19">
        <v>250.02698000000001</v>
      </c>
      <c r="B945" s="19">
        <v>452</v>
      </c>
      <c r="C945" s="19">
        <v>0.38662999999999997</v>
      </c>
      <c r="D945" s="19">
        <v>91.055679999999995</v>
      </c>
      <c r="E945" s="19">
        <v>20</v>
      </c>
      <c r="F945" s="19">
        <v>80</v>
      </c>
      <c r="G945" s="19">
        <v>1</v>
      </c>
      <c r="H945" s="16">
        <v>5</v>
      </c>
    </row>
    <row r="946" spans="1:8" x14ac:dyDescent="0.15">
      <c r="A946" s="19">
        <v>250.02421000000001</v>
      </c>
      <c r="B946" s="19">
        <v>452.5</v>
      </c>
      <c r="C946" s="19">
        <v>0.38474000000000003</v>
      </c>
      <c r="D946" s="19">
        <v>91.01961</v>
      </c>
      <c r="E946" s="19">
        <v>20</v>
      </c>
      <c r="F946" s="19">
        <v>80</v>
      </c>
      <c r="G946" s="19">
        <v>1</v>
      </c>
      <c r="H946" s="16">
        <v>5</v>
      </c>
    </row>
    <row r="947" spans="1:8" x14ac:dyDescent="0.15">
      <c r="A947" s="19">
        <v>250.02126000000001</v>
      </c>
      <c r="B947" s="19">
        <v>453</v>
      </c>
      <c r="C947" s="19">
        <v>0.38562000000000002</v>
      </c>
      <c r="D947" s="19">
        <v>91.04298</v>
      </c>
      <c r="E947" s="19">
        <v>20</v>
      </c>
      <c r="F947" s="19">
        <v>80</v>
      </c>
      <c r="G947" s="19">
        <v>1</v>
      </c>
      <c r="H947" s="16">
        <v>5</v>
      </c>
    </row>
    <row r="948" spans="1:8" x14ac:dyDescent="0.15">
      <c r="A948" s="19">
        <v>250.02177</v>
      </c>
      <c r="B948" s="19">
        <v>453.5</v>
      </c>
      <c r="C948" s="19">
        <v>0.38490000000000002</v>
      </c>
      <c r="D948" s="19">
        <v>90.944130000000001</v>
      </c>
      <c r="E948" s="19">
        <v>20</v>
      </c>
      <c r="F948" s="19">
        <v>80</v>
      </c>
      <c r="G948" s="19">
        <v>1</v>
      </c>
      <c r="H948" s="16">
        <v>5</v>
      </c>
    </row>
    <row r="949" spans="1:8" x14ac:dyDescent="0.15">
      <c r="A949" s="19">
        <v>250.02454</v>
      </c>
      <c r="B949" s="19">
        <v>454</v>
      </c>
      <c r="C949" s="19">
        <v>0.38549</v>
      </c>
      <c r="D949" s="19">
        <v>90.99915</v>
      </c>
      <c r="E949" s="19">
        <v>20</v>
      </c>
      <c r="F949" s="19">
        <v>80</v>
      </c>
      <c r="G949" s="19">
        <v>1</v>
      </c>
      <c r="H949" s="16">
        <v>5</v>
      </c>
    </row>
    <row r="950" spans="1:8" x14ac:dyDescent="0.15">
      <c r="A950" s="19">
        <v>250.02463</v>
      </c>
      <c r="B950" s="19">
        <v>454.5</v>
      </c>
      <c r="C950" s="19">
        <v>0.38557999999999998</v>
      </c>
      <c r="D950" s="19">
        <v>90.772319999999993</v>
      </c>
      <c r="E950" s="19">
        <v>20</v>
      </c>
      <c r="F950" s="19">
        <v>80</v>
      </c>
      <c r="G950" s="19">
        <v>1</v>
      </c>
      <c r="H950" s="16">
        <v>5</v>
      </c>
    </row>
    <row r="951" spans="1:8" x14ac:dyDescent="0.15">
      <c r="A951" s="19">
        <v>250.02289999999999</v>
      </c>
      <c r="B951" s="19">
        <v>455</v>
      </c>
      <c r="C951" s="19">
        <v>0.38474000000000003</v>
      </c>
      <c r="D951" s="19">
        <v>90.882959999999997</v>
      </c>
      <c r="E951" s="19">
        <v>20</v>
      </c>
      <c r="F951" s="19">
        <v>80</v>
      </c>
      <c r="G951" s="19">
        <v>1</v>
      </c>
      <c r="H951" s="16">
        <v>5</v>
      </c>
    </row>
    <row r="952" spans="1:8" x14ac:dyDescent="0.15">
      <c r="A952" s="19">
        <v>250.01979</v>
      </c>
      <c r="B952" s="19">
        <v>455.5</v>
      </c>
      <c r="C952" s="19">
        <v>0.38491999999999998</v>
      </c>
      <c r="D952" s="19">
        <v>90.915019999999998</v>
      </c>
      <c r="E952" s="19">
        <v>20</v>
      </c>
      <c r="F952" s="19">
        <v>80</v>
      </c>
      <c r="G952" s="19">
        <v>1</v>
      </c>
      <c r="H952" s="16">
        <v>5</v>
      </c>
    </row>
    <row r="953" spans="1:8" x14ac:dyDescent="0.15">
      <c r="A953" s="19">
        <v>250.01792</v>
      </c>
      <c r="B953" s="19">
        <v>456</v>
      </c>
      <c r="C953" s="19">
        <v>0.38375999999999999</v>
      </c>
      <c r="D953" s="19">
        <v>90.898200000000003</v>
      </c>
      <c r="E953" s="19">
        <v>20</v>
      </c>
      <c r="F953" s="19">
        <v>80</v>
      </c>
      <c r="G953" s="19">
        <v>1</v>
      </c>
      <c r="H953" s="16">
        <v>5</v>
      </c>
    </row>
    <row r="954" spans="1:8" x14ac:dyDescent="0.15">
      <c r="A954" s="19">
        <v>250.01781</v>
      </c>
      <c r="B954" s="19">
        <v>456.5</v>
      </c>
      <c r="C954" s="19">
        <v>0.38367000000000001</v>
      </c>
      <c r="D954" s="19">
        <v>90.882549999999995</v>
      </c>
      <c r="E954" s="19">
        <v>20</v>
      </c>
      <c r="F954" s="19">
        <v>80</v>
      </c>
      <c r="G954" s="19">
        <v>1</v>
      </c>
      <c r="H954" s="16">
        <v>5</v>
      </c>
    </row>
    <row r="955" spans="1:8" x14ac:dyDescent="0.15">
      <c r="A955" s="19">
        <v>250.01519999999999</v>
      </c>
      <c r="B955" s="19">
        <v>457</v>
      </c>
      <c r="C955" s="19">
        <v>0.38262000000000002</v>
      </c>
      <c r="D955" s="19">
        <v>90.827860000000001</v>
      </c>
      <c r="E955" s="19">
        <v>20</v>
      </c>
      <c r="F955" s="19">
        <v>80</v>
      </c>
      <c r="G955" s="19">
        <v>1</v>
      </c>
      <c r="H955" s="16">
        <v>5</v>
      </c>
    </row>
    <row r="956" spans="1:8" x14ac:dyDescent="0.15">
      <c r="A956" s="19">
        <v>250.01265000000001</v>
      </c>
      <c r="B956" s="19">
        <v>457.5</v>
      </c>
      <c r="C956" s="19">
        <v>0.38325999999999999</v>
      </c>
      <c r="D956" s="19">
        <v>90.925569999999993</v>
      </c>
      <c r="E956" s="19">
        <v>20</v>
      </c>
      <c r="F956" s="19">
        <v>80</v>
      </c>
      <c r="G956" s="19">
        <v>1</v>
      </c>
      <c r="H956" s="16">
        <v>5</v>
      </c>
    </row>
    <row r="957" spans="1:8" x14ac:dyDescent="0.15">
      <c r="A957" s="19">
        <v>250.00890000000001</v>
      </c>
      <c r="B957" s="19">
        <v>458</v>
      </c>
      <c r="C957" s="19">
        <v>0.38422000000000001</v>
      </c>
      <c r="D957" s="19">
        <v>90.911280000000005</v>
      </c>
      <c r="E957" s="19">
        <v>20</v>
      </c>
      <c r="F957" s="19">
        <v>80</v>
      </c>
      <c r="G957" s="19">
        <v>1</v>
      </c>
      <c r="H957" s="16">
        <v>5</v>
      </c>
    </row>
    <row r="958" spans="1:8" x14ac:dyDescent="0.15">
      <c r="A958" s="19">
        <v>250.0127</v>
      </c>
      <c r="B958" s="19">
        <v>458.5</v>
      </c>
      <c r="C958" s="19">
        <v>0.38550000000000001</v>
      </c>
      <c r="D958" s="19">
        <v>90.923640000000006</v>
      </c>
      <c r="E958" s="19">
        <v>20</v>
      </c>
      <c r="F958" s="19">
        <v>80</v>
      </c>
      <c r="G958" s="19">
        <v>1</v>
      </c>
      <c r="H958" s="16">
        <v>5</v>
      </c>
    </row>
    <row r="959" spans="1:8" x14ac:dyDescent="0.15">
      <c r="A959" s="19">
        <v>250.01751999999999</v>
      </c>
      <c r="B959" s="19">
        <v>459</v>
      </c>
      <c r="C959" s="19">
        <v>0.38421</v>
      </c>
      <c r="D959" s="19">
        <v>90.88158</v>
      </c>
      <c r="E959" s="19">
        <v>20</v>
      </c>
      <c r="F959" s="19">
        <v>80</v>
      </c>
      <c r="G959" s="19">
        <v>1</v>
      </c>
      <c r="H959" s="16">
        <v>5</v>
      </c>
    </row>
    <row r="960" spans="1:8" x14ac:dyDescent="0.15">
      <c r="A960" s="19">
        <v>250.02126000000001</v>
      </c>
      <c r="B960" s="19">
        <v>459.5</v>
      </c>
      <c r="C960" s="19">
        <v>0.38524000000000003</v>
      </c>
      <c r="D960" s="19">
        <v>90.805629999999994</v>
      </c>
      <c r="E960" s="19">
        <v>20</v>
      </c>
      <c r="F960" s="19">
        <v>80</v>
      </c>
      <c r="G960" s="19">
        <v>1</v>
      </c>
      <c r="H960" s="16">
        <v>5</v>
      </c>
    </row>
    <row r="961" spans="1:8" x14ac:dyDescent="0.15">
      <c r="A961" s="19">
        <v>250.02471</v>
      </c>
      <c r="B961" s="19">
        <v>460</v>
      </c>
      <c r="C961" s="19">
        <v>0.38396000000000002</v>
      </c>
      <c r="D961" s="19">
        <v>90.890870000000007</v>
      </c>
      <c r="E961" s="19">
        <v>20</v>
      </c>
      <c r="F961" s="19">
        <v>80</v>
      </c>
      <c r="G961" s="19">
        <v>1</v>
      </c>
      <c r="H961" s="16">
        <v>5</v>
      </c>
    </row>
    <row r="962" spans="1:8" x14ac:dyDescent="0.15">
      <c r="A962" s="19">
        <v>250.02331000000001</v>
      </c>
      <c r="B962" s="19">
        <v>460.5</v>
      </c>
      <c r="C962" s="19">
        <v>0.38216</v>
      </c>
      <c r="D962" s="19">
        <v>90.810169999999999</v>
      </c>
      <c r="E962" s="19">
        <v>20</v>
      </c>
      <c r="F962" s="19">
        <v>80</v>
      </c>
      <c r="G962" s="19">
        <v>1</v>
      </c>
      <c r="H962" s="16">
        <v>5</v>
      </c>
    </row>
    <row r="963" spans="1:8" x14ac:dyDescent="0.15">
      <c r="A963" s="19">
        <v>250.02168</v>
      </c>
      <c r="B963" s="19">
        <v>461</v>
      </c>
      <c r="C963" s="19">
        <v>0.38183</v>
      </c>
      <c r="D963" s="19">
        <v>90.873310000000004</v>
      </c>
      <c r="E963" s="19">
        <v>20</v>
      </c>
      <c r="F963" s="19">
        <v>80</v>
      </c>
      <c r="G963" s="19">
        <v>1</v>
      </c>
      <c r="H963" s="16">
        <v>5</v>
      </c>
    </row>
    <row r="964" spans="1:8" x14ac:dyDescent="0.15">
      <c r="A964" s="19">
        <v>250.02196000000001</v>
      </c>
      <c r="B964" s="19">
        <v>461.5</v>
      </c>
      <c r="C964" s="19">
        <v>0.38346999999999998</v>
      </c>
      <c r="D964" s="19">
        <v>90.754000000000005</v>
      </c>
      <c r="E964" s="19">
        <v>20</v>
      </c>
      <c r="F964" s="19">
        <v>80</v>
      </c>
      <c r="G964" s="19">
        <v>1</v>
      </c>
      <c r="H964" s="16">
        <v>5</v>
      </c>
    </row>
    <row r="965" spans="1:8" x14ac:dyDescent="0.15">
      <c r="A965" s="19">
        <v>250.02180999999999</v>
      </c>
      <c r="B965" s="19">
        <v>462</v>
      </c>
      <c r="C965" s="19">
        <v>0.38396999999999998</v>
      </c>
      <c r="D965" s="19">
        <v>90.856449999999995</v>
      </c>
      <c r="E965" s="19">
        <v>20</v>
      </c>
      <c r="F965" s="19">
        <v>80</v>
      </c>
      <c r="G965" s="19">
        <v>1</v>
      </c>
      <c r="H965" s="16">
        <v>5</v>
      </c>
    </row>
    <row r="966" spans="1:8" x14ac:dyDescent="0.15">
      <c r="A966" s="19">
        <v>250.02047999999999</v>
      </c>
      <c r="B966" s="19">
        <v>462.5</v>
      </c>
      <c r="C966" s="19">
        <v>0.38225999999999999</v>
      </c>
      <c r="D966" s="19">
        <v>90.827349999999996</v>
      </c>
      <c r="E966" s="19">
        <v>20</v>
      </c>
      <c r="F966" s="19">
        <v>80</v>
      </c>
      <c r="G966" s="19">
        <v>1</v>
      </c>
      <c r="H966" s="16">
        <v>5</v>
      </c>
    </row>
    <row r="967" spans="1:8" x14ac:dyDescent="0.15">
      <c r="A967" s="19">
        <v>250.02064999999999</v>
      </c>
      <c r="B967" s="19">
        <v>463</v>
      </c>
      <c r="C967" s="19">
        <v>0.38284000000000001</v>
      </c>
      <c r="D967" s="19">
        <v>90.782160000000005</v>
      </c>
      <c r="E967" s="19">
        <v>20</v>
      </c>
      <c r="F967" s="19">
        <v>80</v>
      </c>
      <c r="G967" s="19">
        <v>1</v>
      </c>
      <c r="H967" s="16">
        <v>5</v>
      </c>
    </row>
    <row r="968" spans="1:8" x14ac:dyDescent="0.15">
      <c r="A968" s="19">
        <v>250.01652000000001</v>
      </c>
      <c r="B968" s="19">
        <v>463.5</v>
      </c>
      <c r="C968" s="19">
        <v>0.38346999999999998</v>
      </c>
      <c r="D968" s="19">
        <v>90.704989999999995</v>
      </c>
      <c r="E968" s="19">
        <v>20</v>
      </c>
      <c r="F968" s="19">
        <v>80</v>
      </c>
      <c r="G968" s="19">
        <v>1</v>
      </c>
      <c r="H968" s="16">
        <v>5</v>
      </c>
    </row>
    <row r="969" spans="1:8" x14ac:dyDescent="0.15">
      <c r="A969" s="19">
        <v>250.01474999999999</v>
      </c>
      <c r="B969" s="19">
        <v>464</v>
      </c>
      <c r="C969" s="19">
        <v>0.38312000000000002</v>
      </c>
      <c r="D969" s="19">
        <v>90.650270000000006</v>
      </c>
      <c r="E969" s="19">
        <v>20</v>
      </c>
      <c r="F969" s="19">
        <v>80</v>
      </c>
      <c r="G969" s="19">
        <v>1</v>
      </c>
      <c r="H969" s="16">
        <v>5</v>
      </c>
    </row>
    <row r="970" spans="1:8" x14ac:dyDescent="0.15">
      <c r="A970" s="19">
        <v>250.01291000000001</v>
      </c>
      <c r="B970" s="19">
        <v>464.5</v>
      </c>
      <c r="C970" s="19">
        <v>0.38350000000000001</v>
      </c>
      <c r="D970" s="19">
        <v>90.766850000000005</v>
      </c>
      <c r="E970" s="19">
        <v>20</v>
      </c>
      <c r="F970" s="19">
        <v>80</v>
      </c>
      <c r="G970" s="19">
        <v>1</v>
      </c>
      <c r="H970" s="16">
        <v>5</v>
      </c>
    </row>
    <row r="971" spans="1:8" x14ac:dyDescent="0.15">
      <c r="A971" s="19">
        <v>250.01224999999999</v>
      </c>
      <c r="B971" s="19">
        <v>465</v>
      </c>
      <c r="C971" s="19">
        <v>0.3846</v>
      </c>
      <c r="D971" s="19">
        <v>90.759389999999996</v>
      </c>
      <c r="E971" s="19">
        <v>20</v>
      </c>
      <c r="F971" s="19">
        <v>80</v>
      </c>
      <c r="G971" s="19">
        <v>1</v>
      </c>
      <c r="H971" s="16">
        <v>5</v>
      </c>
    </row>
    <row r="972" spans="1:8" x14ac:dyDescent="0.15">
      <c r="A972" s="19">
        <v>250.0136</v>
      </c>
      <c r="B972" s="19">
        <v>465.5</v>
      </c>
      <c r="C972" s="19">
        <v>0.38427</v>
      </c>
      <c r="D972" s="19">
        <v>90.61354</v>
      </c>
      <c r="E972" s="19">
        <v>20</v>
      </c>
      <c r="F972" s="19">
        <v>80</v>
      </c>
      <c r="G972" s="19">
        <v>1</v>
      </c>
      <c r="H972" s="16">
        <v>5</v>
      </c>
    </row>
    <row r="973" spans="1:8" x14ac:dyDescent="0.15">
      <c r="A973" s="19">
        <v>250.01757000000001</v>
      </c>
      <c r="B973" s="19">
        <v>466</v>
      </c>
      <c r="C973" s="19">
        <v>0.38263000000000003</v>
      </c>
      <c r="D973" s="19">
        <v>90.678839999999994</v>
      </c>
      <c r="E973" s="19">
        <v>20</v>
      </c>
      <c r="F973" s="19">
        <v>80</v>
      </c>
      <c r="G973" s="19">
        <v>1</v>
      </c>
      <c r="H973" s="16">
        <v>5</v>
      </c>
    </row>
    <row r="974" spans="1:8" x14ac:dyDescent="0.15">
      <c r="A974" s="19">
        <v>250.01521</v>
      </c>
      <c r="B974" s="19">
        <v>466.5</v>
      </c>
      <c r="C974" s="19">
        <v>0.38306000000000001</v>
      </c>
      <c r="D974" s="19">
        <v>90.659239999999997</v>
      </c>
      <c r="E974" s="19">
        <v>20</v>
      </c>
      <c r="F974" s="19">
        <v>80</v>
      </c>
      <c r="G974" s="19">
        <v>1</v>
      </c>
      <c r="H974" s="16">
        <v>5</v>
      </c>
    </row>
    <row r="975" spans="1:8" x14ac:dyDescent="0.15">
      <c r="A975" s="19">
        <v>250.01446999999999</v>
      </c>
      <c r="B975" s="19">
        <v>467</v>
      </c>
      <c r="C975" s="19">
        <v>0.38252999999999998</v>
      </c>
      <c r="D975" s="19">
        <v>90.882769999999994</v>
      </c>
      <c r="E975" s="19">
        <v>20</v>
      </c>
      <c r="F975" s="19">
        <v>80</v>
      </c>
      <c r="G975" s="19">
        <v>1</v>
      </c>
      <c r="H975" s="16">
        <v>5</v>
      </c>
    </row>
    <row r="976" spans="1:8" x14ac:dyDescent="0.15">
      <c r="A976" s="19">
        <v>250.01687000000001</v>
      </c>
      <c r="B976" s="19">
        <v>467.5</v>
      </c>
      <c r="C976" s="19">
        <v>0.38285000000000002</v>
      </c>
      <c r="D976" s="19">
        <v>90.650559999999999</v>
      </c>
      <c r="E976" s="19">
        <v>20</v>
      </c>
      <c r="F976" s="19">
        <v>80</v>
      </c>
      <c r="G976" s="19">
        <v>1</v>
      </c>
      <c r="H976" s="16">
        <v>5</v>
      </c>
    </row>
    <row r="977" spans="1:8" x14ac:dyDescent="0.15">
      <c r="A977" s="19">
        <v>250.01347000000001</v>
      </c>
      <c r="B977" s="19">
        <v>468</v>
      </c>
      <c r="C977" s="19">
        <v>0.38127</v>
      </c>
      <c r="D977" s="19">
        <v>90.584389999999999</v>
      </c>
      <c r="E977" s="19">
        <v>20</v>
      </c>
      <c r="F977" s="19">
        <v>80</v>
      </c>
      <c r="G977" s="19">
        <v>1</v>
      </c>
      <c r="H977" s="16">
        <v>5</v>
      </c>
    </row>
    <row r="978" spans="1:8" x14ac:dyDescent="0.15">
      <c r="A978" s="19">
        <v>250.01259999999999</v>
      </c>
      <c r="B978" s="19">
        <v>468.5</v>
      </c>
      <c r="C978" s="19">
        <v>0.38211000000000001</v>
      </c>
      <c r="D978" s="19">
        <v>90.725859999999997</v>
      </c>
      <c r="E978" s="19">
        <v>20</v>
      </c>
      <c r="F978" s="19">
        <v>80</v>
      </c>
      <c r="G978" s="19">
        <v>1</v>
      </c>
      <c r="H978" s="16">
        <v>5</v>
      </c>
    </row>
    <row r="979" spans="1:8" x14ac:dyDescent="0.15">
      <c r="A979" s="19">
        <v>250.01541</v>
      </c>
      <c r="B979" s="19">
        <v>469</v>
      </c>
      <c r="C979" s="19">
        <v>0.38214999999999999</v>
      </c>
      <c r="D979" s="19">
        <v>90.584050000000005</v>
      </c>
      <c r="E979" s="19">
        <v>20</v>
      </c>
      <c r="F979" s="19">
        <v>80</v>
      </c>
      <c r="G979" s="19">
        <v>1</v>
      </c>
      <c r="H979" s="16">
        <v>5</v>
      </c>
    </row>
    <row r="980" spans="1:8" x14ac:dyDescent="0.15">
      <c r="A980" s="19">
        <v>250.01732999999999</v>
      </c>
      <c r="B980" s="19">
        <v>469.5</v>
      </c>
      <c r="C980" s="19">
        <v>0.38169999999999998</v>
      </c>
      <c r="D980" s="19">
        <v>90.697950000000006</v>
      </c>
      <c r="E980" s="19">
        <v>20</v>
      </c>
      <c r="F980" s="19">
        <v>80</v>
      </c>
      <c r="G980" s="19">
        <v>1</v>
      </c>
      <c r="H980" s="16">
        <v>5</v>
      </c>
    </row>
    <row r="981" spans="1:8" x14ac:dyDescent="0.15">
      <c r="A981" s="19">
        <v>250.01489000000001</v>
      </c>
      <c r="B981" s="19">
        <v>470</v>
      </c>
      <c r="C981" s="19">
        <v>0.38255</v>
      </c>
      <c r="D981" s="19">
        <v>90.719139999999996</v>
      </c>
      <c r="E981" s="19">
        <v>20</v>
      </c>
      <c r="F981" s="19">
        <v>80</v>
      </c>
      <c r="G981" s="19">
        <v>1</v>
      </c>
      <c r="H981" s="16">
        <v>5</v>
      </c>
    </row>
    <row r="982" spans="1:8" x14ac:dyDescent="0.15">
      <c r="A982" s="19">
        <v>250.01049</v>
      </c>
      <c r="B982" s="19">
        <v>470.5</v>
      </c>
      <c r="C982" s="19">
        <v>0.38120999999999999</v>
      </c>
      <c r="D982" s="19">
        <v>90.537289999999999</v>
      </c>
      <c r="E982" s="19">
        <v>20</v>
      </c>
      <c r="F982" s="19">
        <v>80</v>
      </c>
      <c r="G982" s="19">
        <v>1</v>
      </c>
      <c r="H982" s="16">
        <v>5</v>
      </c>
    </row>
    <row r="983" spans="1:8" x14ac:dyDescent="0.15">
      <c r="A983" s="19">
        <v>250.00877</v>
      </c>
      <c r="B983" s="19">
        <v>471</v>
      </c>
      <c r="C983" s="19">
        <v>0.38228000000000001</v>
      </c>
      <c r="D983" s="19">
        <v>90.612430000000003</v>
      </c>
      <c r="E983" s="19">
        <v>20</v>
      </c>
      <c r="F983" s="19">
        <v>80</v>
      </c>
      <c r="G983" s="19">
        <v>1</v>
      </c>
      <c r="H983" s="16">
        <v>5</v>
      </c>
    </row>
    <row r="984" spans="1:8" x14ac:dyDescent="0.15">
      <c r="A984" s="19">
        <v>250.00990999999999</v>
      </c>
      <c r="B984" s="19">
        <v>471.5</v>
      </c>
      <c r="C984" s="19">
        <v>0.38194</v>
      </c>
      <c r="D984" s="19">
        <v>90.631370000000004</v>
      </c>
      <c r="E984" s="19">
        <v>20</v>
      </c>
      <c r="F984" s="19">
        <v>80</v>
      </c>
      <c r="G984" s="19">
        <v>1</v>
      </c>
      <c r="H984" s="16">
        <v>5</v>
      </c>
    </row>
    <row r="985" spans="1:8" x14ac:dyDescent="0.15">
      <c r="A985" s="19">
        <v>250.00543999999999</v>
      </c>
      <c r="B985" s="19">
        <v>472</v>
      </c>
      <c r="C985" s="19">
        <v>0.38186999999999999</v>
      </c>
      <c r="D985" s="19">
        <v>90.502769999999998</v>
      </c>
      <c r="E985" s="19">
        <v>20</v>
      </c>
      <c r="F985" s="19">
        <v>80</v>
      </c>
      <c r="G985" s="19">
        <v>1</v>
      </c>
      <c r="H985" s="16">
        <v>5</v>
      </c>
    </row>
    <row r="986" spans="1:8" x14ac:dyDescent="0.15">
      <c r="A986" s="19">
        <v>250.00715</v>
      </c>
      <c r="B986" s="19">
        <v>472.5</v>
      </c>
      <c r="C986" s="19">
        <v>0.38207999999999998</v>
      </c>
      <c r="D986" s="19">
        <v>90.575559999999996</v>
      </c>
      <c r="E986" s="19">
        <v>20</v>
      </c>
      <c r="F986" s="19">
        <v>80</v>
      </c>
      <c r="G986" s="19">
        <v>1</v>
      </c>
      <c r="H986" s="16">
        <v>5</v>
      </c>
    </row>
    <row r="987" spans="1:8" x14ac:dyDescent="0.15">
      <c r="A987" s="19">
        <v>250.01113000000001</v>
      </c>
      <c r="B987" s="19">
        <v>473</v>
      </c>
      <c r="C987" s="19">
        <v>0.38188</v>
      </c>
      <c r="D987" s="19">
        <v>90.562010000000001</v>
      </c>
      <c r="E987" s="19">
        <v>20</v>
      </c>
      <c r="F987" s="19">
        <v>80</v>
      </c>
      <c r="G987" s="19">
        <v>1</v>
      </c>
      <c r="H987" s="16">
        <v>5</v>
      </c>
    </row>
    <row r="988" spans="1:8" x14ac:dyDescent="0.15">
      <c r="A988" s="19">
        <v>250.01087000000001</v>
      </c>
      <c r="B988" s="19">
        <v>473.5</v>
      </c>
      <c r="C988" s="19">
        <v>0.38108999999999998</v>
      </c>
      <c r="D988" s="19">
        <v>90.541979999999995</v>
      </c>
      <c r="E988" s="19">
        <v>20</v>
      </c>
      <c r="F988" s="19">
        <v>80</v>
      </c>
      <c r="G988" s="19">
        <v>1</v>
      </c>
      <c r="H988" s="16">
        <v>5</v>
      </c>
    </row>
    <row r="989" spans="1:8" x14ac:dyDescent="0.15">
      <c r="A989" s="19">
        <v>250.01321999999999</v>
      </c>
      <c r="B989" s="19">
        <v>474</v>
      </c>
      <c r="C989" s="19">
        <v>0.38129999999999997</v>
      </c>
      <c r="D989" s="19">
        <v>90.393600000000006</v>
      </c>
      <c r="E989" s="19">
        <v>20</v>
      </c>
      <c r="F989" s="19">
        <v>80</v>
      </c>
      <c r="G989" s="19">
        <v>1</v>
      </c>
      <c r="H989" s="16">
        <v>5</v>
      </c>
    </row>
    <row r="990" spans="1:8" x14ac:dyDescent="0.15">
      <c r="A990" s="19">
        <v>250.01535000000001</v>
      </c>
      <c r="B990" s="19">
        <v>474.5</v>
      </c>
      <c r="C990" s="19">
        <v>0.38201000000000002</v>
      </c>
      <c r="D990" s="19">
        <v>90.508359999999996</v>
      </c>
      <c r="E990" s="19">
        <v>20</v>
      </c>
      <c r="F990" s="19">
        <v>80</v>
      </c>
      <c r="G990" s="19">
        <v>1</v>
      </c>
      <c r="H990" s="16">
        <v>5</v>
      </c>
    </row>
    <row r="991" spans="1:8" x14ac:dyDescent="0.15">
      <c r="A991" s="19">
        <v>250.01618999999999</v>
      </c>
      <c r="B991" s="19">
        <v>475</v>
      </c>
      <c r="C991" s="19">
        <v>0.38207000000000002</v>
      </c>
      <c r="D991" s="19">
        <v>90.428210000000007</v>
      </c>
      <c r="E991" s="19">
        <v>20</v>
      </c>
      <c r="F991" s="19">
        <v>80</v>
      </c>
      <c r="G991" s="19">
        <v>1</v>
      </c>
      <c r="H991" s="16">
        <v>5</v>
      </c>
    </row>
    <row r="992" spans="1:8" x14ac:dyDescent="0.15">
      <c r="A992" s="19">
        <v>250.01823999999999</v>
      </c>
      <c r="B992" s="19">
        <v>475.5</v>
      </c>
      <c r="C992" s="19">
        <v>0.38052000000000002</v>
      </c>
      <c r="D992" s="19">
        <v>90.523830000000004</v>
      </c>
      <c r="E992" s="19">
        <v>20</v>
      </c>
      <c r="F992" s="19">
        <v>80</v>
      </c>
      <c r="G992" s="19">
        <v>1</v>
      </c>
      <c r="H992" s="16">
        <v>5</v>
      </c>
    </row>
    <row r="993" spans="1:8" x14ac:dyDescent="0.15">
      <c r="A993" s="19">
        <v>250.01563999999999</v>
      </c>
      <c r="B993" s="19">
        <v>476</v>
      </c>
      <c r="C993" s="19">
        <v>0.38124000000000002</v>
      </c>
      <c r="D993" s="19">
        <v>90.524370000000005</v>
      </c>
      <c r="E993" s="19">
        <v>20</v>
      </c>
      <c r="F993" s="19">
        <v>80</v>
      </c>
      <c r="G993" s="19">
        <v>1</v>
      </c>
      <c r="H993" s="16">
        <v>5</v>
      </c>
    </row>
    <row r="994" spans="1:8" x14ac:dyDescent="0.15">
      <c r="A994" s="19">
        <v>250.01445000000001</v>
      </c>
      <c r="B994" s="19">
        <v>476.5</v>
      </c>
      <c r="C994" s="19">
        <v>0.38153999999999999</v>
      </c>
      <c r="D994" s="19">
        <v>90.512680000000003</v>
      </c>
      <c r="E994" s="19">
        <v>20</v>
      </c>
      <c r="F994" s="19">
        <v>80</v>
      </c>
      <c r="G994" s="19">
        <v>1</v>
      </c>
      <c r="H994" s="16">
        <v>5</v>
      </c>
    </row>
    <row r="995" spans="1:8" x14ac:dyDescent="0.15">
      <c r="A995" s="19">
        <v>250.0164</v>
      </c>
      <c r="B995" s="19">
        <v>477</v>
      </c>
      <c r="C995" s="19">
        <v>0.38152000000000003</v>
      </c>
      <c r="D995" s="19">
        <v>90.462959999999995</v>
      </c>
      <c r="E995" s="19">
        <v>20</v>
      </c>
      <c r="F995" s="19">
        <v>80</v>
      </c>
      <c r="G995" s="19">
        <v>1</v>
      </c>
      <c r="H995" s="16">
        <v>5</v>
      </c>
    </row>
    <row r="996" spans="1:8" x14ac:dyDescent="0.15">
      <c r="A996" s="19">
        <v>250.01495</v>
      </c>
      <c r="B996" s="19">
        <v>477.5</v>
      </c>
      <c r="C996" s="19">
        <v>0.38235999999999998</v>
      </c>
      <c r="D996" s="19">
        <v>90.411940000000001</v>
      </c>
      <c r="E996" s="19">
        <v>20</v>
      </c>
      <c r="F996" s="19">
        <v>80</v>
      </c>
      <c r="G996" s="19">
        <v>1</v>
      </c>
      <c r="H996" s="16">
        <v>5</v>
      </c>
    </row>
    <row r="997" spans="1:8" x14ac:dyDescent="0.15">
      <c r="A997" s="19">
        <v>250.01562000000001</v>
      </c>
      <c r="B997" s="19">
        <v>478</v>
      </c>
      <c r="C997" s="19">
        <v>0.38146999999999998</v>
      </c>
      <c r="D997" s="19">
        <v>90.554519999999997</v>
      </c>
      <c r="E997" s="19">
        <v>20</v>
      </c>
      <c r="F997" s="19">
        <v>80</v>
      </c>
      <c r="G997" s="19">
        <v>1</v>
      </c>
      <c r="H997" s="16">
        <v>5</v>
      </c>
    </row>
    <row r="998" spans="1:8" x14ac:dyDescent="0.15">
      <c r="A998" s="19">
        <v>250.01614000000001</v>
      </c>
      <c r="B998" s="19">
        <v>478.5</v>
      </c>
      <c r="C998" s="19">
        <v>0.38202999999999998</v>
      </c>
      <c r="D998" s="19">
        <v>90.351560000000006</v>
      </c>
      <c r="E998" s="19">
        <v>20</v>
      </c>
      <c r="F998" s="19">
        <v>80</v>
      </c>
      <c r="G998" s="19">
        <v>1</v>
      </c>
      <c r="H998" s="16">
        <v>5</v>
      </c>
    </row>
    <row r="999" spans="1:8" x14ac:dyDescent="0.15">
      <c r="A999" s="19">
        <v>250.01791</v>
      </c>
      <c r="B999" s="19">
        <v>479</v>
      </c>
      <c r="C999" s="19">
        <v>0.38153999999999999</v>
      </c>
      <c r="D999" s="19">
        <v>90.410110000000003</v>
      </c>
      <c r="E999" s="19">
        <v>20</v>
      </c>
      <c r="F999" s="19">
        <v>80</v>
      </c>
      <c r="G999" s="19">
        <v>1</v>
      </c>
      <c r="H999" s="16">
        <v>5</v>
      </c>
    </row>
    <row r="1000" spans="1:8" x14ac:dyDescent="0.15">
      <c r="A1000" s="19">
        <v>250.01964000000001</v>
      </c>
      <c r="B1000" s="19">
        <v>479.5</v>
      </c>
      <c r="C1000" s="19">
        <v>0.38166</v>
      </c>
      <c r="D1000" s="19">
        <v>90.413970000000006</v>
      </c>
      <c r="E1000" s="19">
        <v>20</v>
      </c>
      <c r="F1000" s="19">
        <v>80</v>
      </c>
      <c r="G1000" s="19">
        <v>1</v>
      </c>
      <c r="H1000" s="16">
        <v>5</v>
      </c>
    </row>
    <row r="1001" spans="1:8" x14ac:dyDescent="0.15">
      <c r="A1001" s="19">
        <v>250.0206</v>
      </c>
      <c r="B1001" s="19">
        <v>480</v>
      </c>
      <c r="C1001" s="19">
        <v>0.38070999999999999</v>
      </c>
      <c r="D1001" s="19">
        <v>90.501000000000005</v>
      </c>
      <c r="E1001" s="19">
        <v>20</v>
      </c>
      <c r="F1001" s="19">
        <v>80</v>
      </c>
      <c r="G1001" s="19">
        <v>1</v>
      </c>
      <c r="H1001" s="16">
        <v>5</v>
      </c>
    </row>
    <row r="1002" spans="1:8" x14ac:dyDescent="0.15">
      <c r="A1002" s="19">
        <v>250.01994999999999</v>
      </c>
      <c r="B1002" s="19">
        <v>480.5</v>
      </c>
      <c r="C1002" s="19">
        <v>0.38102999999999998</v>
      </c>
      <c r="D1002" s="19">
        <v>90.304500000000004</v>
      </c>
      <c r="E1002" s="19">
        <v>20</v>
      </c>
      <c r="F1002" s="19">
        <v>80</v>
      </c>
      <c r="G1002" s="19">
        <v>1</v>
      </c>
      <c r="H1002" s="16">
        <v>5</v>
      </c>
    </row>
    <row r="1003" spans="1:8" x14ac:dyDescent="0.15">
      <c r="A1003" s="19">
        <v>250.02</v>
      </c>
      <c r="B1003" s="19">
        <v>481</v>
      </c>
      <c r="C1003" s="19">
        <v>0.38085000000000002</v>
      </c>
      <c r="D1003" s="19">
        <v>90.404340000000005</v>
      </c>
      <c r="E1003" s="19">
        <v>20</v>
      </c>
      <c r="F1003" s="19">
        <v>80</v>
      </c>
      <c r="G1003" s="19">
        <v>1</v>
      </c>
      <c r="H1003" s="16">
        <v>5</v>
      </c>
    </row>
    <row r="1004" spans="1:8" x14ac:dyDescent="0.15">
      <c r="A1004" s="19">
        <v>250.02089000000001</v>
      </c>
      <c r="B1004" s="19">
        <v>481.5</v>
      </c>
      <c r="C1004" s="19">
        <v>0.38052999999999998</v>
      </c>
      <c r="D1004" s="19">
        <v>90.261870000000002</v>
      </c>
      <c r="E1004" s="19">
        <v>20</v>
      </c>
      <c r="F1004" s="19">
        <v>80</v>
      </c>
      <c r="G1004" s="19">
        <v>1</v>
      </c>
      <c r="H1004" s="16">
        <v>5</v>
      </c>
    </row>
    <row r="1005" spans="1:8" x14ac:dyDescent="0.15">
      <c r="A1005" s="19">
        <v>250.01804000000001</v>
      </c>
      <c r="B1005" s="19">
        <v>482</v>
      </c>
      <c r="C1005" s="19">
        <v>0.38083</v>
      </c>
      <c r="D1005" s="19">
        <v>90.385419999999996</v>
      </c>
      <c r="E1005" s="19">
        <v>20</v>
      </c>
      <c r="F1005" s="19">
        <v>80</v>
      </c>
      <c r="G1005" s="19">
        <v>1</v>
      </c>
      <c r="H1005" s="16">
        <v>5</v>
      </c>
    </row>
    <row r="1006" spans="1:8" x14ac:dyDescent="0.15">
      <c r="A1006" s="19">
        <v>250.01582999999999</v>
      </c>
      <c r="B1006" s="19">
        <v>482.5</v>
      </c>
      <c r="C1006" s="19">
        <v>0.38083</v>
      </c>
      <c r="D1006" s="19">
        <v>90.391530000000003</v>
      </c>
      <c r="E1006" s="19">
        <v>20</v>
      </c>
      <c r="F1006" s="19">
        <v>80</v>
      </c>
      <c r="G1006" s="19">
        <v>1</v>
      </c>
      <c r="H1006" s="16">
        <v>5</v>
      </c>
    </row>
    <row r="1007" spans="1:8" x14ac:dyDescent="0.15">
      <c r="A1007" s="19">
        <v>250.01684</v>
      </c>
      <c r="B1007" s="19">
        <v>483</v>
      </c>
      <c r="C1007" s="19">
        <v>0.38047999999999998</v>
      </c>
      <c r="D1007" s="19">
        <v>90.392330000000001</v>
      </c>
      <c r="E1007" s="19">
        <v>20</v>
      </c>
      <c r="F1007" s="19">
        <v>80</v>
      </c>
      <c r="G1007" s="19">
        <v>1</v>
      </c>
      <c r="H1007" s="16">
        <v>5</v>
      </c>
    </row>
    <row r="1008" spans="1:8" x14ac:dyDescent="0.15">
      <c r="A1008" s="19">
        <v>250.01623000000001</v>
      </c>
      <c r="B1008" s="19">
        <v>483.5</v>
      </c>
      <c r="C1008" s="19">
        <v>0.38055</v>
      </c>
      <c r="D1008" s="19">
        <v>90.377070000000003</v>
      </c>
      <c r="E1008" s="19">
        <v>20</v>
      </c>
      <c r="F1008" s="19">
        <v>80</v>
      </c>
      <c r="G1008" s="19">
        <v>1</v>
      </c>
      <c r="H1008" s="16">
        <v>5</v>
      </c>
    </row>
    <row r="1009" spans="1:8" x14ac:dyDescent="0.15">
      <c r="A1009" s="19">
        <v>250.01363000000001</v>
      </c>
      <c r="B1009" s="19">
        <v>484</v>
      </c>
      <c r="C1009" s="19">
        <v>0.38002000000000002</v>
      </c>
      <c r="D1009" s="19">
        <v>90.312219999999996</v>
      </c>
      <c r="E1009" s="19">
        <v>20</v>
      </c>
      <c r="F1009" s="19">
        <v>80</v>
      </c>
      <c r="G1009" s="19">
        <v>1</v>
      </c>
      <c r="H1009" s="16">
        <v>5</v>
      </c>
    </row>
    <row r="1010" spans="1:8" x14ac:dyDescent="0.15">
      <c r="A1010" s="19">
        <v>250.01585</v>
      </c>
      <c r="B1010" s="19">
        <v>484.5</v>
      </c>
      <c r="C1010" s="19">
        <v>0.37962000000000001</v>
      </c>
      <c r="D1010" s="19">
        <v>90.500129999999999</v>
      </c>
      <c r="E1010" s="19">
        <v>20</v>
      </c>
      <c r="F1010" s="19">
        <v>80</v>
      </c>
      <c r="G1010" s="19">
        <v>1</v>
      </c>
      <c r="H1010" s="16">
        <v>5</v>
      </c>
    </row>
    <row r="1011" spans="1:8" x14ac:dyDescent="0.15">
      <c r="A1011" s="19">
        <v>250.01705000000001</v>
      </c>
      <c r="B1011" s="19">
        <v>485</v>
      </c>
      <c r="C1011" s="19">
        <v>0.37986999999999999</v>
      </c>
      <c r="D1011" s="19">
        <v>90.367689999999996</v>
      </c>
      <c r="E1011" s="19">
        <v>20</v>
      </c>
      <c r="F1011" s="19">
        <v>80</v>
      </c>
      <c r="G1011" s="19">
        <v>1</v>
      </c>
      <c r="H1011" s="16">
        <v>5</v>
      </c>
    </row>
    <row r="1012" spans="1:8" x14ac:dyDescent="0.15">
      <c r="A1012" s="19">
        <v>250.01704000000001</v>
      </c>
      <c r="B1012" s="19">
        <v>485.5</v>
      </c>
      <c r="C1012" s="19">
        <v>0.38011</v>
      </c>
      <c r="D1012" s="19">
        <v>90.363529999999997</v>
      </c>
      <c r="E1012" s="19">
        <v>20</v>
      </c>
      <c r="F1012" s="19">
        <v>80</v>
      </c>
      <c r="G1012" s="19">
        <v>1</v>
      </c>
      <c r="H1012" s="16">
        <v>5</v>
      </c>
    </row>
    <row r="1013" spans="1:8" x14ac:dyDescent="0.15">
      <c r="A1013" s="19">
        <v>250.02046999999999</v>
      </c>
      <c r="B1013" s="19">
        <v>486</v>
      </c>
      <c r="C1013" s="19">
        <v>0.38091000000000003</v>
      </c>
      <c r="D1013" s="19">
        <v>90.161779999999993</v>
      </c>
      <c r="E1013" s="19">
        <v>20</v>
      </c>
      <c r="F1013" s="19">
        <v>80</v>
      </c>
      <c r="G1013" s="19">
        <v>1</v>
      </c>
      <c r="H1013" s="16">
        <v>5</v>
      </c>
    </row>
    <row r="1014" spans="1:8" x14ac:dyDescent="0.15">
      <c r="A1014" s="19">
        <v>250.02387999999999</v>
      </c>
      <c r="B1014" s="19">
        <v>486.5</v>
      </c>
      <c r="C1014" s="19">
        <v>0.37978000000000001</v>
      </c>
      <c r="D1014" s="19">
        <v>90.171099999999996</v>
      </c>
      <c r="E1014" s="19">
        <v>20</v>
      </c>
      <c r="F1014" s="19">
        <v>80</v>
      </c>
      <c r="G1014" s="19">
        <v>1</v>
      </c>
      <c r="H1014" s="16">
        <v>5</v>
      </c>
    </row>
    <row r="1015" spans="1:8" x14ac:dyDescent="0.15">
      <c r="A1015" s="19">
        <v>250.02332999999999</v>
      </c>
      <c r="B1015" s="19">
        <v>487</v>
      </c>
      <c r="C1015" s="19">
        <v>0.38012000000000001</v>
      </c>
      <c r="D1015" s="19">
        <v>90.219800000000006</v>
      </c>
      <c r="E1015" s="19">
        <v>20</v>
      </c>
      <c r="F1015" s="19">
        <v>80</v>
      </c>
      <c r="G1015" s="19">
        <v>1</v>
      </c>
      <c r="H1015" s="16">
        <v>5</v>
      </c>
    </row>
    <row r="1016" spans="1:8" x14ac:dyDescent="0.15">
      <c r="A1016" s="19">
        <v>250.02073999999999</v>
      </c>
      <c r="B1016" s="19">
        <v>487.5</v>
      </c>
      <c r="C1016" s="19">
        <v>0.37885000000000002</v>
      </c>
      <c r="D1016" s="19">
        <v>90.259029999999996</v>
      </c>
      <c r="E1016" s="19">
        <v>20</v>
      </c>
      <c r="F1016" s="19">
        <v>80</v>
      </c>
      <c r="G1016" s="19">
        <v>1</v>
      </c>
      <c r="H1016" s="16">
        <v>5</v>
      </c>
    </row>
    <row r="1017" spans="1:8" x14ac:dyDescent="0.15">
      <c r="A1017" s="19">
        <v>250.02070000000001</v>
      </c>
      <c r="B1017" s="19">
        <v>488</v>
      </c>
      <c r="C1017" s="19">
        <v>0.37980000000000003</v>
      </c>
      <c r="D1017" s="19">
        <v>90.323409999999996</v>
      </c>
      <c r="E1017" s="19">
        <v>20</v>
      </c>
      <c r="F1017" s="19">
        <v>80</v>
      </c>
      <c r="G1017" s="19">
        <v>1</v>
      </c>
      <c r="H1017" s="16">
        <v>5</v>
      </c>
    </row>
    <row r="1018" spans="1:8" x14ac:dyDescent="0.15">
      <c r="A1018" s="19">
        <v>250.02137999999999</v>
      </c>
      <c r="B1018" s="19">
        <v>488.5</v>
      </c>
      <c r="C1018" s="19">
        <v>0.37972</v>
      </c>
      <c r="D1018" s="19">
        <v>90.237170000000006</v>
      </c>
      <c r="E1018" s="19">
        <v>20</v>
      </c>
      <c r="F1018" s="19">
        <v>80</v>
      </c>
      <c r="G1018" s="19">
        <v>1</v>
      </c>
      <c r="H1018" s="16">
        <v>5</v>
      </c>
    </row>
    <row r="1019" spans="1:8" x14ac:dyDescent="0.15">
      <c r="A1019" s="19">
        <v>250.01999000000001</v>
      </c>
      <c r="B1019" s="19">
        <v>489</v>
      </c>
      <c r="C1019" s="19">
        <v>0.37896999999999997</v>
      </c>
      <c r="D1019" s="19">
        <v>90.286770000000004</v>
      </c>
      <c r="E1019" s="19">
        <v>20</v>
      </c>
      <c r="F1019" s="19">
        <v>80</v>
      </c>
      <c r="G1019" s="19">
        <v>1</v>
      </c>
      <c r="H1019" s="16">
        <v>5</v>
      </c>
    </row>
    <row r="1020" spans="1:8" x14ac:dyDescent="0.15">
      <c r="A1020" s="19">
        <v>250.01499000000001</v>
      </c>
      <c r="B1020" s="19">
        <v>489.5</v>
      </c>
      <c r="C1020" s="19">
        <v>0.37820999999999999</v>
      </c>
      <c r="D1020" s="19">
        <v>90.236289999999997</v>
      </c>
      <c r="E1020" s="19">
        <v>20</v>
      </c>
      <c r="F1020" s="19">
        <v>80</v>
      </c>
      <c r="G1020" s="19">
        <v>1</v>
      </c>
      <c r="H1020" s="16">
        <v>5</v>
      </c>
    </row>
    <row r="1021" spans="1:8" x14ac:dyDescent="0.15">
      <c r="A1021" s="19">
        <v>250.01301000000001</v>
      </c>
      <c r="B1021" s="19">
        <v>490</v>
      </c>
      <c r="C1021" s="19">
        <v>0.37886999999999998</v>
      </c>
      <c r="D1021" s="19">
        <v>90.134060000000005</v>
      </c>
      <c r="E1021" s="19">
        <v>20</v>
      </c>
      <c r="F1021" s="19">
        <v>80</v>
      </c>
      <c r="G1021" s="19">
        <v>1</v>
      </c>
      <c r="H1021" s="16">
        <v>5</v>
      </c>
    </row>
    <row r="1022" spans="1:8" x14ac:dyDescent="0.15">
      <c r="A1022" s="19">
        <v>250.01340999999999</v>
      </c>
      <c r="B1022" s="19">
        <v>490.5</v>
      </c>
      <c r="C1022" s="19">
        <v>0.37714999999999999</v>
      </c>
      <c r="D1022" s="19">
        <v>90.277330000000006</v>
      </c>
      <c r="E1022" s="19">
        <v>20</v>
      </c>
      <c r="F1022" s="19">
        <v>80</v>
      </c>
      <c r="G1022" s="19">
        <v>1</v>
      </c>
      <c r="H1022" s="16">
        <v>5</v>
      </c>
    </row>
    <row r="1023" spans="1:8" x14ac:dyDescent="0.15">
      <c r="A1023" s="19">
        <v>250.00697</v>
      </c>
      <c r="B1023" s="19">
        <v>491</v>
      </c>
      <c r="C1023" s="19">
        <v>0.37747000000000003</v>
      </c>
      <c r="D1023" s="19">
        <v>90.165890000000005</v>
      </c>
      <c r="E1023" s="19">
        <v>20</v>
      </c>
      <c r="F1023" s="19">
        <v>80</v>
      </c>
      <c r="G1023" s="19">
        <v>1</v>
      </c>
      <c r="H1023" s="16">
        <v>5</v>
      </c>
    </row>
    <row r="1024" spans="1:8" x14ac:dyDescent="0.15">
      <c r="A1024" s="19">
        <v>250.00220999999999</v>
      </c>
      <c r="B1024" s="19">
        <v>491.5</v>
      </c>
      <c r="C1024" s="19">
        <v>0.37846999999999997</v>
      </c>
      <c r="D1024" s="19">
        <v>90.227130000000002</v>
      </c>
      <c r="E1024" s="19">
        <v>20</v>
      </c>
      <c r="F1024" s="19">
        <v>80</v>
      </c>
      <c r="G1024" s="19">
        <v>1</v>
      </c>
      <c r="H1024" s="16">
        <v>5</v>
      </c>
    </row>
    <row r="1025" spans="1:8" x14ac:dyDescent="0.15">
      <c r="A1025" s="19">
        <v>250.00631999999999</v>
      </c>
      <c r="B1025" s="19">
        <v>492</v>
      </c>
      <c r="C1025" s="19">
        <v>0.37802999999999998</v>
      </c>
      <c r="D1025" s="19">
        <v>90.206100000000006</v>
      </c>
      <c r="E1025" s="19">
        <v>20</v>
      </c>
      <c r="F1025" s="19">
        <v>80</v>
      </c>
      <c r="G1025" s="19">
        <v>1</v>
      </c>
      <c r="H1025" s="16">
        <v>5</v>
      </c>
    </row>
    <row r="1026" spans="1:8" x14ac:dyDescent="0.15">
      <c r="A1026" s="19">
        <v>250.00845000000001</v>
      </c>
      <c r="B1026" s="19">
        <v>492.5</v>
      </c>
      <c r="C1026" s="19">
        <v>0.37929000000000002</v>
      </c>
      <c r="D1026" s="19">
        <v>90.140990000000002</v>
      </c>
      <c r="E1026" s="19">
        <v>20</v>
      </c>
      <c r="F1026" s="19">
        <v>80</v>
      </c>
      <c r="G1026" s="19">
        <v>1</v>
      </c>
      <c r="H1026" s="16">
        <v>5</v>
      </c>
    </row>
    <row r="1027" spans="1:8" x14ac:dyDescent="0.15">
      <c r="A1027" s="19">
        <v>250.00926000000001</v>
      </c>
      <c r="B1027" s="19">
        <v>493</v>
      </c>
      <c r="C1027" s="19">
        <v>0.37834000000000001</v>
      </c>
      <c r="D1027" s="19">
        <v>90.058059999999998</v>
      </c>
      <c r="E1027" s="19">
        <v>20</v>
      </c>
      <c r="F1027" s="19">
        <v>80</v>
      </c>
      <c r="G1027" s="19">
        <v>1</v>
      </c>
      <c r="H1027" s="16">
        <v>5</v>
      </c>
    </row>
    <row r="1028" spans="1:8" x14ac:dyDescent="0.15">
      <c r="A1028" s="19">
        <v>250.01047</v>
      </c>
      <c r="B1028" s="19">
        <v>493.5</v>
      </c>
      <c r="C1028" s="19">
        <v>0.37718000000000002</v>
      </c>
      <c r="D1028" s="19">
        <v>90.206010000000006</v>
      </c>
      <c r="E1028" s="19">
        <v>20</v>
      </c>
      <c r="F1028" s="19">
        <v>80</v>
      </c>
      <c r="G1028" s="19">
        <v>1</v>
      </c>
      <c r="H1028" s="16">
        <v>5</v>
      </c>
    </row>
    <row r="1029" spans="1:8" x14ac:dyDescent="0.15">
      <c r="A1029" s="19">
        <v>250.00747000000001</v>
      </c>
      <c r="B1029" s="19">
        <v>494</v>
      </c>
      <c r="C1029" s="19">
        <v>0.37573000000000001</v>
      </c>
      <c r="D1029" s="19">
        <v>90.008970000000005</v>
      </c>
      <c r="E1029" s="19">
        <v>20</v>
      </c>
      <c r="F1029" s="19">
        <v>80</v>
      </c>
      <c r="G1029" s="19">
        <v>1</v>
      </c>
      <c r="H1029" s="16">
        <v>5</v>
      </c>
    </row>
    <row r="1030" spans="1:8" x14ac:dyDescent="0.15">
      <c r="A1030" s="19">
        <v>250.00646</v>
      </c>
      <c r="B1030" s="19">
        <v>494.5</v>
      </c>
      <c r="C1030" s="19">
        <v>0.37746000000000002</v>
      </c>
      <c r="D1030" s="19">
        <v>90.111890000000002</v>
      </c>
      <c r="E1030" s="19">
        <v>20</v>
      </c>
      <c r="F1030" s="19">
        <v>80</v>
      </c>
      <c r="G1030" s="19">
        <v>1</v>
      </c>
      <c r="H1030" s="16">
        <v>5</v>
      </c>
    </row>
    <row r="1031" spans="1:8" x14ac:dyDescent="0.15">
      <c r="A1031" s="19">
        <v>250.00913</v>
      </c>
      <c r="B1031" s="19">
        <v>495</v>
      </c>
      <c r="C1031" s="19">
        <v>0.3765</v>
      </c>
      <c r="D1031" s="19">
        <v>90.063659999999999</v>
      </c>
      <c r="E1031" s="19">
        <v>20</v>
      </c>
      <c r="F1031" s="19">
        <v>80</v>
      </c>
      <c r="G1031" s="19">
        <v>1</v>
      </c>
      <c r="H1031" s="16">
        <v>5</v>
      </c>
    </row>
    <row r="1032" spans="1:8" x14ac:dyDescent="0.15">
      <c r="A1032" s="19">
        <v>250.01491999999999</v>
      </c>
      <c r="B1032" s="19">
        <v>495.5</v>
      </c>
      <c r="C1032" s="19">
        <v>0.37716</v>
      </c>
      <c r="D1032" s="19">
        <v>90.104659999999996</v>
      </c>
      <c r="E1032" s="19">
        <v>20</v>
      </c>
      <c r="F1032" s="19">
        <v>80</v>
      </c>
      <c r="G1032" s="19">
        <v>1</v>
      </c>
      <c r="H1032" s="16">
        <v>5</v>
      </c>
    </row>
    <row r="1033" spans="1:8" x14ac:dyDescent="0.15">
      <c r="A1033" s="19">
        <v>250.01795999999999</v>
      </c>
      <c r="B1033" s="19">
        <v>496</v>
      </c>
      <c r="C1033" s="19">
        <v>0.37595000000000001</v>
      </c>
      <c r="D1033" s="19">
        <v>90.146680000000003</v>
      </c>
      <c r="E1033" s="19">
        <v>20</v>
      </c>
      <c r="F1033" s="19">
        <v>80</v>
      </c>
      <c r="G1033" s="19">
        <v>1</v>
      </c>
      <c r="H1033" s="16">
        <v>5</v>
      </c>
    </row>
    <row r="1034" spans="1:8" x14ac:dyDescent="0.15">
      <c r="A1034" s="19">
        <v>250.01633000000001</v>
      </c>
      <c r="B1034" s="19">
        <v>496.5</v>
      </c>
      <c r="C1034" s="19">
        <v>0.37528</v>
      </c>
      <c r="D1034" s="19">
        <v>90.003590000000003</v>
      </c>
      <c r="E1034" s="19">
        <v>20</v>
      </c>
      <c r="F1034" s="19">
        <v>80</v>
      </c>
      <c r="G1034" s="19">
        <v>1</v>
      </c>
      <c r="H1034" s="16">
        <v>5</v>
      </c>
    </row>
    <row r="1035" spans="1:8" x14ac:dyDescent="0.15">
      <c r="A1035" s="19">
        <v>250.01664</v>
      </c>
      <c r="B1035" s="19">
        <v>497</v>
      </c>
      <c r="C1035" s="19">
        <v>0.37570999999999999</v>
      </c>
      <c r="D1035" s="19">
        <v>89.965310000000002</v>
      </c>
      <c r="E1035" s="19">
        <v>20</v>
      </c>
      <c r="F1035" s="19">
        <v>80</v>
      </c>
      <c r="G1035" s="19">
        <v>1</v>
      </c>
      <c r="H1035" s="16">
        <v>5</v>
      </c>
    </row>
    <row r="1036" spans="1:8" x14ac:dyDescent="0.15">
      <c r="A1036" s="19">
        <v>250.01512</v>
      </c>
      <c r="B1036" s="19">
        <v>497.5</v>
      </c>
      <c r="C1036" s="19">
        <v>0.37586000000000003</v>
      </c>
      <c r="D1036" s="19">
        <v>90.088300000000004</v>
      </c>
      <c r="E1036" s="19">
        <v>20</v>
      </c>
      <c r="F1036" s="19">
        <v>80</v>
      </c>
      <c r="G1036" s="19">
        <v>1</v>
      </c>
      <c r="H1036" s="16">
        <v>5</v>
      </c>
    </row>
    <row r="1037" spans="1:8" x14ac:dyDescent="0.15">
      <c r="A1037" s="19">
        <v>250.01541</v>
      </c>
      <c r="B1037" s="19">
        <v>498</v>
      </c>
      <c r="C1037" s="19">
        <v>0.37559999999999999</v>
      </c>
      <c r="D1037" s="19">
        <v>90.040379999999999</v>
      </c>
      <c r="E1037" s="19">
        <v>20</v>
      </c>
      <c r="F1037" s="19">
        <v>80</v>
      </c>
      <c r="G1037" s="19">
        <v>1</v>
      </c>
      <c r="H1037" s="16">
        <v>5</v>
      </c>
    </row>
    <row r="1038" spans="1:8" x14ac:dyDescent="0.15">
      <c r="A1038" s="19">
        <v>250.01401000000001</v>
      </c>
      <c r="B1038" s="19">
        <v>498.5</v>
      </c>
      <c r="C1038" s="19">
        <v>0.37497000000000003</v>
      </c>
      <c r="D1038" s="19">
        <v>89.93441</v>
      </c>
      <c r="E1038" s="19">
        <v>20</v>
      </c>
      <c r="F1038" s="19">
        <v>80</v>
      </c>
      <c r="G1038" s="19">
        <v>1</v>
      </c>
      <c r="H1038" s="16">
        <v>5</v>
      </c>
    </row>
    <row r="1039" spans="1:8" x14ac:dyDescent="0.15">
      <c r="A1039" s="19">
        <v>250.01177999999999</v>
      </c>
      <c r="B1039" s="19">
        <v>499</v>
      </c>
      <c r="C1039" s="19">
        <v>0.37629000000000001</v>
      </c>
      <c r="D1039" s="19">
        <v>89.913780000000003</v>
      </c>
      <c r="E1039" s="19">
        <v>20</v>
      </c>
      <c r="F1039" s="19">
        <v>80</v>
      </c>
      <c r="G1039" s="19">
        <v>1</v>
      </c>
      <c r="H1039" s="16">
        <v>5</v>
      </c>
    </row>
    <row r="1040" spans="1:8" x14ac:dyDescent="0.15">
      <c r="A1040" s="19">
        <v>250.00855999999999</v>
      </c>
      <c r="B1040" s="19">
        <v>499.5</v>
      </c>
      <c r="C1040" s="19">
        <v>0.37647000000000003</v>
      </c>
      <c r="D1040" s="19">
        <v>89.995490000000004</v>
      </c>
      <c r="E1040" s="19">
        <v>20</v>
      </c>
      <c r="F1040" s="19">
        <v>80</v>
      </c>
      <c r="G1040" s="19">
        <v>1</v>
      </c>
      <c r="H1040" s="16">
        <v>5</v>
      </c>
    </row>
    <row r="1041" spans="1:8" x14ac:dyDescent="0.15">
      <c r="A1041" s="19">
        <v>250.01308</v>
      </c>
      <c r="B1041" s="19">
        <v>500</v>
      </c>
      <c r="C1041" s="19">
        <v>0.37651000000000001</v>
      </c>
      <c r="D1041" s="19">
        <v>89.997749999999996</v>
      </c>
      <c r="E1041" s="19">
        <v>20</v>
      </c>
      <c r="F1041" s="19">
        <v>80</v>
      </c>
      <c r="G1041" s="19">
        <v>1</v>
      </c>
      <c r="H1041" s="16">
        <v>5</v>
      </c>
    </row>
    <row r="1042" spans="1:8" x14ac:dyDescent="0.15">
      <c r="A1042" s="19">
        <v>250.01765</v>
      </c>
      <c r="B1042" s="19">
        <v>500.5</v>
      </c>
      <c r="C1042" s="19">
        <v>0.37763999999999998</v>
      </c>
      <c r="D1042" s="19">
        <v>89.911090000000002</v>
      </c>
      <c r="E1042" s="19">
        <v>20</v>
      </c>
      <c r="F1042" s="19">
        <v>80</v>
      </c>
      <c r="G1042" s="19">
        <v>1</v>
      </c>
      <c r="H1042" s="16">
        <v>5</v>
      </c>
    </row>
    <row r="1043" spans="1:8" x14ac:dyDescent="0.15">
      <c r="A1043" s="19">
        <v>250.01838000000001</v>
      </c>
      <c r="B1043" s="19">
        <v>501</v>
      </c>
      <c r="C1043" s="19">
        <v>0.37633</v>
      </c>
      <c r="D1043" s="19">
        <v>89.911770000000004</v>
      </c>
      <c r="E1043" s="19">
        <v>20</v>
      </c>
      <c r="F1043" s="19">
        <v>80</v>
      </c>
      <c r="G1043" s="19">
        <v>1</v>
      </c>
      <c r="H1043" s="16">
        <v>5</v>
      </c>
    </row>
    <row r="1044" spans="1:8" x14ac:dyDescent="0.15">
      <c r="A1044" s="19">
        <v>250.02078</v>
      </c>
      <c r="B1044" s="19">
        <v>501.5</v>
      </c>
      <c r="C1044" s="19">
        <v>0.37537999999999999</v>
      </c>
      <c r="D1044" s="19">
        <v>90.001159999999999</v>
      </c>
      <c r="E1044" s="19">
        <v>20</v>
      </c>
      <c r="F1044" s="19">
        <v>80</v>
      </c>
      <c r="G1044" s="19">
        <v>1</v>
      </c>
      <c r="H1044" s="16">
        <v>5</v>
      </c>
    </row>
    <row r="1045" spans="1:8" x14ac:dyDescent="0.15">
      <c r="A1045" s="19">
        <v>250.02504999999999</v>
      </c>
      <c r="B1045" s="19">
        <v>502</v>
      </c>
      <c r="C1045" s="19">
        <v>0.37548999999999999</v>
      </c>
      <c r="D1045" s="19">
        <v>90.001720000000006</v>
      </c>
      <c r="E1045" s="19">
        <v>20</v>
      </c>
      <c r="F1045" s="19">
        <v>80</v>
      </c>
      <c r="G1045" s="19">
        <v>1</v>
      </c>
      <c r="H1045" s="16">
        <v>5</v>
      </c>
    </row>
    <row r="1046" spans="1:8" x14ac:dyDescent="0.15">
      <c r="A1046" s="19">
        <v>250.02906999999999</v>
      </c>
      <c r="B1046" s="19">
        <v>502.5</v>
      </c>
      <c r="C1046" s="19">
        <v>0.37497000000000003</v>
      </c>
      <c r="D1046" s="19">
        <v>89.92859</v>
      </c>
      <c r="E1046" s="19">
        <v>20</v>
      </c>
      <c r="F1046" s="19">
        <v>80</v>
      </c>
      <c r="G1046" s="19">
        <v>1</v>
      </c>
      <c r="H1046" s="16">
        <v>5</v>
      </c>
    </row>
    <row r="1047" spans="1:8" x14ac:dyDescent="0.15">
      <c r="A1047" s="19">
        <v>250.02763999999999</v>
      </c>
      <c r="B1047" s="19">
        <v>503</v>
      </c>
      <c r="C1047" s="19">
        <v>0.37404999999999999</v>
      </c>
      <c r="D1047" s="19">
        <v>89.951660000000004</v>
      </c>
      <c r="E1047" s="19">
        <v>20</v>
      </c>
      <c r="F1047" s="19">
        <v>80</v>
      </c>
      <c r="G1047" s="19">
        <v>1</v>
      </c>
      <c r="H1047" s="16">
        <v>5</v>
      </c>
    </row>
    <row r="1048" spans="1:8" x14ac:dyDescent="0.15">
      <c r="A1048" s="19">
        <v>250.02462</v>
      </c>
      <c r="B1048" s="19">
        <v>503.5</v>
      </c>
      <c r="C1048" s="19">
        <v>0.37426999999999999</v>
      </c>
      <c r="D1048" s="19">
        <v>89.904880000000006</v>
      </c>
      <c r="E1048" s="19">
        <v>20</v>
      </c>
      <c r="F1048" s="19">
        <v>80</v>
      </c>
      <c r="G1048" s="19">
        <v>1</v>
      </c>
      <c r="H1048" s="16">
        <v>5</v>
      </c>
    </row>
    <row r="1049" spans="1:8" x14ac:dyDescent="0.15">
      <c r="A1049" s="19">
        <v>250.01820000000001</v>
      </c>
      <c r="B1049" s="19">
        <v>504</v>
      </c>
      <c r="C1049" s="19">
        <v>0.37464999999999998</v>
      </c>
      <c r="D1049" s="19">
        <v>89.83426</v>
      </c>
      <c r="E1049" s="19">
        <v>20</v>
      </c>
      <c r="F1049" s="19">
        <v>80</v>
      </c>
      <c r="G1049" s="19">
        <v>1</v>
      </c>
      <c r="H1049" s="16">
        <v>5</v>
      </c>
    </row>
    <row r="1050" spans="1:8" x14ac:dyDescent="0.15">
      <c r="A1050" s="19">
        <v>250.01652999999999</v>
      </c>
      <c r="B1050" s="19">
        <v>504.5</v>
      </c>
      <c r="C1050" s="19">
        <v>0.37414999999999998</v>
      </c>
      <c r="D1050" s="19">
        <v>89.822860000000006</v>
      </c>
      <c r="E1050" s="19">
        <v>20</v>
      </c>
      <c r="F1050" s="19">
        <v>80</v>
      </c>
      <c r="G1050" s="19">
        <v>1</v>
      </c>
      <c r="H1050" s="16">
        <v>5</v>
      </c>
    </row>
    <row r="1051" spans="1:8" x14ac:dyDescent="0.15">
      <c r="A1051" s="19">
        <v>250.02003999999999</v>
      </c>
      <c r="B1051" s="19">
        <v>505</v>
      </c>
      <c r="C1051" s="19">
        <v>0.37359999999999999</v>
      </c>
      <c r="D1051" s="19">
        <v>89.845849999999999</v>
      </c>
      <c r="E1051" s="19">
        <v>20</v>
      </c>
      <c r="F1051" s="19">
        <v>80</v>
      </c>
      <c r="G1051" s="19">
        <v>1</v>
      </c>
      <c r="H1051" s="16">
        <v>5</v>
      </c>
    </row>
    <row r="1052" spans="1:8" x14ac:dyDescent="0.15">
      <c r="A1052" s="19">
        <v>250.02096</v>
      </c>
      <c r="B1052" s="19">
        <v>505.5</v>
      </c>
      <c r="C1052" s="19">
        <v>0.37612000000000001</v>
      </c>
      <c r="D1052" s="19">
        <v>89.842470000000006</v>
      </c>
      <c r="E1052" s="19">
        <v>20</v>
      </c>
      <c r="F1052" s="19">
        <v>80</v>
      </c>
      <c r="G1052" s="19">
        <v>1</v>
      </c>
      <c r="H1052" s="16">
        <v>5</v>
      </c>
    </row>
    <row r="1053" spans="1:8" x14ac:dyDescent="0.15">
      <c r="A1053" s="19">
        <v>250.01839000000001</v>
      </c>
      <c r="B1053" s="19">
        <v>506</v>
      </c>
      <c r="C1053" s="19">
        <v>0.37509999999999999</v>
      </c>
      <c r="D1053" s="19">
        <v>89.854929999999996</v>
      </c>
      <c r="E1053" s="19">
        <v>20</v>
      </c>
      <c r="F1053" s="19">
        <v>80</v>
      </c>
      <c r="G1053" s="19">
        <v>1</v>
      </c>
      <c r="H1053" s="16">
        <v>5</v>
      </c>
    </row>
    <row r="1054" spans="1:8" x14ac:dyDescent="0.15">
      <c r="A1054" s="19">
        <v>250.01695000000001</v>
      </c>
      <c r="B1054" s="19">
        <v>506.5</v>
      </c>
      <c r="C1054" s="19">
        <v>0.375</v>
      </c>
      <c r="D1054" s="19">
        <v>89.807360000000003</v>
      </c>
      <c r="E1054" s="19">
        <v>20</v>
      </c>
      <c r="F1054" s="19">
        <v>80</v>
      </c>
      <c r="G1054" s="19">
        <v>1</v>
      </c>
      <c r="H1054" s="16">
        <v>5</v>
      </c>
    </row>
    <row r="1055" spans="1:8" x14ac:dyDescent="0.15">
      <c r="A1055" s="19">
        <v>250.01675</v>
      </c>
      <c r="B1055" s="19">
        <v>507</v>
      </c>
      <c r="C1055" s="19">
        <v>0.37419000000000002</v>
      </c>
      <c r="D1055" s="19">
        <v>89.886920000000003</v>
      </c>
      <c r="E1055" s="19">
        <v>20</v>
      </c>
      <c r="F1055" s="19">
        <v>80</v>
      </c>
      <c r="G1055" s="19">
        <v>1</v>
      </c>
      <c r="H1055" s="16">
        <v>5</v>
      </c>
    </row>
    <row r="1056" spans="1:8" x14ac:dyDescent="0.15">
      <c r="A1056" s="19">
        <v>250.01795000000001</v>
      </c>
      <c r="B1056" s="19">
        <v>507.5</v>
      </c>
      <c r="C1056" s="19">
        <v>0.37331999999999999</v>
      </c>
      <c r="D1056" s="19">
        <v>89.858930000000001</v>
      </c>
      <c r="E1056" s="19">
        <v>20</v>
      </c>
      <c r="F1056" s="19">
        <v>80</v>
      </c>
      <c r="G1056" s="19">
        <v>1</v>
      </c>
      <c r="H1056" s="16">
        <v>5</v>
      </c>
    </row>
    <row r="1057" spans="1:8" x14ac:dyDescent="0.15">
      <c r="A1057" s="19">
        <v>250.02011999999999</v>
      </c>
      <c r="B1057" s="19">
        <v>508</v>
      </c>
      <c r="C1057" s="19">
        <v>0.37336999999999998</v>
      </c>
      <c r="D1057" s="19">
        <v>89.89461</v>
      </c>
      <c r="E1057" s="19">
        <v>20</v>
      </c>
      <c r="F1057" s="19">
        <v>80</v>
      </c>
      <c r="G1057" s="19">
        <v>1</v>
      </c>
      <c r="H1057" s="16">
        <v>5</v>
      </c>
    </row>
    <row r="1058" spans="1:8" x14ac:dyDescent="0.15">
      <c r="A1058" s="19">
        <v>250.0188</v>
      </c>
      <c r="B1058" s="19">
        <v>508.5</v>
      </c>
      <c r="C1058" s="19">
        <v>0.37291000000000002</v>
      </c>
      <c r="D1058" s="19">
        <v>89.857200000000006</v>
      </c>
      <c r="E1058" s="19">
        <v>20</v>
      </c>
      <c r="F1058" s="19">
        <v>80</v>
      </c>
      <c r="G1058" s="19">
        <v>1</v>
      </c>
      <c r="H1058" s="16">
        <v>5</v>
      </c>
    </row>
    <row r="1059" spans="1:8" x14ac:dyDescent="0.15">
      <c r="A1059" s="19">
        <v>250.01759999999999</v>
      </c>
      <c r="B1059" s="19">
        <v>509</v>
      </c>
      <c r="C1059" s="19">
        <v>0.37291000000000002</v>
      </c>
      <c r="D1059" s="19">
        <v>89.782499999999999</v>
      </c>
      <c r="E1059" s="19">
        <v>20</v>
      </c>
      <c r="F1059" s="19">
        <v>80</v>
      </c>
      <c r="G1059" s="19">
        <v>1</v>
      </c>
      <c r="H1059" s="16">
        <v>5</v>
      </c>
    </row>
    <row r="1060" spans="1:8" x14ac:dyDescent="0.15">
      <c r="A1060" s="19">
        <v>250.01732999999999</v>
      </c>
      <c r="B1060" s="19">
        <v>509.5</v>
      </c>
      <c r="C1060" s="19">
        <v>0.37408999999999998</v>
      </c>
      <c r="D1060" s="19">
        <v>89.754329999999996</v>
      </c>
      <c r="E1060" s="19">
        <v>20</v>
      </c>
      <c r="F1060" s="19">
        <v>80</v>
      </c>
      <c r="G1060" s="19">
        <v>1</v>
      </c>
      <c r="H1060" s="16">
        <v>5</v>
      </c>
    </row>
    <row r="1061" spans="1:8" x14ac:dyDescent="0.15">
      <c r="A1061" s="19">
        <v>250.01462000000001</v>
      </c>
      <c r="B1061" s="19">
        <v>510</v>
      </c>
      <c r="C1061" s="19">
        <v>0.37385000000000002</v>
      </c>
      <c r="D1061" s="19">
        <v>89.744569999999996</v>
      </c>
      <c r="E1061" s="19">
        <v>20</v>
      </c>
      <c r="F1061" s="19">
        <v>80</v>
      </c>
      <c r="G1061" s="19">
        <v>1</v>
      </c>
      <c r="H1061" s="16">
        <v>5</v>
      </c>
    </row>
    <row r="1062" spans="1:8" x14ac:dyDescent="0.15">
      <c r="A1062" s="19">
        <v>250.01307</v>
      </c>
      <c r="B1062" s="19">
        <v>510.5</v>
      </c>
      <c r="C1062" s="19">
        <v>0.37193999999999999</v>
      </c>
      <c r="D1062" s="19">
        <v>89.632459999999995</v>
      </c>
      <c r="E1062" s="19">
        <v>20</v>
      </c>
      <c r="F1062" s="19">
        <v>80</v>
      </c>
      <c r="G1062" s="19">
        <v>1</v>
      </c>
      <c r="H1062" s="16">
        <v>5</v>
      </c>
    </row>
    <row r="1063" spans="1:8" x14ac:dyDescent="0.15">
      <c r="A1063" s="19">
        <v>250.01294999999999</v>
      </c>
      <c r="B1063" s="19">
        <v>511</v>
      </c>
      <c r="C1063" s="19">
        <v>0.37264999999999998</v>
      </c>
      <c r="D1063" s="19">
        <v>89.904290000000003</v>
      </c>
      <c r="E1063" s="19">
        <v>20</v>
      </c>
      <c r="F1063" s="19">
        <v>80</v>
      </c>
      <c r="G1063" s="19">
        <v>1</v>
      </c>
      <c r="H1063" s="16">
        <v>5</v>
      </c>
    </row>
    <row r="1064" spans="1:8" x14ac:dyDescent="0.15">
      <c r="A1064" s="19">
        <v>250.01113000000001</v>
      </c>
      <c r="B1064" s="19">
        <v>511.5</v>
      </c>
      <c r="C1064" s="19">
        <v>0.37289</v>
      </c>
      <c r="D1064" s="19">
        <v>89.611609999999999</v>
      </c>
      <c r="E1064" s="19">
        <v>20</v>
      </c>
      <c r="F1064" s="19">
        <v>80</v>
      </c>
      <c r="G1064" s="19">
        <v>1</v>
      </c>
      <c r="H1064" s="16">
        <v>5</v>
      </c>
    </row>
    <row r="1065" spans="1:8" x14ac:dyDescent="0.15">
      <c r="A1065" s="19">
        <v>250.00944999999999</v>
      </c>
      <c r="B1065" s="19">
        <v>512</v>
      </c>
      <c r="C1065" s="19">
        <v>0.37118000000000001</v>
      </c>
      <c r="D1065" s="19">
        <v>89.752459999999999</v>
      </c>
      <c r="E1065" s="19">
        <v>20</v>
      </c>
      <c r="F1065" s="19">
        <v>80</v>
      </c>
      <c r="G1065" s="19">
        <v>1</v>
      </c>
      <c r="H1065" s="16">
        <v>5</v>
      </c>
    </row>
    <row r="1066" spans="1:8" x14ac:dyDescent="0.15">
      <c r="A1066" s="19">
        <v>250.01045999999999</v>
      </c>
      <c r="B1066" s="19">
        <v>512.5</v>
      </c>
      <c r="C1066" s="19">
        <v>0.37275000000000003</v>
      </c>
      <c r="D1066" s="19">
        <v>89.743219999999994</v>
      </c>
      <c r="E1066" s="19">
        <v>20</v>
      </c>
      <c r="F1066" s="19">
        <v>80</v>
      </c>
      <c r="G1066" s="19">
        <v>1</v>
      </c>
      <c r="H1066" s="16">
        <v>5</v>
      </c>
    </row>
    <row r="1067" spans="1:8" x14ac:dyDescent="0.15">
      <c r="A1067" s="19">
        <v>250.00864999999999</v>
      </c>
      <c r="B1067" s="19">
        <v>513</v>
      </c>
      <c r="C1067" s="19">
        <v>0.37145</v>
      </c>
      <c r="D1067" s="19">
        <v>89.624930000000006</v>
      </c>
      <c r="E1067" s="19">
        <v>20</v>
      </c>
      <c r="F1067" s="19">
        <v>80</v>
      </c>
      <c r="G1067" s="19">
        <v>1</v>
      </c>
      <c r="H1067" s="16">
        <v>5</v>
      </c>
    </row>
    <row r="1068" spans="1:8" x14ac:dyDescent="0.15">
      <c r="A1068" s="19">
        <v>250.00702999999999</v>
      </c>
      <c r="B1068" s="19">
        <v>513.5</v>
      </c>
      <c r="C1068" s="19">
        <v>0.37330000000000002</v>
      </c>
      <c r="D1068" s="19">
        <v>89.804209999999998</v>
      </c>
      <c r="E1068" s="19">
        <v>20</v>
      </c>
      <c r="F1068" s="19">
        <v>80</v>
      </c>
      <c r="G1068" s="19">
        <v>1</v>
      </c>
      <c r="H1068" s="16">
        <v>5</v>
      </c>
    </row>
    <row r="1069" spans="1:8" x14ac:dyDescent="0.15">
      <c r="A1069" s="19">
        <v>250.00811999999999</v>
      </c>
      <c r="B1069" s="19">
        <v>514</v>
      </c>
      <c r="C1069" s="19">
        <v>0.37131999999999998</v>
      </c>
      <c r="D1069" s="19">
        <v>89.640259999999998</v>
      </c>
      <c r="E1069" s="19">
        <v>20</v>
      </c>
      <c r="F1069" s="19">
        <v>80</v>
      </c>
      <c r="G1069" s="19">
        <v>1</v>
      </c>
      <c r="H1069" s="16">
        <v>5</v>
      </c>
    </row>
    <row r="1070" spans="1:8" x14ac:dyDescent="0.15">
      <c r="A1070" s="19">
        <v>250.00993</v>
      </c>
      <c r="B1070" s="19">
        <v>514.5</v>
      </c>
      <c r="C1070" s="19">
        <v>0.37118000000000001</v>
      </c>
      <c r="D1070" s="19">
        <v>89.744029999999995</v>
      </c>
      <c r="E1070" s="19">
        <v>20</v>
      </c>
      <c r="F1070" s="19">
        <v>80</v>
      </c>
      <c r="G1070" s="19">
        <v>1</v>
      </c>
      <c r="H1070" s="16">
        <v>5</v>
      </c>
    </row>
    <row r="1071" spans="1:8" x14ac:dyDescent="0.15">
      <c r="A1071" s="19">
        <v>250.01356999999999</v>
      </c>
      <c r="B1071" s="19">
        <v>515</v>
      </c>
      <c r="C1071" s="19">
        <v>0.37157000000000001</v>
      </c>
      <c r="D1071" s="19">
        <v>89.629649999999998</v>
      </c>
      <c r="E1071" s="19">
        <v>20</v>
      </c>
      <c r="F1071" s="19">
        <v>80</v>
      </c>
      <c r="G1071" s="19">
        <v>1</v>
      </c>
      <c r="H1071" s="16">
        <v>5</v>
      </c>
    </row>
    <row r="1072" spans="1:8" x14ac:dyDescent="0.15">
      <c r="A1072" s="19">
        <v>250.01617999999999</v>
      </c>
      <c r="B1072" s="19">
        <v>515.5</v>
      </c>
      <c r="C1072" s="19">
        <v>0.37286999999999998</v>
      </c>
      <c r="D1072" s="19">
        <v>89.642300000000006</v>
      </c>
      <c r="E1072" s="19">
        <v>20</v>
      </c>
      <c r="F1072" s="19">
        <v>80</v>
      </c>
      <c r="G1072" s="19">
        <v>1</v>
      </c>
      <c r="H1072" s="16">
        <v>5</v>
      </c>
    </row>
    <row r="1073" spans="1:8" x14ac:dyDescent="0.15">
      <c r="A1073" s="19">
        <v>250.01843</v>
      </c>
      <c r="B1073" s="19">
        <v>516</v>
      </c>
      <c r="C1073" s="19">
        <v>0.37270999999999999</v>
      </c>
      <c r="D1073" s="19">
        <v>89.598590000000002</v>
      </c>
      <c r="E1073" s="19">
        <v>20</v>
      </c>
      <c r="F1073" s="19">
        <v>80</v>
      </c>
      <c r="G1073" s="19">
        <v>1</v>
      </c>
      <c r="H1073" s="16">
        <v>5</v>
      </c>
    </row>
    <row r="1074" spans="1:8" x14ac:dyDescent="0.15">
      <c r="A1074" s="19">
        <v>250.02198000000001</v>
      </c>
      <c r="B1074" s="19">
        <v>516.5</v>
      </c>
      <c r="C1074" s="19">
        <v>0.3735</v>
      </c>
      <c r="D1074" s="19">
        <v>89.649169999999998</v>
      </c>
      <c r="E1074" s="19">
        <v>20</v>
      </c>
      <c r="F1074" s="19">
        <v>80</v>
      </c>
      <c r="G1074" s="19">
        <v>1</v>
      </c>
      <c r="H1074" s="16">
        <v>5</v>
      </c>
    </row>
    <row r="1075" spans="1:8" x14ac:dyDescent="0.15">
      <c r="A1075" s="19">
        <v>250.02413999999999</v>
      </c>
      <c r="B1075" s="19">
        <v>517</v>
      </c>
      <c r="C1075" s="19">
        <v>0.37253999999999998</v>
      </c>
      <c r="D1075" s="19">
        <v>89.576490000000007</v>
      </c>
      <c r="E1075" s="19">
        <v>20</v>
      </c>
      <c r="F1075" s="19">
        <v>80</v>
      </c>
      <c r="G1075" s="19">
        <v>1</v>
      </c>
      <c r="H1075" s="16">
        <v>5</v>
      </c>
    </row>
    <row r="1076" spans="1:8" x14ac:dyDescent="0.15">
      <c r="A1076" s="19">
        <v>250.02563000000001</v>
      </c>
      <c r="B1076" s="19">
        <v>517.5</v>
      </c>
      <c r="C1076" s="19">
        <v>0.37101000000000001</v>
      </c>
      <c r="D1076" s="19">
        <v>89.625190000000003</v>
      </c>
      <c r="E1076" s="19">
        <v>20</v>
      </c>
      <c r="F1076" s="19">
        <v>80</v>
      </c>
      <c r="G1076" s="19">
        <v>1</v>
      </c>
      <c r="H1076" s="16">
        <v>5</v>
      </c>
    </row>
    <row r="1077" spans="1:8" x14ac:dyDescent="0.15">
      <c r="A1077" s="19">
        <v>250.02259000000001</v>
      </c>
      <c r="B1077" s="19">
        <v>518</v>
      </c>
      <c r="C1077" s="19">
        <v>0.37097999999999998</v>
      </c>
      <c r="D1077" s="19">
        <v>89.474890000000002</v>
      </c>
      <c r="E1077" s="19">
        <v>20</v>
      </c>
      <c r="F1077" s="19">
        <v>80</v>
      </c>
      <c r="G1077" s="19">
        <v>1</v>
      </c>
      <c r="H1077" s="16">
        <v>5</v>
      </c>
    </row>
    <row r="1078" spans="1:8" x14ac:dyDescent="0.15">
      <c r="A1078" s="19">
        <v>250.02035000000001</v>
      </c>
      <c r="B1078" s="19">
        <v>518.5</v>
      </c>
      <c r="C1078" s="19">
        <v>0.37106</v>
      </c>
      <c r="D1078" s="19">
        <v>89.57687</v>
      </c>
      <c r="E1078" s="19">
        <v>20</v>
      </c>
      <c r="F1078" s="19">
        <v>80</v>
      </c>
      <c r="G1078" s="19">
        <v>1</v>
      </c>
      <c r="H1078" s="16">
        <v>5</v>
      </c>
    </row>
    <row r="1079" spans="1:8" x14ac:dyDescent="0.15">
      <c r="A1079" s="19">
        <v>250.02056999999999</v>
      </c>
      <c r="B1079" s="19">
        <v>519</v>
      </c>
      <c r="C1079" s="19">
        <v>0.37270999999999999</v>
      </c>
      <c r="D1079" s="19">
        <v>89.564310000000006</v>
      </c>
      <c r="E1079" s="19">
        <v>20</v>
      </c>
      <c r="F1079" s="19">
        <v>80</v>
      </c>
      <c r="G1079" s="19">
        <v>1</v>
      </c>
      <c r="H1079" s="16">
        <v>5</v>
      </c>
    </row>
    <row r="1080" spans="1:8" x14ac:dyDescent="0.15">
      <c r="A1080" s="19">
        <v>250.01725999999999</v>
      </c>
      <c r="B1080" s="19">
        <v>519.5</v>
      </c>
      <c r="C1080" s="19">
        <v>0.37158000000000002</v>
      </c>
      <c r="D1080" s="19">
        <v>89.550619999999995</v>
      </c>
      <c r="E1080" s="19">
        <v>20</v>
      </c>
      <c r="F1080" s="19">
        <v>80</v>
      </c>
      <c r="G1080" s="19">
        <v>1</v>
      </c>
      <c r="H1080" s="16">
        <v>5</v>
      </c>
    </row>
    <row r="1081" spans="1:8" x14ac:dyDescent="0.15">
      <c r="A1081" s="19">
        <v>250.01406</v>
      </c>
      <c r="B1081" s="19">
        <v>520</v>
      </c>
      <c r="C1081" s="19">
        <v>0.37226999999999999</v>
      </c>
      <c r="D1081" s="19">
        <v>89.519369999999995</v>
      </c>
      <c r="E1081" s="19">
        <v>20</v>
      </c>
      <c r="F1081" s="19">
        <v>80</v>
      </c>
      <c r="G1081" s="19">
        <v>1</v>
      </c>
      <c r="H1081" s="16">
        <v>5</v>
      </c>
    </row>
    <row r="1082" spans="1:8" x14ac:dyDescent="0.15">
      <c r="A1082" s="19">
        <v>250.01548</v>
      </c>
      <c r="B1082" s="19">
        <v>520.5</v>
      </c>
      <c r="C1082" s="19">
        <v>0.37282999999999999</v>
      </c>
      <c r="D1082" s="19">
        <v>89.572469999999996</v>
      </c>
      <c r="E1082" s="19">
        <v>20</v>
      </c>
      <c r="F1082" s="19">
        <v>80</v>
      </c>
      <c r="G1082" s="19">
        <v>1</v>
      </c>
      <c r="H1082" s="16">
        <v>5</v>
      </c>
    </row>
    <row r="1083" spans="1:8" x14ac:dyDescent="0.15">
      <c r="A1083" s="19">
        <v>250.01755</v>
      </c>
      <c r="B1083" s="19">
        <v>521</v>
      </c>
      <c r="C1083" s="19">
        <v>0.37178</v>
      </c>
      <c r="D1083" s="19">
        <v>89.669960000000003</v>
      </c>
      <c r="E1083" s="19">
        <v>20</v>
      </c>
      <c r="F1083" s="19">
        <v>80</v>
      </c>
      <c r="G1083" s="19">
        <v>1</v>
      </c>
      <c r="H1083" s="16">
        <v>5</v>
      </c>
    </row>
    <row r="1084" spans="1:8" x14ac:dyDescent="0.15">
      <c r="A1084" s="19">
        <v>250.01669999999999</v>
      </c>
      <c r="B1084" s="19">
        <v>521.5</v>
      </c>
      <c r="C1084" s="19">
        <v>0.37092000000000003</v>
      </c>
      <c r="D1084" s="19">
        <v>89.584990000000005</v>
      </c>
      <c r="E1084" s="19">
        <v>20</v>
      </c>
      <c r="F1084" s="19">
        <v>80</v>
      </c>
      <c r="G1084" s="19">
        <v>1</v>
      </c>
      <c r="H1084" s="16">
        <v>5</v>
      </c>
    </row>
    <row r="1085" spans="1:8" x14ac:dyDescent="0.15">
      <c r="A1085" s="19">
        <v>250.01657</v>
      </c>
      <c r="B1085" s="19">
        <v>522</v>
      </c>
      <c r="C1085" s="19">
        <v>0.37181999999999998</v>
      </c>
      <c r="D1085" s="19">
        <v>89.572540000000004</v>
      </c>
      <c r="E1085" s="19">
        <v>20</v>
      </c>
      <c r="F1085" s="19">
        <v>80</v>
      </c>
      <c r="G1085" s="19">
        <v>1</v>
      </c>
      <c r="H1085" s="16">
        <v>5</v>
      </c>
    </row>
    <row r="1086" spans="1:8" x14ac:dyDescent="0.15">
      <c r="A1086" s="19">
        <v>250.01515000000001</v>
      </c>
      <c r="B1086" s="19">
        <v>522.5</v>
      </c>
      <c r="C1086" s="19">
        <v>0.37180000000000002</v>
      </c>
      <c r="D1086" s="19">
        <v>89.578710000000001</v>
      </c>
      <c r="E1086" s="19">
        <v>20</v>
      </c>
      <c r="F1086" s="19">
        <v>80</v>
      </c>
      <c r="G1086" s="19">
        <v>1</v>
      </c>
      <c r="H1086" s="16">
        <v>5</v>
      </c>
    </row>
    <row r="1087" spans="1:8" x14ac:dyDescent="0.15">
      <c r="A1087" s="19">
        <v>250.01302000000001</v>
      </c>
      <c r="B1087" s="19">
        <v>523</v>
      </c>
      <c r="C1087" s="19">
        <v>0.37073</v>
      </c>
      <c r="D1087" s="19">
        <v>89.53828</v>
      </c>
      <c r="E1087" s="19">
        <v>20</v>
      </c>
      <c r="F1087" s="19">
        <v>80</v>
      </c>
      <c r="G1087" s="19">
        <v>1</v>
      </c>
      <c r="H1087" s="16">
        <v>5</v>
      </c>
    </row>
    <row r="1088" spans="1:8" x14ac:dyDescent="0.15">
      <c r="A1088" s="19">
        <v>250.01185000000001</v>
      </c>
      <c r="B1088" s="19">
        <v>523.5</v>
      </c>
      <c r="C1088" s="19">
        <v>0.37204999999999999</v>
      </c>
      <c r="D1088" s="19">
        <v>89.538300000000007</v>
      </c>
      <c r="E1088" s="19">
        <v>20</v>
      </c>
      <c r="F1088" s="19">
        <v>80</v>
      </c>
      <c r="G1088" s="19">
        <v>1</v>
      </c>
      <c r="H1088" s="16">
        <v>5</v>
      </c>
    </row>
    <row r="1089" spans="1:8" x14ac:dyDescent="0.15">
      <c r="A1089" s="19">
        <v>250.01080999999999</v>
      </c>
      <c r="B1089" s="19">
        <v>524</v>
      </c>
      <c r="C1089" s="19">
        <v>0.37230000000000002</v>
      </c>
      <c r="D1089" s="19">
        <v>89.50367</v>
      </c>
      <c r="E1089" s="19">
        <v>20</v>
      </c>
      <c r="F1089" s="19">
        <v>80</v>
      </c>
      <c r="G1089" s="19">
        <v>1</v>
      </c>
      <c r="H1089" s="16">
        <v>5</v>
      </c>
    </row>
    <row r="1090" spans="1:8" x14ac:dyDescent="0.15">
      <c r="A1090" s="19">
        <v>250.01410999999999</v>
      </c>
      <c r="B1090" s="19">
        <v>524.5</v>
      </c>
      <c r="C1090" s="19">
        <v>0.37211</v>
      </c>
      <c r="D1090" s="19">
        <v>89.466080000000005</v>
      </c>
      <c r="E1090" s="19">
        <v>20</v>
      </c>
      <c r="F1090" s="19">
        <v>80</v>
      </c>
      <c r="G1090" s="19">
        <v>1</v>
      </c>
      <c r="H1090" s="16">
        <v>5</v>
      </c>
    </row>
    <row r="1091" spans="1:8" x14ac:dyDescent="0.15">
      <c r="A1091" s="19">
        <v>250.01711</v>
      </c>
      <c r="B1091" s="19">
        <v>525</v>
      </c>
      <c r="C1091" s="19">
        <v>0.37076999999999999</v>
      </c>
      <c r="D1091" s="19">
        <v>89.437039999999996</v>
      </c>
      <c r="E1091" s="19">
        <v>20</v>
      </c>
      <c r="F1091" s="19">
        <v>80</v>
      </c>
      <c r="G1091" s="19">
        <v>1</v>
      </c>
      <c r="H1091" s="16">
        <v>5</v>
      </c>
    </row>
    <row r="1092" spans="1:8" x14ac:dyDescent="0.15">
      <c r="A1092" s="19">
        <v>250.01528999999999</v>
      </c>
      <c r="B1092" s="19">
        <v>525.5</v>
      </c>
      <c r="C1092" s="19">
        <v>0.37185000000000001</v>
      </c>
      <c r="D1092" s="19">
        <v>89.51491</v>
      </c>
      <c r="E1092" s="19">
        <v>20</v>
      </c>
      <c r="F1092" s="19">
        <v>80</v>
      </c>
      <c r="G1092" s="19">
        <v>1</v>
      </c>
      <c r="H1092" s="16">
        <v>5</v>
      </c>
    </row>
    <row r="1093" spans="1:8" x14ac:dyDescent="0.15">
      <c r="A1093" s="19">
        <v>250.01674</v>
      </c>
      <c r="B1093" s="19">
        <v>526</v>
      </c>
      <c r="C1093" s="19">
        <v>0.37080999999999997</v>
      </c>
      <c r="D1093" s="19">
        <v>89.507390000000001</v>
      </c>
      <c r="E1093" s="19">
        <v>20</v>
      </c>
      <c r="F1093" s="19">
        <v>80</v>
      </c>
      <c r="G1093" s="19">
        <v>1</v>
      </c>
      <c r="H1093" s="16">
        <v>5</v>
      </c>
    </row>
    <row r="1094" spans="1:8" x14ac:dyDescent="0.15">
      <c r="A1094" s="19">
        <v>250.0164</v>
      </c>
      <c r="B1094" s="19">
        <v>526.5</v>
      </c>
      <c r="C1094" s="19">
        <v>0.3705</v>
      </c>
      <c r="D1094" s="19">
        <v>89.429950000000005</v>
      </c>
      <c r="E1094" s="19">
        <v>20</v>
      </c>
      <c r="F1094" s="19">
        <v>80</v>
      </c>
      <c r="G1094" s="19">
        <v>1</v>
      </c>
      <c r="H1094" s="16">
        <v>5</v>
      </c>
    </row>
    <row r="1095" spans="1:8" x14ac:dyDescent="0.15">
      <c r="A1095" s="19">
        <v>250.01535999999999</v>
      </c>
      <c r="B1095" s="19">
        <v>527</v>
      </c>
      <c r="C1095" s="19">
        <v>0.37031999999999998</v>
      </c>
      <c r="D1095" s="19">
        <v>89.531949999999995</v>
      </c>
      <c r="E1095" s="19">
        <v>20</v>
      </c>
      <c r="F1095" s="19">
        <v>80</v>
      </c>
      <c r="G1095" s="19">
        <v>1</v>
      </c>
      <c r="H1095" s="16">
        <v>5</v>
      </c>
    </row>
    <row r="1096" spans="1:8" x14ac:dyDescent="0.15">
      <c r="A1096" s="19">
        <v>250.01817</v>
      </c>
      <c r="B1096" s="19">
        <v>527.5</v>
      </c>
      <c r="C1096" s="19">
        <v>0.37141999999999997</v>
      </c>
      <c r="D1096" s="19">
        <v>89.36936</v>
      </c>
      <c r="E1096" s="19">
        <v>20</v>
      </c>
      <c r="F1096" s="19">
        <v>80</v>
      </c>
      <c r="G1096" s="19">
        <v>1</v>
      </c>
      <c r="H1096" s="16">
        <v>5</v>
      </c>
    </row>
    <row r="1097" spans="1:8" x14ac:dyDescent="0.15">
      <c r="A1097" s="19">
        <v>250.02087</v>
      </c>
      <c r="B1097" s="19">
        <v>528</v>
      </c>
      <c r="C1097" s="19">
        <v>0.36965999999999999</v>
      </c>
      <c r="D1097" s="19">
        <v>89.487939999999995</v>
      </c>
      <c r="E1097" s="19">
        <v>20</v>
      </c>
      <c r="F1097" s="19">
        <v>80</v>
      </c>
      <c r="G1097" s="19">
        <v>1</v>
      </c>
      <c r="H1097" s="16">
        <v>5</v>
      </c>
    </row>
    <row r="1098" spans="1:8" x14ac:dyDescent="0.15">
      <c r="A1098" s="19">
        <v>250.02</v>
      </c>
      <c r="B1098" s="19">
        <v>528.5</v>
      </c>
      <c r="C1098" s="19">
        <v>0.37018000000000001</v>
      </c>
      <c r="D1098" s="19">
        <v>89.323220000000006</v>
      </c>
      <c r="E1098" s="19">
        <v>20</v>
      </c>
      <c r="F1098" s="19">
        <v>80</v>
      </c>
      <c r="G1098" s="19">
        <v>1</v>
      </c>
      <c r="H1098" s="16">
        <v>5</v>
      </c>
    </row>
    <row r="1099" spans="1:8" x14ac:dyDescent="0.15">
      <c r="A1099" s="19">
        <v>250.01947999999999</v>
      </c>
      <c r="B1099" s="19">
        <v>529</v>
      </c>
      <c r="C1099" s="19">
        <v>0.37007000000000001</v>
      </c>
      <c r="D1099" s="19">
        <v>89.372590000000002</v>
      </c>
      <c r="E1099" s="19">
        <v>20</v>
      </c>
      <c r="F1099" s="19">
        <v>80</v>
      </c>
      <c r="G1099" s="19">
        <v>1</v>
      </c>
      <c r="H1099" s="16">
        <v>5</v>
      </c>
    </row>
    <row r="1100" spans="1:8" x14ac:dyDescent="0.15">
      <c r="A1100" s="19">
        <v>250.01748000000001</v>
      </c>
      <c r="B1100" s="19">
        <v>529.5</v>
      </c>
      <c r="C1100" s="19">
        <v>0.36901</v>
      </c>
      <c r="D1100" s="19">
        <v>89.300809999999998</v>
      </c>
      <c r="E1100" s="19">
        <v>20</v>
      </c>
      <c r="F1100" s="19">
        <v>80</v>
      </c>
      <c r="G1100" s="19">
        <v>1</v>
      </c>
      <c r="H1100" s="16">
        <v>5</v>
      </c>
    </row>
    <row r="1101" spans="1:8" x14ac:dyDescent="0.15">
      <c r="A1101" s="19">
        <v>250.01997</v>
      </c>
      <c r="B1101" s="19">
        <v>530</v>
      </c>
      <c r="C1101" s="19">
        <v>0.37025000000000002</v>
      </c>
      <c r="D1101" s="19">
        <v>89.391630000000006</v>
      </c>
      <c r="E1101" s="19">
        <v>20</v>
      </c>
      <c r="F1101" s="19">
        <v>80</v>
      </c>
      <c r="G1101" s="19">
        <v>1</v>
      </c>
      <c r="H1101" s="16">
        <v>5</v>
      </c>
    </row>
    <row r="1102" spans="1:8" x14ac:dyDescent="0.15">
      <c r="A1102" s="19">
        <v>250.02058</v>
      </c>
      <c r="B1102" s="19">
        <v>530.5</v>
      </c>
      <c r="C1102" s="19">
        <v>0.36917</v>
      </c>
      <c r="D1102" s="19">
        <v>89.309880000000007</v>
      </c>
      <c r="E1102" s="19">
        <v>20</v>
      </c>
      <c r="F1102" s="19">
        <v>80</v>
      </c>
      <c r="G1102" s="19">
        <v>1</v>
      </c>
      <c r="H1102" s="16">
        <v>5</v>
      </c>
    </row>
    <row r="1103" spans="1:8" x14ac:dyDescent="0.15">
      <c r="A1103" s="19">
        <v>250.02255</v>
      </c>
      <c r="B1103" s="19">
        <v>531</v>
      </c>
      <c r="C1103" s="19">
        <v>0.37003000000000003</v>
      </c>
      <c r="D1103" s="19">
        <v>89.283169999999998</v>
      </c>
      <c r="E1103" s="19">
        <v>20</v>
      </c>
      <c r="F1103" s="19">
        <v>80</v>
      </c>
      <c r="G1103" s="19">
        <v>1</v>
      </c>
      <c r="H1103" s="16">
        <v>5</v>
      </c>
    </row>
    <row r="1104" spans="1:8" x14ac:dyDescent="0.15">
      <c r="A1104" s="19">
        <v>250.01930999999999</v>
      </c>
      <c r="B1104" s="19">
        <v>531.5</v>
      </c>
      <c r="C1104" s="19">
        <v>0.36910999999999999</v>
      </c>
      <c r="D1104" s="19">
        <v>89.251940000000005</v>
      </c>
      <c r="E1104" s="19">
        <v>20</v>
      </c>
      <c r="F1104" s="19">
        <v>80</v>
      </c>
      <c r="G1104" s="19">
        <v>1</v>
      </c>
      <c r="H1104" s="16">
        <v>5</v>
      </c>
    </row>
    <row r="1105" spans="1:8" x14ac:dyDescent="0.15">
      <c r="A1105" s="19">
        <v>250.01829000000001</v>
      </c>
      <c r="B1105" s="19">
        <v>532</v>
      </c>
      <c r="C1105" s="19">
        <v>0.37014000000000002</v>
      </c>
      <c r="D1105" s="19">
        <v>89.305139999999994</v>
      </c>
      <c r="E1105" s="19">
        <v>20</v>
      </c>
      <c r="F1105" s="19">
        <v>80</v>
      </c>
      <c r="G1105" s="19">
        <v>1</v>
      </c>
      <c r="H1105" s="16">
        <v>5</v>
      </c>
    </row>
    <row r="1106" spans="1:8" x14ac:dyDescent="0.15">
      <c r="A1106" s="19">
        <v>250.01922999999999</v>
      </c>
      <c r="B1106" s="19">
        <v>532.5</v>
      </c>
      <c r="C1106" s="19">
        <v>0.37030000000000002</v>
      </c>
      <c r="D1106" s="19">
        <v>89.36788</v>
      </c>
      <c r="E1106" s="19">
        <v>20</v>
      </c>
      <c r="F1106" s="19">
        <v>80</v>
      </c>
      <c r="G1106" s="19">
        <v>1</v>
      </c>
      <c r="H1106" s="16">
        <v>5</v>
      </c>
    </row>
    <row r="1107" spans="1:8" x14ac:dyDescent="0.15">
      <c r="A1107" s="19">
        <v>250.01877999999999</v>
      </c>
      <c r="B1107" s="19">
        <v>533</v>
      </c>
      <c r="C1107" s="19">
        <v>0.36879000000000001</v>
      </c>
      <c r="D1107" s="19">
        <v>89.467609999999993</v>
      </c>
      <c r="E1107" s="19">
        <v>20</v>
      </c>
      <c r="F1107" s="19">
        <v>80</v>
      </c>
      <c r="G1107" s="19">
        <v>1</v>
      </c>
      <c r="H1107" s="16">
        <v>5</v>
      </c>
    </row>
    <row r="1108" spans="1:8" x14ac:dyDescent="0.15">
      <c r="A1108" s="19">
        <v>250.01732000000001</v>
      </c>
      <c r="B1108" s="19">
        <v>533.5</v>
      </c>
      <c r="C1108" s="19">
        <v>0.36812</v>
      </c>
      <c r="D1108" s="19">
        <v>89.36788</v>
      </c>
      <c r="E1108" s="19">
        <v>20</v>
      </c>
      <c r="F1108" s="19">
        <v>80</v>
      </c>
      <c r="G1108" s="19">
        <v>1</v>
      </c>
      <c r="H1108" s="16">
        <v>5</v>
      </c>
    </row>
    <row r="1109" spans="1:8" x14ac:dyDescent="0.15">
      <c r="A1109" s="19">
        <v>250.01600999999999</v>
      </c>
      <c r="B1109" s="19">
        <v>534</v>
      </c>
      <c r="C1109" s="19">
        <v>0.36917</v>
      </c>
      <c r="D1109" s="19">
        <v>89.13682</v>
      </c>
      <c r="E1109" s="19">
        <v>20</v>
      </c>
      <c r="F1109" s="19">
        <v>80</v>
      </c>
      <c r="G1109" s="19">
        <v>1</v>
      </c>
      <c r="H1109" s="16">
        <v>5</v>
      </c>
    </row>
    <row r="1110" spans="1:8" x14ac:dyDescent="0.15">
      <c r="A1110" s="19">
        <v>250.01366999999999</v>
      </c>
      <c r="B1110" s="19">
        <v>534.5</v>
      </c>
      <c r="C1110" s="19">
        <v>0.36958000000000002</v>
      </c>
      <c r="D1110" s="19">
        <v>89.28125</v>
      </c>
      <c r="E1110" s="19">
        <v>20</v>
      </c>
      <c r="F1110" s="19">
        <v>80</v>
      </c>
      <c r="G1110" s="19">
        <v>1</v>
      </c>
      <c r="H1110" s="16">
        <v>5</v>
      </c>
    </row>
    <row r="1111" spans="1:8" x14ac:dyDescent="0.15">
      <c r="A1111" s="19">
        <v>250.01264</v>
      </c>
      <c r="B1111" s="19">
        <v>535</v>
      </c>
      <c r="C1111" s="19">
        <v>0.36873</v>
      </c>
      <c r="D1111" s="19">
        <v>89.281639999999996</v>
      </c>
      <c r="E1111" s="19">
        <v>20</v>
      </c>
      <c r="F1111" s="19">
        <v>80</v>
      </c>
      <c r="G1111" s="19">
        <v>1</v>
      </c>
      <c r="H1111" s="16">
        <v>5</v>
      </c>
    </row>
    <row r="1112" spans="1:8" x14ac:dyDescent="0.15">
      <c r="A1112" s="19">
        <v>250.00985</v>
      </c>
      <c r="B1112" s="19">
        <v>535.5</v>
      </c>
      <c r="C1112" s="19">
        <v>0.36974000000000001</v>
      </c>
      <c r="D1112" s="19">
        <v>89.208529999999996</v>
      </c>
      <c r="E1112" s="19">
        <v>20</v>
      </c>
      <c r="F1112" s="19">
        <v>80</v>
      </c>
      <c r="G1112" s="19">
        <v>1</v>
      </c>
      <c r="H1112" s="16">
        <v>5</v>
      </c>
    </row>
    <row r="1113" spans="1:8" x14ac:dyDescent="0.15">
      <c r="A1113" s="19">
        <v>250.01401000000001</v>
      </c>
      <c r="B1113" s="19">
        <v>536</v>
      </c>
      <c r="C1113" s="19">
        <v>0.36942999999999998</v>
      </c>
      <c r="D1113" s="19">
        <v>89.296679999999995</v>
      </c>
      <c r="E1113" s="19">
        <v>20</v>
      </c>
      <c r="F1113" s="19">
        <v>80</v>
      </c>
      <c r="G1113" s="19">
        <v>1</v>
      </c>
      <c r="H1113" s="16">
        <v>5</v>
      </c>
    </row>
    <row r="1114" spans="1:8" x14ac:dyDescent="0.15">
      <c r="A1114" s="19">
        <v>250.01510999999999</v>
      </c>
      <c r="B1114" s="19">
        <v>536.5</v>
      </c>
      <c r="C1114" s="19">
        <v>0.36903000000000002</v>
      </c>
      <c r="D1114" s="19">
        <v>89.236350000000002</v>
      </c>
      <c r="E1114" s="19">
        <v>20</v>
      </c>
      <c r="F1114" s="19">
        <v>80</v>
      </c>
      <c r="G1114" s="19">
        <v>1</v>
      </c>
      <c r="H1114" s="16">
        <v>5</v>
      </c>
    </row>
    <row r="1115" spans="1:8" x14ac:dyDescent="0.15">
      <c r="A1115" s="19">
        <v>250.01048</v>
      </c>
      <c r="B1115" s="19">
        <v>537</v>
      </c>
      <c r="C1115" s="19">
        <v>0.36815999999999999</v>
      </c>
      <c r="D1115" s="19">
        <v>89.183369999999996</v>
      </c>
      <c r="E1115" s="19">
        <v>20</v>
      </c>
      <c r="F1115" s="19">
        <v>80</v>
      </c>
      <c r="G1115" s="19">
        <v>1</v>
      </c>
      <c r="H1115" s="16">
        <v>5</v>
      </c>
    </row>
    <row r="1116" spans="1:8" x14ac:dyDescent="0.15">
      <c r="A1116" s="19">
        <v>250.00968</v>
      </c>
      <c r="B1116" s="19">
        <v>537.5</v>
      </c>
      <c r="C1116" s="19">
        <v>0.36835000000000001</v>
      </c>
      <c r="D1116" s="19">
        <v>89.241020000000006</v>
      </c>
      <c r="E1116" s="19">
        <v>20</v>
      </c>
      <c r="F1116" s="19">
        <v>80</v>
      </c>
      <c r="G1116" s="19">
        <v>1</v>
      </c>
      <c r="H1116" s="16">
        <v>5</v>
      </c>
    </row>
    <row r="1117" spans="1:8" x14ac:dyDescent="0.15">
      <c r="A1117" s="19">
        <v>250.01517999999999</v>
      </c>
      <c r="B1117" s="19">
        <v>538</v>
      </c>
      <c r="C1117" s="19">
        <v>0.36839</v>
      </c>
      <c r="D1117" s="19">
        <v>89.167720000000003</v>
      </c>
      <c r="E1117" s="19">
        <v>20</v>
      </c>
      <c r="F1117" s="19">
        <v>80</v>
      </c>
      <c r="G1117" s="19">
        <v>1</v>
      </c>
      <c r="H1117" s="16">
        <v>5</v>
      </c>
    </row>
    <row r="1118" spans="1:8" x14ac:dyDescent="0.15">
      <c r="A1118" s="19">
        <v>250.01764</v>
      </c>
      <c r="B1118" s="19">
        <v>538.5</v>
      </c>
      <c r="C1118" s="19">
        <v>0.36865999999999999</v>
      </c>
      <c r="D1118" s="19">
        <v>89.162840000000003</v>
      </c>
      <c r="E1118" s="19">
        <v>20</v>
      </c>
      <c r="F1118" s="19">
        <v>80</v>
      </c>
      <c r="G1118" s="19">
        <v>1</v>
      </c>
      <c r="H1118" s="16">
        <v>5</v>
      </c>
    </row>
    <row r="1119" spans="1:8" x14ac:dyDescent="0.15">
      <c r="A1119" s="19">
        <v>250.01758000000001</v>
      </c>
      <c r="B1119" s="19">
        <v>539</v>
      </c>
      <c r="C1119" s="19">
        <v>0.36807000000000001</v>
      </c>
      <c r="D1119" s="19">
        <v>89.148269999999997</v>
      </c>
      <c r="E1119" s="19">
        <v>20</v>
      </c>
      <c r="F1119" s="19">
        <v>80</v>
      </c>
      <c r="G1119" s="19">
        <v>1</v>
      </c>
      <c r="H1119" s="16">
        <v>5</v>
      </c>
    </row>
    <row r="1120" spans="1:8" x14ac:dyDescent="0.15">
      <c r="A1120" s="19">
        <v>250.01711</v>
      </c>
      <c r="B1120" s="19">
        <v>539.5</v>
      </c>
      <c r="C1120" s="19">
        <v>0.36808000000000002</v>
      </c>
      <c r="D1120" s="19">
        <v>89.194739999999996</v>
      </c>
      <c r="E1120" s="19">
        <v>20</v>
      </c>
      <c r="F1120" s="19">
        <v>80</v>
      </c>
      <c r="G1120" s="19">
        <v>1</v>
      </c>
      <c r="H1120" s="16">
        <v>5</v>
      </c>
    </row>
    <row r="1121" spans="1:8" x14ac:dyDescent="0.15">
      <c r="A1121" s="19">
        <v>250.0181</v>
      </c>
      <c r="B1121" s="19">
        <v>540</v>
      </c>
      <c r="C1121" s="19">
        <v>0.36852000000000001</v>
      </c>
      <c r="D1121" s="19">
        <v>89.217070000000007</v>
      </c>
      <c r="E1121" s="19">
        <v>20</v>
      </c>
      <c r="F1121" s="19">
        <v>80</v>
      </c>
      <c r="G1121" s="19">
        <v>1</v>
      </c>
      <c r="H1121" s="16">
        <v>5</v>
      </c>
    </row>
    <row r="1122" spans="1:8" x14ac:dyDescent="0.15">
      <c r="A1122" s="19">
        <v>250.02087</v>
      </c>
      <c r="B1122" s="19">
        <v>540.5</v>
      </c>
      <c r="C1122" s="19">
        <v>0.36864000000000002</v>
      </c>
      <c r="D1122" s="19">
        <v>89.226070000000007</v>
      </c>
      <c r="E1122" s="19">
        <v>20</v>
      </c>
      <c r="F1122" s="19">
        <v>80</v>
      </c>
      <c r="G1122" s="19">
        <v>1</v>
      </c>
      <c r="H1122" s="16">
        <v>5</v>
      </c>
    </row>
    <row r="1123" spans="1:8" x14ac:dyDescent="0.15">
      <c r="A1123" s="19">
        <v>250.02419</v>
      </c>
      <c r="B1123" s="19">
        <v>541</v>
      </c>
      <c r="C1123" s="19">
        <v>0.36820000000000003</v>
      </c>
      <c r="D1123" s="19">
        <v>89.122649999999993</v>
      </c>
      <c r="E1123" s="19">
        <v>20</v>
      </c>
      <c r="F1123" s="19">
        <v>80</v>
      </c>
      <c r="G1123" s="19">
        <v>1</v>
      </c>
      <c r="H1123" s="16">
        <v>5</v>
      </c>
    </row>
    <row r="1124" spans="1:8" x14ac:dyDescent="0.15">
      <c r="A1124" s="19">
        <v>250.02135999999999</v>
      </c>
      <c r="B1124" s="19">
        <v>541.5</v>
      </c>
      <c r="C1124" s="19">
        <v>0.36956</v>
      </c>
      <c r="D1124" s="19">
        <v>89.178269999999998</v>
      </c>
      <c r="E1124" s="19">
        <v>20</v>
      </c>
      <c r="F1124" s="19">
        <v>80</v>
      </c>
      <c r="G1124" s="19">
        <v>1</v>
      </c>
      <c r="H1124" s="16">
        <v>5</v>
      </c>
    </row>
    <row r="1125" spans="1:8" x14ac:dyDescent="0.15">
      <c r="A1125" s="19">
        <v>250.01775000000001</v>
      </c>
      <c r="B1125" s="19">
        <v>542</v>
      </c>
      <c r="C1125" s="19">
        <v>0.36647999999999997</v>
      </c>
      <c r="D1125" s="19">
        <v>89.151330000000002</v>
      </c>
      <c r="E1125" s="19">
        <v>20</v>
      </c>
      <c r="F1125" s="19">
        <v>80</v>
      </c>
      <c r="G1125" s="19">
        <v>1</v>
      </c>
      <c r="H1125" s="16">
        <v>5</v>
      </c>
    </row>
    <row r="1126" spans="1:8" x14ac:dyDescent="0.15">
      <c r="A1126" s="19">
        <v>250.01826</v>
      </c>
      <c r="B1126" s="19">
        <v>542.5</v>
      </c>
      <c r="C1126" s="19">
        <v>0.36684</v>
      </c>
      <c r="D1126" s="19">
        <v>89.104500000000002</v>
      </c>
      <c r="E1126" s="19">
        <v>20</v>
      </c>
      <c r="F1126" s="19">
        <v>80</v>
      </c>
      <c r="G1126" s="19">
        <v>1</v>
      </c>
      <c r="H1126" s="16">
        <v>5</v>
      </c>
    </row>
    <row r="1127" spans="1:8" x14ac:dyDescent="0.15">
      <c r="A1127" s="19">
        <v>250.01499000000001</v>
      </c>
      <c r="B1127" s="19">
        <v>543</v>
      </c>
      <c r="C1127" s="19">
        <v>0.36565999999999999</v>
      </c>
      <c r="D1127" s="19">
        <v>89.165400000000005</v>
      </c>
      <c r="E1127" s="19">
        <v>20</v>
      </c>
      <c r="F1127" s="19">
        <v>80</v>
      </c>
      <c r="G1127" s="19">
        <v>1</v>
      </c>
      <c r="H1127" s="16">
        <v>5</v>
      </c>
    </row>
    <row r="1128" spans="1:8" x14ac:dyDescent="0.15">
      <c r="A1128" s="19">
        <v>250.01329999999999</v>
      </c>
      <c r="B1128" s="19">
        <v>543.5</v>
      </c>
      <c r="C1128" s="19">
        <v>0.36636999999999997</v>
      </c>
      <c r="D1128" s="19">
        <v>89.066429999999997</v>
      </c>
      <c r="E1128" s="19">
        <v>20</v>
      </c>
      <c r="F1128" s="19">
        <v>80</v>
      </c>
      <c r="G1128" s="19">
        <v>1</v>
      </c>
      <c r="H1128" s="16">
        <v>5</v>
      </c>
    </row>
    <row r="1129" spans="1:8" x14ac:dyDescent="0.15">
      <c r="A1129" s="19">
        <v>250.01298</v>
      </c>
      <c r="B1129" s="19">
        <v>544</v>
      </c>
      <c r="C1129" s="19">
        <v>0.36743999999999999</v>
      </c>
      <c r="D1129" s="19">
        <v>89.053100000000001</v>
      </c>
      <c r="E1129" s="19">
        <v>20</v>
      </c>
      <c r="F1129" s="19">
        <v>80</v>
      </c>
      <c r="G1129" s="19">
        <v>1</v>
      </c>
      <c r="H1129" s="16">
        <v>5</v>
      </c>
    </row>
    <row r="1130" spans="1:8" x14ac:dyDescent="0.15">
      <c r="A1130" s="19">
        <v>250.01734999999999</v>
      </c>
      <c r="B1130" s="19">
        <v>544.5</v>
      </c>
      <c r="C1130" s="19">
        <v>0.36631000000000002</v>
      </c>
      <c r="D1130" s="19">
        <v>89.038849999999996</v>
      </c>
      <c r="E1130" s="19">
        <v>20</v>
      </c>
      <c r="F1130" s="19">
        <v>80</v>
      </c>
      <c r="G1130" s="19">
        <v>1</v>
      </c>
      <c r="H1130" s="16">
        <v>5</v>
      </c>
    </row>
    <row r="1131" spans="1:8" x14ac:dyDescent="0.15">
      <c r="A1131" s="19">
        <v>250.018</v>
      </c>
      <c r="B1131" s="19">
        <v>545</v>
      </c>
      <c r="C1131" s="19">
        <v>0.36641000000000001</v>
      </c>
      <c r="D1131" s="19">
        <v>89.095910000000003</v>
      </c>
      <c r="E1131" s="19">
        <v>20</v>
      </c>
      <c r="F1131" s="19">
        <v>80</v>
      </c>
      <c r="G1131" s="19">
        <v>1</v>
      </c>
      <c r="H1131" s="16">
        <v>5</v>
      </c>
    </row>
    <row r="1132" spans="1:8" x14ac:dyDescent="0.15">
      <c r="A1132" s="19">
        <v>250.01866000000001</v>
      </c>
      <c r="B1132" s="19">
        <v>545.5</v>
      </c>
      <c r="C1132" s="19">
        <v>0.36523</v>
      </c>
      <c r="D1132" s="19">
        <v>89.107680000000002</v>
      </c>
      <c r="E1132" s="19">
        <v>20</v>
      </c>
      <c r="F1132" s="19">
        <v>80</v>
      </c>
      <c r="G1132" s="19">
        <v>1</v>
      </c>
      <c r="H1132" s="16">
        <v>5</v>
      </c>
    </row>
    <row r="1133" spans="1:8" x14ac:dyDescent="0.15">
      <c r="A1133" s="19">
        <v>250.01794000000001</v>
      </c>
      <c r="B1133" s="19">
        <v>546</v>
      </c>
      <c r="C1133" s="19">
        <v>0.36509000000000003</v>
      </c>
      <c r="D1133" s="19">
        <v>89.022229999999993</v>
      </c>
      <c r="E1133" s="19">
        <v>20</v>
      </c>
      <c r="F1133" s="19">
        <v>80</v>
      </c>
      <c r="G1133" s="19">
        <v>1</v>
      </c>
      <c r="H1133" s="16">
        <v>5</v>
      </c>
    </row>
    <row r="1134" spans="1:8" x14ac:dyDescent="0.15">
      <c r="A1134" s="19">
        <v>250.01573999999999</v>
      </c>
      <c r="B1134" s="19">
        <v>546.5</v>
      </c>
      <c r="C1134" s="19">
        <v>0.36643999999999999</v>
      </c>
      <c r="D1134" s="19">
        <v>89.098519999999994</v>
      </c>
      <c r="E1134" s="19">
        <v>20</v>
      </c>
      <c r="F1134" s="19">
        <v>80</v>
      </c>
      <c r="G1134" s="19">
        <v>1</v>
      </c>
      <c r="H1134" s="16">
        <v>5</v>
      </c>
    </row>
    <row r="1135" spans="1:8" x14ac:dyDescent="0.15">
      <c r="A1135" s="19">
        <v>250.01488000000001</v>
      </c>
      <c r="B1135" s="19">
        <v>547</v>
      </c>
      <c r="C1135" s="19">
        <v>0.36598000000000003</v>
      </c>
      <c r="D1135" s="19">
        <v>89.033600000000007</v>
      </c>
      <c r="E1135" s="19">
        <v>20</v>
      </c>
      <c r="F1135" s="19">
        <v>80</v>
      </c>
      <c r="G1135" s="19">
        <v>1</v>
      </c>
      <c r="H1135" s="16">
        <v>5</v>
      </c>
    </row>
    <row r="1136" spans="1:8" x14ac:dyDescent="0.15">
      <c r="A1136" s="19">
        <v>250.01387</v>
      </c>
      <c r="B1136" s="19">
        <v>547.5</v>
      </c>
      <c r="C1136" s="19">
        <v>0.36659999999999998</v>
      </c>
      <c r="D1136" s="19">
        <v>89.07544</v>
      </c>
      <c r="E1136" s="19">
        <v>20</v>
      </c>
      <c r="F1136" s="19">
        <v>80</v>
      </c>
      <c r="G1136" s="19">
        <v>1</v>
      </c>
      <c r="H1136" s="16">
        <v>5</v>
      </c>
    </row>
    <row r="1137" spans="1:8" x14ac:dyDescent="0.15">
      <c r="A1137" s="19">
        <v>250.01643000000001</v>
      </c>
      <c r="B1137" s="19">
        <v>548</v>
      </c>
      <c r="C1137" s="19">
        <v>0.36543999999999999</v>
      </c>
      <c r="D1137" s="19">
        <v>88.926109999999994</v>
      </c>
      <c r="E1137" s="19">
        <v>20</v>
      </c>
      <c r="F1137" s="19">
        <v>80</v>
      </c>
      <c r="G1137" s="19">
        <v>1</v>
      </c>
      <c r="H1137" s="16">
        <v>5</v>
      </c>
    </row>
    <row r="1138" spans="1:8" x14ac:dyDescent="0.15">
      <c r="A1138" s="19">
        <v>250.02108999999999</v>
      </c>
      <c r="B1138" s="19">
        <v>548.5</v>
      </c>
      <c r="C1138" s="19">
        <v>0.36392999999999998</v>
      </c>
      <c r="D1138" s="19">
        <v>89.03931</v>
      </c>
      <c r="E1138" s="19">
        <v>20</v>
      </c>
      <c r="F1138" s="19">
        <v>80</v>
      </c>
      <c r="G1138" s="19">
        <v>1</v>
      </c>
      <c r="H1138" s="16">
        <v>5</v>
      </c>
    </row>
    <row r="1139" spans="1:8" x14ac:dyDescent="0.15">
      <c r="A1139" s="19">
        <v>250.02253999999999</v>
      </c>
      <c r="B1139" s="19">
        <v>549</v>
      </c>
      <c r="C1139" s="19">
        <v>0.36479</v>
      </c>
      <c r="D1139" s="19">
        <v>88.916179999999997</v>
      </c>
      <c r="E1139" s="19">
        <v>20</v>
      </c>
      <c r="F1139" s="19">
        <v>80</v>
      </c>
      <c r="G1139" s="19">
        <v>1</v>
      </c>
      <c r="H1139" s="16">
        <v>5</v>
      </c>
    </row>
    <row r="1140" spans="1:8" x14ac:dyDescent="0.15">
      <c r="A1140" s="19">
        <v>250.02016</v>
      </c>
      <c r="B1140" s="19">
        <v>549.5</v>
      </c>
      <c r="C1140" s="19">
        <v>0.36403000000000002</v>
      </c>
      <c r="D1140" s="19">
        <v>89.011750000000006</v>
      </c>
      <c r="E1140" s="19">
        <v>20</v>
      </c>
      <c r="F1140" s="19">
        <v>80</v>
      </c>
      <c r="G1140" s="19">
        <v>1</v>
      </c>
      <c r="H1140" s="16">
        <v>5</v>
      </c>
    </row>
    <row r="1141" spans="1:8" x14ac:dyDescent="0.15">
      <c r="A1141" s="19">
        <v>250.01548</v>
      </c>
      <c r="B1141" s="19">
        <v>550</v>
      </c>
      <c r="C1141" s="19">
        <v>0.36576999999999998</v>
      </c>
      <c r="D1141" s="19">
        <v>89.094660000000005</v>
      </c>
      <c r="E1141" s="19">
        <v>20</v>
      </c>
      <c r="F1141" s="19">
        <v>80</v>
      </c>
      <c r="G1141" s="19">
        <v>1</v>
      </c>
      <c r="H1141" s="16">
        <v>5</v>
      </c>
    </row>
    <row r="1142" spans="1:8" x14ac:dyDescent="0.15">
      <c r="A1142" s="19">
        <v>250.01603</v>
      </c>
      <c r="B1142" s="19">
        <v>550.5</v>
      </c>
      <c r="C1142" s="19">
        <v>0.36476999999999998</v>
      </c>
      <c r="D1142" s="19">
        <v>89.044550000000001</v>
      </c>
      <c r="E1142" s="19">
        <v>20</v>
      </c>
      <c r="F1142" s="19">
        <v>80</v>
      </c>
      <c r="G1142" s="19">
        <v>1</v>
      </c>
      <c r="H1142" s="16">
        <v>5</v>
      </c>
    </row>
    <row r="1143" spans="1:8" x14ac:dyDescent="0.15">
      <c r="A1143" s="19">
        <v>250.01965999999999</v>
      </c>
      <c r="B1143" s="19">
        <v>551</v>
      </c>
      <c r="C1143" s="19">
        <v>0.36404999999999998</v>
      </c>
      <c r="D1143" s="19">
        <v>88.862470000000002</v>
      </c>
      <c r="E1143" s="19">
        <v>20</v>
      </c>
      <c r="F1143" s="19">
        <v>80</v>
      </c>
      <c r="G1143" s="19">
        <v>1</v>
      </c>
      <c r="H1143" s="16">
        <v>5</v>
      </c>
    </row>
    <row r="1144" spans="1:8" x14ac:dyDescent="0.15">
      <c r="A1144" s="19">
        <v>250.01998</v>
      </c>
      <c r="B1144" s="19">
        <v>551.5</v>
      </c>
      <c r="C1144" s="19">
        <v>0.36470999999999998</v>
      </c>
      <c r="D1144" s="19">
        <v>89.011170000000007</v>
      </c>
      <c r="E1144" s="19">
        <v>20</v>
      </c>
      <c r="F1144" s="19">
        <v>80</v>
      </c>
      <c r="G1144" s="19">
        <v>1</v>
      </c>
      <c r="H1144" s="16">
        <v>5</v>
      </c>
    </row>
    <row r="1145" spans="1:8" x14ac:dyDescent="0.15">
      <c r="A1145" s="19">
        <v>250.01971</v>
      </c>
      <c r="B1145" s="19">
        <v>552</v>
      </c>
      <c r="C1145" s="19">
        <v>0.36323</v>
      </c>
      <c r="D1145" s="19">
        <v>88.978999999999999</v>
      </c>
      <c r="E1145" s="19">
        <v>20</v>
      </c>
      <c r="F1145" s="19">
        <v>80</v>
      </c>
      <c r="G1145" s="19">
        <v>1</v>
      </c>
      <c r="H1145" s="16">
        <v>5</v>
      </c>
    </row>
    <row r="1146" spans="1:8" x14ac:dyDescent="0.15">
      <c r="A1146" s="19">
        <v>250.01705000000001</v>
      </c>
      <c r="B1146" s="19">
        <v>552.5</v>
      </c>
      <c r="C1146" s="19">
        <v>0.36341000000000001</v>
      </c>
      <c r="D1146" s="19">
        <v>89.026600000000002</v>
      </c>
      <c r="E1146" s="19">
        <v>20</v>
      </c>
      <c r="F1146" s="19">
        <v>80</v>
      </c>
      <c r="G1146" s="19">
        <v>1</v>
      </c>
      <c r="H1146" s="16">
        <v>5</v>
      </c>
    </row>
    <row r="1147" spans="1:8" x14ac:dyDescent="0.15">
      <c r="A1147" s="19">
        <v>250.01411999999999</v>
      </c>
      <c r="B1147" s="19">
        <v>553</v>
      </c>
      <c r="C1147" s="19">
        <v>0.36360999999999999</v>
      </c>
      <c r="D1147" s="19">
        <v>88.997079999999997</v>
      </c>
      <c r="E1147" s="19">
        <v>20</v>
      </c>
      <c r="F1147" s="19">
        <v>80</v>
      </c>
      <c r="G1147" s="19">
        <v>1</v>
      </c>
      <c r="H1147" s="16">
        <v>5</v>
      </c>
    </row>
    <row r="1148" spans="1:8" x14ac:dyDescent="0.15">
      <c r="A1148" s="19">
        <v>250.01361</v>
      </c>
      <c r="B1148" s="19">
        <v>553.5</v>
      </c>
      <c r="C1148" s="19">
        <v>0.36392999999999998</v>
      </c>
      <c r="D1148" s="19">
        <v>88.900700000000001</v>
      </c>
      <c r="E1148" s="19">
        <v>20</v>
      </c>
      <c r="F1148" s="19">
        <v>80</v>
      </c>
      <c r="G1148" s="19">
        <v>1</v>
      </c>
      <c r="H1148" s="16">
        <v>5</v>
      </c>
    </row>
    <row r="1149" spans="1:8" x14ac:dyDescent="0.15">
      <c r="A1149" s="19">
        <v>250.01525000000001</v>
      </c>
      <c r="B1149" s="19">
        <v>554</v>
      </c>
      <c r="C1149" s="19">
        <v>0.36464000000000002</v>
      </c>
      <c r="D1149" s="19">
        <v>88.959689999999995</v>
      </c>
      <c r="E1149" s="19">
        <v>20</v>
      </c>
      <c r="F1149" s="19">
        <v>80</v>
      </c>
      <c r="G1149" s="19">
        <v>1</v>
      </c>
      <c r="H1149" s="16">
        <v>5</v>
      </c>
    </row>
    <row r="1150" spans="1:8" x14ac:dyDescent="0.15">
      <c r="A1150" s="19">
        <v>250.01859999999999</v>
      </c>
      <c r="B1150" s="19">
        <v>554.5</v>
      </c>
      <c r="C1150" s="19">
        <v>0.36432999999999999</v>
      </c>
      <c r="D1150" s="19">
        <v>89.028599999999997</v>
      </c>
      <c r="E1150" s="19">
        <v>20</v>
      </c>
      <c r="F1150" s="19">
        <v>80</v>
      </c>
      <c r="G1150" s="19">
        <v>1</v>
      </c>
      <c r="H1150" s="16">
        <v>5</v>
      </c>
    </row>
    <row r="1151" spans="1:8" x14ac:dyDescent="0.15">
      <c r="A1151" s="19">
        <v>250.01765</v>
      </c>
      <c r="B1151" s="19">
        <v>555</v>
      </c>
      <c r="C1151" s="19">
        <v>0.36431000000000002</v>
      </c>
      <c r="D1151" s="19">
        <v>89.031959999999998</v>
      </c>
      <c r="E1151" s="19">
        <v>20</v>
      </c>
      <c r="F1151" s="19">
        <v>80</v>
      </c>
      <c r="G1151" s="19">
        <v>1</v>
      </c>
      <c r="H1151" s="16">
        <v>5</v>
      </c>
    </row>
    <row r="1152" spans="1:8" x14ac:dyDescent="0.15">
      <c r="A1152" s="19">
        <v>250.01755</v>
      </c>
      <c r="B1152" s="19">
        <v>555.5</v>
      </c>
      <c r="C1152" s="19">
        <v>0.36374000000000001</v>
      </c>
      <c r="D1152" s="19">
        <v>88.952280000000002</v>
      </c>
      <c r="E1152" s="19">
        <v>20</v>
      </c>
      <c r="F1152" s="19">
        <v>80</v>
      </c>
      <c r="G1152" s="19">
        <v>1</v>
      </c>
      <c r="H1152" s="16">
        <v>5</v>
      </c>
    </row>
    <row r="1153" spans="1:8" x14ac:dyDescent="0.15">
      <c r="A1153" s="19">
        <v>250.01589000000001</v>
      </c>
      <c r="B1153" s="19">
        <v>556</v>
      </c>
      <c r="C1153" s="19">
        <v>0.36326999999999998</v>
      </c>
      <c r="D1153" s="19">
        <v>88.853189999999998</v>
      </c>
      <c r="E1153" s="19">
        <v>20</v>
      </c>
      <c r="F1153" s="19">
        <v>80</v>
      </c>
      <c r="G1153" s="19">
        <v>1</v>
      </c>
      <c r="H1153" s="16">
        <v>5</v>
      </c>
    </row>
    <row r="1154" spans="1:8" x14ac:dyDescent="0.15">
      <c r="A1154" s="19">
        <v>250.01624000000001</v>
      </c>
      <c r="B1154" s="19">
        <v>556.5</v>
      </c>
      <c r="C1154" s="19">
        <v>0.36215999999999998</v>
      </c>
      <c r="D1154" s="19">
        <v>88.898039999999995</v>
      </c>
      <c r="E1154" s="19">
        <v>20</v>
      </c>
      <c r="F1154" s="19">
        <v>80</v>
      </c>
      <c r="G1154" s="19">
        <v>1</v>
      </c>
      <c r="H1154" s="16">
        <v>5</v>
      </c>
    </row>
    <row r="1155" spans="1:8" x14ac:dyDescent="0.15">
      <c r="A1155" s="19">
        <v>250.02078</v>
      </c>
      <c r="B1155" s="19">
        <v>557</v>
      </c>
      <c r="C1155" s="19">
        <v>0.36176000000000003</v>
      </c>
      <c r="D1155" s="19">
        <v>88.787409999999994</v>
      </c>
      <c r="E1155" s="19">
        <v>20</v>
      </c>
      <c r="F1155" s="19">
        <v>80</v>
      </c>
      <c r="G1155" s="19">
        <v>1</v>
      </c>
      <c r="H1155" s="16">
        <v>5</v>
      </c>
    </row>
    <row r="1156" spans="1:8" x14ac:dyDescent="0.15">
      <c r="A1156" s="19">
        <v>250.01866999999999</v>
      </c>
      <c r="B1156" s="19">
        <v>557.5</v>
      </c>
      <c r="C1156" s="19">
        <v>0.36159000000000002</v>
      </c>
      <c r="D1156" s="19">
        <v>88.809200000000004</v>
      </c>
      <c r="E1156" s="19">
        <v>20</v>
      </c>
      <c r="F1156" s="19">
        <v>80</v>
      </c>
      <c r="G1156" s="19">
        <v>1</v>
      </c>
      <c r="H1156" s="16">
        <v>5</v>
      </c>
    </row>
    <row r="1157" spans="1:8" x14ac:dyDescent="0.15">
      <c r="A1157" s="19">
        <v>250.01884999999999</v>
      </c>
      <c r="B1157" s="19">
        <v>558</v>
      </c>
      <c r="C1157" s="19">
        <v>0.36216999999999999</v>
      </c>
      <c r="D1157" s="19">
        <v>88.758660000000006</v>
      </c>
      <c r="E1157" s="19">
        <v>20</v>
      </c>
      <c r="F1157" s="19">
        <v>80</v>
      </c>
      <c r="G1157" s="19">
        <v>1</v>
      </c>
      <c r="H1157" s="16">
        <v>5</v>
      </c>
    </row>
    <row r="1158" spans="1:8" x14ac:dyDescent="0.15">
      <c r="A1158" s="19">
        <v>250.01872</v>
      </c>
      <c r="B1158" s="19">
        <v>558.5</v>
      </c>
      <c r="C1158" s="19">
        <v>0.36246</v>
      </c>
      <c r="D1158" s="19">
        <v>88.7714</v>
      </c>
      <c r="E1158" s="19">
        <v>20</v>
      </c>
      <c r="F1158" s="19">
        <v>80</v>
      </c>
      <c r="G1158" s="19">
        <v>1</v>
      </c>
      <c r="H1158" s="16">
        <v>5</v>
      </c>
    </row>
    <row r="1159" spans="1:8" x14ac:dyDescent="0.15">
      <c r="A1159" s="19">
        <v>250.01751999999999</v>
      </c>
      <c r="B1159" s="19">
        <v>559</v>
      </c>
      <c r="C1159" s="19">
        <v>0.36198999999999998</v>
      </c>
      <c r="D1159" s="19">
        <v>88.812730000000002</v>
      </c>
      <c r="E1159" s="19">
        <v>20</v>
      </c>
      <c r="F1159" s="19">
        <v>80</v>
      </c>
      <c r="G1159" s="19">
        <v>1</v>
      </c>
      <c r="H1159" s="16">
        <v>5</v>
      </c>
    </row>
    <row r="1160" spans="1:8" x14ac:dyDescent="0.15">
      <c r="A1160" s="19">
        <v>250.01646</v>
      </c>
      <c r="B1160" s="19">
        <v>559.5</v>
      </c>
      <c r="C1160" s="19">
        <v>0.36055999999999999</v>
      </c>
      <c r="D1160" s="19">
        <v>88.686130000000006</v>
      </c>
      <c r="E1160" s="19">
        <v>20</v>
      </c>
      <c r="F1160" s="19">
        <v>80</v>
      </c>
      <c r="G1160" s="19">
        <v>1</v>
      </c>
      <c r="H1160" s="16">
        <v>5</v>
      </c>
    </row>
    <row r="1161" spans="1:8" x14ac:dyDescent="0.15">
      <c r="A1161" s="19">
        <v>250.01804000000001</v>
      </c>
      <c r="B1161" s="19">
        <v>560</v>
      </c>
      <c r="C1161" s="19">
        <v>0.36182999999999998</v>
      </c>
      <c r="D1161" s="19">
        <v>88.829710000000006</v>
      </c>
      <c r="E1161" s="19">
        <v>20</v>
      </c>
      <c r="F1161" s="19">
        <v>80</v>
      </c>
      <c r="G1161" s="19">
        <v>1</v>
      </c>
      <c r="H1161" s="16">
        <v>5</v>
      </c>
    </row>
    <row r="1162" spans="1:8" x14ac:dyDescent="0.15">
      <c r="A1162" s="19">
        <v>250.01773</v>
      </c>
      <c r="B1162" s="19">
        <v>560.5</v>
      </c>
      <c r="C1162" s="19">
        <v>0.36012</v>
      </c>
      <c r="D1162" s="19">
        <v>88.737210000000005</v>
      </c>
      <c r="E1162" s="19">
        <v>20</v>
      </c>
      <c r="F1162" s="19">
        <v>80</v>
      </c>
      <c r="G1162" s="19">
        <v>1</v>
      </c>
      <c r="H1162" s="16">
        <v>5</v>
      </c>
    </row>
    <row r="1163" spans="1:8" x14ac:dyDescent="0.15">
      <c r="A1163" s="19">
        <v>250.02249</v>
      </c>
      <c r="B1163" s="19">
        <v>561</v>
      </c>
      <c r="C1163" s="19">
        <v>0.36365999999999998</v>
      </c>
      <c r="D1163" s="19">
        <v>88.791020000000003</v>
      </c>
      <c r="E1163" s="19">
        <v>20</v>
      </c>
      <c r="F1163" s="19">
        <v>80</v>
      </c>
      <c r="G1163" s="19">
        <v>1</v>
      </c>
      <c r="H1163" s="16">
        <v>5</v>
      </c>
    </row>
    <row r="1164" spans="1:8" x14ac:dyDescent="0.15">
      <c r="A1164" s="19">
        <v>250.02253999999999</v>
      </c>
      <c r="B1164" s="19">
        <v>561.5</v>
      </c>
      <c r="C1164" s="19">
        <v>0.36191000000000001</v>
      </c>
      <c r="D1164" s="19">
        <v>88.8506</v>
      </c>
      <c r="E1164" s="19">
        <v>20</v>
      </c>
      <c r="F1164" s="19">
        <v>80</v>
      </c>
      <c r="G1164" s="19">
        <v>1</v>
      </c>
      <c r="H1164" s="16">
        <v>5</v>
      </c>
    </row>
    <row r="1165" spans="1:8" x14ac:dyDescent="0.15">
      <c r="A1165" s="19">
        <v>250.02200999999999</v>
      </c>
      <c r="B1165" s="19">
        <v>562</v>
      </c>
      <c r="C1165" s="19">
        <v>0.36219000000000001</v>
      </c>
      <c r="D1165" s="19">
        <v>88.758120000000005</v>
      </c>
      <c r="E1165" s="19">
        <v>20</v>
      </c>
      <c r="F1165" s="19">
        <v>80</v>
      </c>
      <c r="G1165" s="19">
        <v>1</v>
      </c>
      <c r="H1165" s="16">
        <v>5</v>
      </c>
    </row>
    <row r="1166" spans="1:8" x14ac:dyDescent="0.15">
      <c r="A1166" s="19">
        <v>250.02499</v>
      </c>
      <c r="B1166" s="19">
        <v>562.5</v>
      </c>
      <c r="C1166" s="19">
        <v>0.36113000000000001</v>
      </c>
      <c r="D1166" s="19">
        <v>88.654200000000003</v>
      </c>
      <c r="E1166" s="19">
        <v>20</v>
      </c>
      <c r="F1166" s="19">
        <v>80</v>
      </c>
      <c r="G1166" s="19">
        <v>1</v>
      </c>
      <c r="H1166" s="16">
        <v>5</v>
      </c>
    </row>
    <row r="1167" spans="1:8" x14ac:dyDescent="0.15">
      <c r="A1167" s="19">
        <v>250.02447000000001</v>
      </c>
      <c r="B1167" s="19">
        <v>563</v>
      </c>
      <c r="C1167" s="19">
        <v>0.36051</v>
      </c>
      <c r="D1167" s="19">
        <v>88.800389999999993</v>
      </c>
      <c r="E1167" s="19">
        <v>20</v>
      </c>
      <c r="F1167" s="19">
        <v>80</v>
      </c>
      <c r="G1167" s="19">
        <v>1</v>
      </c>
      <c r="H1167" s="16">
        <v>5</v>
      </c>
    </row>
    <row r="1168" spans="1:8" x14ac:dyDescent="0.15">
      <c r="A1168" s="19">
        <v>250.02139</v>
      </c>
      <c r="B1168" s="19">
        <v>563.5</v>
      </c>
      <c r="C1168" s="19">
        <v>0.35981000000000002</v>
      </c>
      <c r="D1168" s="19">
        <v>88.679280000000006</v>
      </c>
      <c r="E1168" s="19">
        <v>20</v>
      </c>
      <c r="F1168" s="19">
        <v>80</v>
      </c>
      <c r="G1168" s="19">
        <v>1</v>
      </c>
      <c r="H1168" s="16">
        <v>5</v>
      </c>
    </row>
    <row r="1169" spans="1:8" x14ac:dyDescent="0.15">
      <c r="A1169" s="19">
        <v>250.02080000000001</v>
      </c>
      <c r="B1169" s="19">
        <v>564</v>
      </c>
      <c r="C1169" s="19">
        <v>0.36074000000000001</v>
      </c>
      <c r="D1169" s="19">
        <v>88.637090000000001</v>
      </c>
      <c r="E1169" s="19">
        <v>20</v>
      </c>
      <c r="F1169" s="19">
        <v>80</v>
      </c>
      <c r="G1169" s="19">
        <v>1</v>
      </c>
      <c r="H1169" s="16">
        <v>5</v>
      </c>
    </row>
    <row r="1170" spans="1:8" x14ac:dyDescent="0.15">
      <c r="A1170" s="19">
        <v>250.02332999999999</v>
      </c>
      <c r="B1170" s="19">
        <v>564.5</v>
      </c>
      <c r="C1170" s="19">
        <v>0.36097000000000001</v>
      </c>
      <c r="D1170" s="19">
        <v>88.615790000000004</v>
      </c>
      <c r="E1170" s="19">
        <v>20</v>
      </c>
      <c r="F1170" s="19">
        <v>80</v>
      </c>
      <c r="G1170" s="19">
        <v>1</v>
      </c>
      <c r="H1170" s="16">
        <v>5</v>
      </c>
    </row>
    <row r="1171" spans="1:8" x14ac:dyDescent="0.15">
      <c r="A1171" s="19">
        <v>250.02318</v>
      </c>
      <c r="B1171" s="19">
        <v>565</v>
      </c>
      <c r="C1171" s="19">
        <v>0.36033999999999999</v>
      </c>
      <c r="D1171" s="19">
        <v>88.792689999999993</v>
      </c>
      <c r="E1171" s="19">
        <v>20</v>
      </c>
      <c r="F1171" s="19">
        <v>80</v>
      </c>
      <c r="G1171" s="19">
        <v>1</v>
      </c>
      <c r="H1171" s="16">
        <v>5</v>
      </c>
    </row>
    <row r="1172" spans="1:8" x14ac:dyDescent="0.15">
      <c r="A1172" s="19">
        <v>250.02369999999999</v>
      </c>
      <c r="B1172" s="19">
        <v>565.5</v>
      </c>
      <c r="C1172" s="19">
        <v>0.36012</v>
      </c>
      <c r="D1172" s="19">
        <v>88.661109999999994</v>
      </c>
      <c r="E1172" s="19">
        <v>20</v>
      </c>
      <c r="F1172" s="19">
        <v>80</v>
      </c>
      <c r="G1172" s="19">
        <v>1</v>
      </c>
      <c r="H1172" s="16">
        <v>5</v>
      </c>
    </row>
    <row r="1173" spans="1:8" x14ac:dyDescent="0.15">
      <c r="A1173" s="19">
        <v>250.02247</v>
      </c>
      <c r="B1173" s="19">
        <v>566</v>
      </c>
      <c r="C1173" s="19">
        <v>0.3604</v>
      </c>
      <c r="D1173" s="19">
        <v>88.682879999999997</v>
      </c>
      <c r="E1173" s="19">
        <v>20</v>
      </c>
      <c r="F1173" s="19">
        <v>80</v>
      </c>
      <c r="G1173" s="19">
        <v>1</v>
      </c>
      <c r="H1173" s="16">
        <v>5</v>
      </c>
    </row>
    <row r="1174" spans="1:8" x14ac:dyDescent="0.15">
      <c r="A1174" s="19">
        <v>250.01837</v>
      </c>
      <c r="B1174" s="19">
        <v>566.5</v>
      </c>
      <c r="C1174" s="19">
        <v>0.36070999999999998</v>
      </c>
      <c r="D1174" s="19">
        <v>88.641210000000001</v>
      </c>
      <c r="E1174" s="19">
        <v>20</v>
      </c>
      <c r="F1174" s="19">
        <v>80</v>
      </c>
      <c r="G1174" s="19">
        <v>1</v>
      </c>
      <c r="H1174" s="16">
        <v>5</v>
      </c>
    </row>
    <row r="1175" spans="1:8" x14ac:dyDescent="0.15">
      <c r="A1175" s="19">
        <v>250.01706999999999</v>
      </c>
      <c r="B1175" s="19">
        <v>567</v>
      </c>
      <c r="C1175" s="19">
        <v>0.35979</v>
      </c>
      <c r="D1175" s="19">
        <v>88.637280000000004</v>
      </c>
      <c r="E1175" s="19">
        <v>20</v>
      </c>
      <c r="F1175" s="19">
        <v>80</v>
      </c>
      <c r="G1175" s="19">
        <v>1</v>
      </c>
      <c r="H1175" s="16">
        <v>5</v>
      </c>
    </row>
    <row r="1176" spans="1:8" x14ac:dyDescent="0.15">
      <c r="A1176" s="19">
        <v>250.01527999999999</v>
      </c>
      <c r="B1176" s="19">
        <v>567.5</v>
      </c>
      <c r="C1176" s="19">
        <v>0.36153999999999997</v>
      </c>
      <c r="D1176" s="19">
        <v>88.575689999999994</v>
      </c>
      <c r="E1176" s="19">
        <v>20</v>
      </c>
      <c r="F1176" s="19">
        <v>80</v>
      </c>
      <c r="G1176" s="19">
        <v>1</v>
      </c>
      <c r="H1176" s="16">
        <v>5</v>
      </c>
    </row>
    <row r="1177" spans="1:8" x14ac:dyDescent="0.15">
      <c r="A1177" s="19">
        <v>250.01515000000001</v>
      </c>
      <c r="B1177" s="19">
        <v>568</v>
      </c>
      <c r="C1177" s="19">
        <v>0.3599</v>
      </c>
      <c r="D1177" s="19">
        <v>88.586920000000006</v>
      </c>
      <c r="E1177" s="19">
        <v>20</v>
      </c>
      <c r="F1177" s="19">
        <v>80</v>
      </c>
      <c r="G1177" s="19">
        <v>1</v>
      </c>
      <c r="H1177" s="16">
        <v>5</v>
      </c>
    </row>
    <row r="1178" spans="1:8" x14ac:dyDescent="0.15">
      <c r="A1178" s="19">
        <v>250.01118</v>
      </c>
      <c r="B1178" s="19">
        <v>568.5</v>
      </c>
      <c r="C1178" s="19">
        <v>0.36070999999999998</v>
      </c>
      <c r="D1178" s="19">
        <v>88.515280000000004</v>
      </c>
      <c r="E1178" s="19">
        <v>20</v>
      </c>
      <c r="F1178" s="19">
        <v>80</v>
      </c>
      <c r="G1178" s="19">
        <v>1</v>
      </c>
      <c r="H1178" s="16">
        <v>5</v>
      </c>
    </row>
    <row r="1179" spans="1:8" x14ac:dyDescent="0.15">
      <c r="A1179" s="19">
        <v>250.01242999999999</v>
      </c>
      <c r="B1179" s="19">
        <v>569</v>
      </c>
      <c r="C1179" s="19">
        <v>0.35944999999999999</v>
      </c>
      <c r="D1179" s="19">
        <v>88.57132</v>
      </c>
      <c r="E1179" s="19">
        <v>20</v>
      </c>
      <c r="F1179" s="19">
        <v>80</v>
      </c>
      <c r="G1179" s="19">
        <v>1</v>
      </c>
      <c r="H1179" s="16">
        <v>5</v>
      </c>
    </row>
    <row r="1180" spans="1:8" x14ac:dyDescent="0.15">
      <c r="A1180" s="19">
        <v>250.01698999999999</v>
      </c>
      <c r="B1180" s="19">
        <v>569.5</v>
      </c>
      <c r="C1180" s="19">
        <v>0.36</v>
      </c>
      <c r="D1180" s="19">
        <v>88.680019999999999</v>
      </c>
      <c r="E1180" s="19">
        <v>20</v>
      </c>
      <c r="F1180" s="19">
        <v>80</v>
      </c>
      <c r="G1180" s="19">
        <v>1</v>
      </c>
      <c r="H1180" s="16">
        <v>5</v>
      </c>
    </row>
    <row r="1181" spans="1:8" x14ac:dyDescent="0.15">
      <c r="A1181" s="19">
        <v>250.01656</v>
      </c>
      <c r="B1181" s="19">
        <v>570</v>
      </c>
      <c r="C1181" s="19">
        <v>0.36021999999999998</v>
      </c>
      <c r="D1181" s="19">
        <v>88.651229999999998</v>
      </c>
      <c r="E1181" s="19">
        <v>20</v>
      </c>
      <c r="F1181" s="19">
        <v>80</v>
      </c>
      <c r="G1181" s="19">
        <v>1</v>
      </c>
      <c r="H1181" s="16">
        <v>5</v>
      </c>
    </row>
    <row r="1182" spans="1:8" x14ac:dyDescent="0.15">
      <c r="A1182" s="19">
        <v>250.01617999999999</v>
      </c>
      <c r="B1182" s="19">
        <v>570.5</v>
      </c>
      <c r="C1182" s="19">
        <v>0.36025000000000001</v>
      </c>
      <c r="D1182" s="19">
        <v>88.573859999999996</v>
      </c>
      <c r="E1182" s="19">
        <v>20</v>
      </c>
      <c r="F1182" s="19">
        <v>80</v>
      </c>
      <c r="G1182" s="19">
        <v>1</v>
      </c>
      <c r="H1182" s="16">
        <v>5</v>
      </c>
    </row>
    <row r="1183" spans="1:8" x14ac:dyDescent="0.15">
      <c r="A1183" s="19">
        <v>250.01741000000001</v>
      </c>
      <c r="B1183" s="19">
        <v>571</v>
      </c>
      <c r="C1183" s="19">
        <v>0.36079</v>
      </c>
      <c r="D1183" s="19">
        <v>88.570899999999995</v>
      </c>
      <c r="E1183" s="19">
        <v>20</v>
      </c>
      <c r="F1183" s="19">
        <v>80</v>
      </c>
      <c r="G1183" s="19">
        <v>1</v>
      </c>
      <c r="H1183" s="16">
        <v>5</v>
      </c>
    </row>
    <row r="1184" spans="1:8" x14ac:dyDescent="0.15">
      <c r="A1184" s="19">
        <v>250.01591999999999</v>
      </c>
      <c r="B1184" s="19">
        <v>571.5</v>
      </c>
      <c r="C1184" s="19">
        <v>0.35913</v>
      </c>
      <c r="D1184" s="19">
        <v>88.639039999999994</v>
      </c>
      <c r="E1184" s="19">
        <v>20</v>
      </c>
      <c r="F1184" s="19">
        <v>80</v>
      </c>
      <c r="G1184" s="19">
        <v>1</v>
      </c>
      <c r="H1184" s="16">
        <v>5</v>
      </c>
    </row>
    <row r="1185" spans="1:8" x14ac:dyDescent="0.15">
      <c r="A1185" s="19">
        <v>250.01590999999999</v>
      </c>
      <c r="B1185" s="19">
        <v>572</v>
      </c>
      <c r="C1185" s="19">
        <v>0.36193999999999998</v>
      </c>
      <c r="D1185" s="19">
        <v>88.581890000000001</v>
      </c>
      <c r="E1185" s="19">
        <v>20</v>
      </c>
      <c r="F1185" s="19">
        <v>80</v>
      </c>
      <c r="G1185" s="19">
        <v>1</v>
      </c>
      <c r="H1185" s="16">
        <v>5</v>
      </c>
    </row>
    <row r="1186" spans="1:8" x14ac:dyDescent="0.15">
      <c r="A1186" s="19">
        <v>250.01704000000001</v>
      </c>
      <c r="B1186" s="19">
        <v>572.5</v>
      </c>
      <c r="C1186" s="19">
        <v>0.36031999999999997</v>
      </c>
      <c r="D1186" s="19">
        <v>88.581789999999998</v>
      </c>
      <c r="E1186" s="19">
        <v>20</v>
      </c>
      <c r="F1186" s="19">
        <v>80</v>
      </c>
      <c r="G1186" s="19">
        <v>1</v>
      </c>
      <c r="H1186" s="16">
        <v>5</v>
      </c>
    </row>
    <row r="1187" spans="1:8" x14ac:dyDescent="0.15">
      <c r="A1187" s="19">
        <v>250.01429999999999</v>
      </c>
      <c r="B1187" s="19">
        <v>573</v>
      </c>
      <c r="C1187" s="19">
        <v>0.36125000000000002</v>
      </c>
      <c r="D1187" s="19">
        <v>88.439080000000004</v>
      </c>
      <c r="E1187" s="19">
        <v>20</v>
      </c>
      <c r="F1187" s="19">
        <v>80</v>
      </c>
      <c r="G1187" s="19">
        <v>1</v>
      </c>
      <c r="H1187" s="16">
        <v>5</v>
      </c>
    </row>
    <row r="1188" spans="1:8" x14ac:dyDescent="0.15">
      <c r="A1188" s="19">
        <v>250.01271</v>
      </c>
      <c r="B1188" s="19">
        <v>573.5</v>
      </c>
      <c r="C1188" s="19">
        <v>0.35994999999999999</v>
      </c>
      <c r="D1188" s="19">
        <v>88.576840000000004</v>
      </c>
      <c r="E1188" s="19">
        <v>20</v>
      </c>
      <c r="F1188" s="19">
        <v>80</v>
      </c>
      <c r="G1188" s="19">
        <v>1</v>
      </c>
      <c r="H1188" s="16">
        <v>5</v>
      </c>
    </row>
    <row r="1189" spans="1:8" x14ac:dyDescent="0.15">
      <c r="A1189" s="19">
        <v>250.01393999999999</v>
      </c>
      <c r="B1189" s="19">
        <v>574</v>
      </c>
      <c r="C1189" s="19">
        <v>0.36008000000000001</v>
      </c>
      <c r="D1189" s="19">
        <v>88.500259999999997</v>
      </c>
      <c r="E1189" s="19">
        <v>20</v>
      </c>
      <c r="F1189" s="19">
        <v>80</v>
      </c>
      <c r="G1189" s="19">
        <v>1</v>
      </c>
      <c r="H1189" s="16">
        <v>5</v>
      </c>
    </row>
    <row r="1190" spans="1:8" x14ac:dyDescent="0.15">
      <c r="A1190" s="19">
        <v>250.01383999999999</v>
      </c>
      <c r="B1190" s="19">
        <v>574.5</v>
      </c>
      <c r="C1190" s="19">
        <v>0.36053000000000002</v>
      </c>
      <c r="D1190" s="19">
        <v>88.529160000000005</v>
      </c>
      <c r="E1190" s="19">
        <v>20</v>
      </c>
      <c r="F1190" s="19">
        <v>80</v>
      </c>
      <c r="G1190" s="19">
        <v>1</v>
      </c>
      <c r="H1190" s="16">
        <v>5</v>
      </c>
    </row>
    <row r="1191" spans="1:8" x14ac:dyDescent="0.15">
      <c r="A1191" s="19">
        <v>250.00933000000001</v>
      </c>
      <c r="B1191" s="19">
        <v>575</v>
      </c>
      <c r="C1191" s="19">
        <v>0.35857</v>
      </c>
      <c r="D1191" s="19">
        <v>88.508510000000001</v>
      </c>
      <c r="E1191" s="19">
        <v>20</v>
      </c>
      <c r="F1191" s="19">
        <v>80</v>
      </c>
      <c r="G1191" s="19">
        <v>1</v>
      </c>
      <c r="H1191" s="16">
        <v>5</v>
      </c>
    </row>
    <row r="1192" spans="1:8" x14ac:dyDescent="0.15">
      <c r="A1192" s="19">
        <v>250.00881000000001</v>
      </c>
      <c r="B1192" s="19">
        <v>575.5</v>
      </c>
      <c r="C1192" s="19">
        <v>0.36142999999999997</v>
      </c>
      <c r="D1192" s="19">
        <v>88.482299999999995</v>
      </c>
      <c r="E1192" s="19">
        <v>20</v>
      </c>
      <c r="F1192" s="19">
        <v>80</v>
      </c>
      <c r="G1192" s="19">
        <v>1</v>
      </c>
      <c r="H1192" s="16">
        <v>5</v>
      </c>
    </row>
    <row r="1193" spans="1:8" x14ac:dyDescent="0.15">
      <c r="A1193" s="19">
        <v>250.01384999999999</v>
      </c>
      <c r="B1193" s="19">
        <v>576</v>
      </c>
      <c r="C1193" s="19">
        <v>0.36152000000000001</v>
      </c>
      <c r="D1193" s="19">
        <v>88.483329999999995</v>
      </c>
      <c r="E1193" s="19">
        <v>20</v>
      </c>
      <c r="F1193" s="19">
        <v>80</v>
      </c>
      <c r="G1193" s="19">
        <v>1</v>
      </c>
      <c r="H1193" s="16">
        <v>5</v>
      </c>
    </row>
    <row r="1194" spans="1:8" x14ac:dyDescent="0.15">
      <c r="A1194" s="19">
        <v>250.01292000000001</v>
      </c>
      <c r="B1194" s="19">
        <v>576.5</v>
      </c>
      <c r="C1194" s="19">
        <v>0.36155999999999999</v>
      </c>
      <c r="D1194" s="19">
        <v>88.412530000000004</v>
      </c>
      <c r="E1194" s="19">
        <v>20</v>
      </c>
      <c r="F1194" s="19">
        <v>80</v>
      </c>
      <c r="G1194" s="19">
        <v>1</v>
      </c>
      <c r="H1194" s="16">
        <v>5</v>
      </c>
    </row>
    <row r="1195" spans="1:8" x14ac:dyDescent="0.15">
      <c r="A1195" s="19">
        <v>250.01482999999999</v>
      </c>
      <c r="B1195" s="19">
        <v>577</v>
      </c>
      <c r="C1195" s="19">
        <v>0.36066999999999999</v>
      </c>
      <c r="D1195" s="19">
        <v>88.521010000000004</v>
      </c>
      <c r="E1195" s="19">
        <v>20</v>
      </c>
      <c r="F1195" s="19">
        <v>80</v>
      </c>
      <c r="G1195" s="19">
        <v>1</v>
      </c>
      <c r="H1195" s="16">
        <v>5</v>
      </c>
    </row>
    <row r="1196" spans="1:8" x14ac:dyDescent="0.15">
      <c r="A1196" s="19">
        <v>250.01598999999999</v>
      </c>
      <c r="B1196" s="19">
        <v>577.5</v>
      </c>
      <c r="C1196" s="19">
        <v>0.36135</v>
      </c>
      <c r="D1196" s="19">
        <v>88.352549999999994</v>
      </c>
      <c r="E1196" s="19">
        <v>20</v>
      </c>
      <c r="F1196" s="19">
        <v>80</v>
      </c>
      <c r="G1196" s="19">
        <v>1</v>
      </c>
      <c r="H1196" s="16">
        <v>5</v>
      </c>
    </row>
    <row r="1197" spans="1:8" x14ac:dyDescent="0.15">
      <c r="A1197" s="19">
        <v>250.01824999999999</v>
      </c>
      <c r="B1197" s="19">
        <v>578</v>
      </c>
      <c r="C1197" s="19">
        <v>0.35976000000000002</v>
      </c>
      <c r="D1197" s="19">
        <v>88.485259999999997</v>
      </c>
      <c r="E1197" s="19">
        <v>20</v>
      </c>
      <c r="F1197" s="19">
        <v>80</v>
      </c>
      <c r="G1197" s="19">
        <v>1</v>
      </c>
      <c r="H1197" s="16">
        <v>5</v>
      </c>
    </row>
    <row r="1198" spans="1:8" x14ac:dyDescent="0.15">
      <c r="A1198" s="19">
        <v>250.02135999999999</v>
      </c>
      <c r="B1198" s="19">
        <v>578.5</v>
      </c>
      <c r="C1198" s="19">
        <v>0.35997000000000001</v>
      </c>
      <c r="D1198" s="19">
        <v>88.421319999999994</v>
      </c>
      <c r="E1198" s="19">
        <v>20</v>
      </c>
      <c r="F1198" s="19">
        <v>80</v>
      </c>
      <c r="G1198" s="19">
        <v>1</v>
      </c>
      <c r="H1198" s="16">
        <v>5</v>
      </c>
    </row>
    <row r="1199" spans="1:8" x14ac:dyDescent="0.15">
      <c r="A1199" s="19">
        <v>250.01705000000001</v>
      </c>
      <c r="B1199" s="19">
        <v>579</v>
      </c>
      <c r="C1199" s="19">
        <v>0.36020999999999997</v>
      </c>
      <c r="D1199" s="19">
        <v>88.383269999999996</v>
      </c>
      <c r="E1199" s="19">
        <v>20</v>
      </c>
      <c r="F1199" s="19">
        <v>80</v>
      </c>
      <c r="G1199" s="19">
        <v>1</v>
      </c>
      <c r="H1199" s="16">
        <v>5</v>
      </c>
    </row>
    <row r="1200" spans="1:8" x14ac:dyDescent="0.15">
      <c r="A1200" s="19">
        <v>250.01564999999999</v>
      </c>
      <c r="B1200" s="19">
        <v>579.5</v>
      </c>
      <c r="C1200" s="19">
        <v>0.35977999999999999</v>
      </c>
      <c r="D1200" s="19">
        <v>88.319730000000007</v>
      </c>
      <c r="E1200" s="19">
        <v>20</v>
      </c>
      <c r="F1200" s="19">
        <v>80</v>
      </c>
      <c r="G1200" s="19">
        <v>1</v>
      </c>
      <c r="H1200" s="16">
        <v>5</v>
      </c>
    </row>
    <row r="1201" spans="1:8" x14ac:dyDescent="0.15">
      <c r="A1201" s="19">
        <v>250.01446000000001</v>
      </c>
      <c r="B1201" s="19">
        <v>580</v>
      </c>
      <c r="C1201" s="19">
        <v>0.35904999999999998</v>
      </c>
      <c r="D1201" s="19">
        <v>88.344250000000002</v>
      </c>
      <c r="E1201" s="19">
        <v>20</v>
      </c>
      <c r="F1201" s="19">
        <v>80</v>
      </c>
      <c r="G1201" s="19">
        <v>1</v>
      </c>
      <c r="H1201" s="16">
        <v>5</v>
      </c>
    </row>
    <row r="1202" spans="1:8" x14ac:dyDescent="0.15">
      <c r="A1202" s="19">
        <v>250.01499999999999</v>
      </c>
      <c r="B1202" s="19">
        <v>580.5</v>
      </c>
      <c r="C1202" s="19">
        <v>0.36054000000000003</v>
      </c>
      <c r="D1202" s="19">
        <v>88.544380000000004</v>
      </c>
      <c r="E1202" s="19">
        <v>20</v>
      </c>
      <c r="F1202" s="19">
        <v>80</v>
      </c>
      <c r="G1202" s="19">
        <v>1</v>
      </c>
      <c r="H1202" s="16">
        <v>5</v>
      </c>
    </row>
    <row r="1203" spans="1:8" x14ac:dyDescent="0.15">
      <c r="A1203" s="19">
        <v>250.01517999999999</v>
      </c>
      <c r="B1203" s="19">
        <v>581</v>
      </c>
      <c r="C1203" s="19">
        <v>0.35816999999999999</v>
      </c>
      <c r="D1203" s="19">
        <v>88.301959999999994</v>
      </c>
      <c r="E1203" s="19">
        <v>20</v>
      </c>
      <c r="F1203" s="19">
        <v>80</v>
      </c>
      <c r="G1203" s="19">
        <v>1</v>
      </c>
      <c r="H1203" s="16">
        <v>5</v>
      </c>
    </row>
    <row r="1204" spans="1:8" x14ac:dyDescent="0.15">
      <c r="A1204" s="19">
        <v>250.01310000000001</v>
      </c>
      <c r="B1204" s="19">
        <v>581.5</v>
      </c>
      <c r="C1204" s="19">
        <v>0.35785</v>
      </c>
      <c r="D1204" s="19">
        <v>88.391559999999998</v>
      </c>
      <c r="E1204" s="19">
        <v>20</v>
      </c>
      <c r="F1204" s="19">
        <v>80</v>
      </c>
      <c r="G1204" s="19">
        <v>1</v>
      </c>
      <c r="H1204" s="16">
        <v>5</v>
      </c>
    </row>
    <row r="1205" spans="1:8" x14ac:dyDescent="0.15">
      <c r="A1205" s="19">
        <v>250.01528999999999</v>
      </c>
      <c r="B1205" s="19">
        <v>582</v>
      </c>
      <c r="C1205" s="19">
        <v>0.35908000000000001</v>
      </c>
      <c r="D1205" s="19">
        <v>88.304450000000003</v>
      </c>
      <c r="E1205" s="19">
        <v>20</v>
      </c>
      <c r="F1205" s="19">
        <v>80</v>
      </c>
      <c r="G1205" s="19">
        <v>1</v>
      </c>
      <c r="H1205" s="16">
        <v>5</v>
      </c>
    </row>
    <row r="1206" spans="1:8" x14ac:dyDescent="0.15">
      <c r="A1206" s="19">
        <v>250.01546999999999</v>
      </c>
      <c r="B1206" s="19">
        <v>582.5</v>
      </c>
      <c r="C1206" s="19">
        <v>0.35891000000000001</v>
      </c>
      <c r="D1206" s="19">
        <v>88.323049999999995</v>
      </c>
      <c r="E1206" s="19">
        <v>20</v>
      </c>
      <c r="F1206" s="19">
        <v>80</v>
      </c>
      <c r="G1206" s="19">
        <v>1</v>
      </c>
      <c r="H1206" s="16">
        <v>5</v>
      </c>
    </row>
    <row r="1207" spans="1:8" x14ac:dyDescent="0.15">
      <c r="A1207" s="19">
        <v>250.01718</v>
      </c>
      <c r="B1207" s="19">
        <v>583</v>
      </c>
      <c r="C1207" s="19">
        <v>0.35962</v>
      </c>
      <c r="D1207" s="19">
        <v>88.376930000000002</v>
      </c>
      <c r="E1207" s="19">
        <v>20</v>
      </c>
      <c r="F1207" s="19">
        <v>80</v>
      </c>
      <c r="G1207" s="19">
        <v>1</v>
      </c>
      <c r="H1207" s="16">
        <v>5</v>
      </c>
    </row>
    <row r="1208" spans="1:8" x14ac:dyDescent="0.15">
      <c r="A1208" s="19">
        <v>250.01739000000001</v>
      </c>
      <c r="B1208" s="19">
        <v>583.5</v>
      </c>
      <c r="C1208" s="19">
        <v>0.35932999999999998</v>
      </c>
      <c r="D1208" s="19">
        <v>88.425179999999997</v>
      </c>
      <c r="E1208" s="19">
        <v>20</v>
      </c>
      <c r="F1208" s="19">
        <v>80</v>
      </c>
      <c r="G1208" s="19">
        <v>1</v>
      </c>
      <c r="H1208" s="16">
        <v>5</v>
      </c>
    </row>
    <row r="1209" spans="1:8" x14ac:dyDescent="0.15">
      <c r="A1209" s="19">
        <v>250.01918000000001</v>
      </c>
      <c r="B1209" s="19">
        <v>584</v>
      </c>
      <c r="C1209" s="19">
        <v>0.35816999999999999</v>
      </c>
      <c r="D1209" s="19">
        <v>88.364779999999996</v>
      </c>
      <c r="E1209" s="19">
        <v>20</v>
      </c>
      <c r="F1209" s="19">
        <v>80</v>
      </c>
      <c r="G1209" s="19">
        <v>1</v>
      </c>
      <c r="H1209" s="16">
        <v>5</v>
      </c>
    </row>
    <row r="1210" spans="1:8" x14ac:dyDescent="0.15">
      <c r="A1210" s="19">
        <v>250.01965000000001</v>
      </c>
      <c r="B1210" s="19">
        <v>584.5</v>
      </c>
      <c r="C1210" s="19">
        <v>0.35844999999999999</v>
      </c>
      <c r="D1210" s="19">
        <v>88.306020000000004</v>
      </c>
      <c r="E1210" s="19">
        <v>20</v>
      </c>
      <c r="F1210" s="19">
        <v>80</v>
      </c>
      <c r="G1210" s="19">
        <v>1</v>
      </c>
      <c r="H1210" s="16">
        <v>5</v>
      </c>
    </row>
    <row r="1211" spans="1:8" x14ac:dyDescent="0.15">
      <c r="A1211" s="19">
        <v>250.01546999999999</v>
      </c>
      <c r="B1211" s="19">
        <v>585</v>
      </c>
      <c r="C1211" s="19">
        <v>0.35972999999999999</v>
      </c>
      <c r="D1211" s="19">
        <v>88.327370000000002</v>
      </c>
      <c r="E1211" s="19">
        <v>20</v>
      </c>
      <c r="F1211" s="19">
        <v>80</v>
      </c>
      <c r="G1211" s="19">
        <v>1</v>
      </c>
      <c r="H1211" s="16">
        <v>5</v>
      </c>
    </row>
    <row r="1212" spans="1:8" x14ac:dyDescent="0.15">
      <c r="A1212" s="19">
        <v>250.01882000000001</v>
      </c>
      <c r="B1212" s="19">
        <v>585.5</v>
      </c>
      <c r="C1212" s="19">
        <v>0.3574</v>
      </c>
      <c r="D1212" s="19">
        <v>88.360669999999999</v>
      </c>
      <c r="E1212" s="19">
        <v>20</v>
      </c>
      <c r="F1212" s="19">
        <v>80</v>
      </c>
      <c r="G1212" s="19">
        <v>1</v>
      </c>
      <c r="H1212" s="16">
        <v>5</v>
      </c>
    </row>
    <row r="1213" spans="1:8" x14ac:dyDescent="0.15">
      <c r="A1213" s="19">
        <v>250.01688999999999</v>
      </c>
      <c r="B1213" s="19">
        <v>586</v>
      </c>
      <c r="C1213" s="19">
        <v>0.35899999999999999</v>
      </c>
      <c r="D1213" s="19">
        <v>88.33681</v>
      </c>
      <c r="E1213" s="19">
        <v>20</v>
      </c>
      <c r="F1213" s="19">
        <v>80</v>
      </c>
      <c r="G1213" s="19">
        <v>1</v>
      </c>
      <c r="H1213" s="16">
        <v>5</v>
      </c>
    </row>
    <row r="1214" spans="1:8" x14ac:dyDescent="0.15">
      <c r="A1214" s="19">
        <v>250.01401999999999</v>
      </c>
      <c r="B1214" s="19">
        <v>586.5</v>
      </c>
      <c r="C1214" s="19">
        <v>0.35816999999999999</v>
      </c>
      <c r="D1214" s="19">
        <v>88.313469999999995</v>
      </c>
      <c r="E1214" s="19">
        <v>20</v>
      </c>
      <c r="F1214" s="19">
        <v>80</v>
      </c>
      <c r="G1214" s="19">
        <v>1</v>
      </c>
      <c r="H1214" s="16">
        <v>5</v>
      </c>
    </row>
    <row r="1215" spans="1:8" x14ac:dyDescent="0.15">
      <c r="A1215" s="19">
        <v>250.01504</v>
      </c>
      <c r="B1215" s="19">
        <v>587</v>
      </c>
      <c r="C1215" s="19">
        <v>0.35654999999999998</v>
      </c>
      <c r="D1215" s="19">
        <v>88.246970000000005</v>
      </c>
      <c r="E1215" s="19">
        <v>20</v>
      </c>
      <c r="F1215" s="19">
        <v>80</v>
      </c>
      <c r="G1215" s="19">
        <v>1</v>
      </c>
      <c r="H1215" s="16">
        <v>5</v>
      </c>
    </row>
    <row r="1216" spans="1:8" x14ac:dyDescent="0.15">
      <c r="A1216" s="19">
        <v>250.01722000000001</v>
      </c>
      <c r="B1216" s="19">
        <v>587.5</v>
      </c>
      <c r="C1216" s="19">
        <v>0.35754000000000002</v>
      </c>
      <c r="D1216" s="19">
        <v>88.235420000000005</v>
      </c>
      <c r="E1216" s="19">
        <v>20</v>
      </c>
      <c r="F1216" s="19">
        <v>80</v>
      </c>
      <c r="G1216" s="19">
        <v>1</v>
      </c>
      <c r="H1216" s="16">
        <v>5</v>
      </c>
    </row>
    <row r="1217" spans="1:8" x14ac:dyDescent="0.15">
      <c r="A1217" s="19">
        <v>250.01536999999999</v>
      </c>
      <c r="B1217" s="19">
        <v>588</v>
      </c>
      <c r="C1217" s="19">
        <v>0.35826999999999998</v>
      </c>
      <c r="D1217" s="19">
        <v>88.270129999999995</v>
      </c>
      <c r="E1217" s="19">
        <v>20</v>
      </c>
      <c r="F1217" s="19">
        <v>80</v>
      </c>
      <c r="G1217" s="19">
        <v>1</v>
      </c>
      <c r="H1217" s="16">
        <v>5</v>
      </c>
    </row>
    <row r="1218" spans="1:8" x14ac:dyDescent="0.15">
      <c r="A1218" s="19">
        <v>250.01903999999999</v>
      </c>
      <c r="B1218" s="19">
        <v>588.5</v>
      </c>
      <c r="C1218" s="19">
        <v>0.35758000000000001</v>
      </c>
      <c r="D1218" s="19">
        <v>88.227170000000001</v>
      </c>
      <c r="E1218" s="19">
        <v>20</v>
      </c>
      <c r="F1218" s="19">
        <v>80</v>
      </c>
      <c r="G1218" s="19">
        <v>1</v>
      </c>
      <c r="H1218" s="16">
        <v>5</v>
      </c>
    </row>
    <row r="1219" spans="1:8" x14ac:dyDescent="0.15">
      <c r="A1219" s="19">
        <v>250.01952</v>
      </c>
      <c r="B1219" s="19">
        <v>589</v>
      </c>
      <c r="C1219" s="19">
        <v>0.35674</v>
      </c>
      <c r="D1219" s="19">
        <v>88.192620000000005</v>
      </c>
      <c r="E1219" s="19">
        <v>20</v>
      </c>
      <c r="F1219" s="19">
        <v>80</v>
      </c>
      <c r="G1219" s="19">
        <v>1</v>
      </c>
      <c r="H1219" s="16">
        <v>5</v>
      </c>
    </row>
    <row r="1220" spans="1:8" x14ac:dyDescent="0.15">
      <c r="A1220" s="19">
        <v>250.01723999999999</v>
      </c>
      <c r="B1220" s="19">
        <v>589.5</v>
      </c>
      <c r="C1220" s="19">
        <v>0.35787000000000002</v>
      </c>
      <c r="D1220" s="19">
        <v>88.301259999999999</v>
      </c>
      <c r="E1220" s="19">
        <v>20</v>
      </c>
      <c r="F1220" s="19">
        <v>80</v>
      </c>
      <c r="G1220" s="19">
        <v>1</v>
      </c>
      <c r="H1220" s="16">
        <v>5</v>
      </c>
    </row>
    <row r="1221" spans="1:8" x14ac:dyDescent="0.15">
      <c r="A1221" s="19">
        <v>250.01703000000001</v>
      </c>
      <c r="B1221" s="19">
        <v>590</v>
      </c>
      <c r="C1221" s="19">
        <v>0.35709000000000002</v>
      </c>
      <c r="D1221" s="19">
        <v>88.278570000000002</v>
      </c>
      <c r="E1221" s="19">
        <v>20</v>
      </c>
      <c r="F1221" s="19">
        <v>80</v>
      </c>
      <c r="G1221" s="19">
        <v>1</v>
      </c>
      <c r="H1221" s="16">
        <v>5</v>
      </c>
    </row>
    <row r="1222" spans="1:8" x14ac:dyDescent="0.15">
      <c r="A1222" s="19">
        <v>250.01714999999999</v>
      </c>
      <c r="B1222" s="19">
        <v>590.5</v>
      </c>
      <c r="C1222" s="19">
        <v>0.35658000000000001</v>
      </c>
      <c r="D1222" s="19">
        <v>88.140079999999998</v>
      </c>
      <c r="E1222" s="19">
        <v>20</v>
      </c>
      <c r="F1222" s="19">
        <v>80</v>
      </c>
      <c r="G1222" s="19">
        <v>1</v>
      </c>
      <c r="H1222" s="16">
        <v>5</v>
      </c>
    </row>
    <row r="1223" spans="1:8" x14ac:dyDescent="0.15">
      <c r="A1223" s="19">
        <v>250.01808</v>
      </c>
      <c r="B1223" s="19">
        <v>591</v>
      </c>
      <c r="C1223" s="19">
        <v>0.35796</v>
      </c>
      <c r="D1223" s="19">
        <v>88.239080000000001</v>
      </c>
      <c r="E1223" s="19">
        <v>20</v>
      </c>
      <c r="F1223" s="19">
        <v>80</v>
      </c>
      <c r="G1223" s="19">
        <v>1</v>
      </c>
      <c r="H1223" s="16">
        <v>5</v>
      </c>
    </row>
    <row r="1224" spans="1:8" x14ac:dyDescent="0.15">
      <c r="A1224" s="19">
        <v>250.02180000000001</v>
      </c>
      <c r="B1224" s="19">
        <v>591.5</v>
      </c>
      <c r="C1224" s="19">
        <v>0.35655999999999999</v>
      </c>
      <c r="D1224" s="19">
        <v>88.099090000000004</v>
      </c>
      <c r="E1224" s="19">
        <v>20</v>
      </c>
      <c r="F1224" s="19">
        <v>80</v>
      </c>
      <c r="G1224" s="19">
        <v>1</v>
      </c>
      <c r="H1224" s="16">
        <v>5</v>
      </c>
    </row>
    <row r="1225" spans="1:8" x14ac:dyDescent="0.15">
      <c r="A1225" s="19">
        <v>250.02178000000001</v>
      </c>
      <c r="B1225" s="19">
        <v>592</v>
      </c>
      <c r="C1225" s="19">
        <v>0.35771999999999998</v>
      </c>
      <c r="D1225" s="19">
        <v>88.268960000000007</v>
      </c>
      <c r="E1225" s="19">
        <v>20</v>
      </c>
      <c r="F1225" s="19">
        <v>80</v>
      </c>
      <c r="G1225" s="19">
        <v>1</v>
      </c>
      <c r="H1225" s="16">
        <v>5</v>
      </c>
    </row>
    <row r="1226" spans="1:8" x14ac:dyDescent="0.15">
      <c r="A1226" s="19">
        <v>250.01467</v>
      </c>
      <c r="B1226" s="19">
        <v>592.5</v>
      </c>
      <c r="C1226" s="19">
        <v>0.35596</v>
      </c>
      <c r="D1226" s="19">
        <v>88.189409999999995</v>
      </c>
      <c r="E1226" s="19">
        <v>20</v>
      </c>
      <c r="F1226" s="19">
        <v>80</v>
      </c>
      <c r="G1226" s="19">
        <v>1</v>
      </c>
      <c r="H1226" s="16">
        <v>5</v>
      </c>
    </row>
    <row r="1227" spans="1:8" x14ac:dyDescent="0.15">
      <c r="A1227" s="19">
        <v>250.01636999999999</v>
      </c>
      <c r="B1227" s="19">
        <v>593</v>
      </c>
      <c r="C1227" s="19">
        <v>0.35680000000000001</v>
      </c>
      <c r="D1227" s="19">
        <v>88.134460000000004</v>
      </c>
      <c r="E1227" s="19">
        <v>20</v>
      </c>
      <c r="F1227" s="19">
        <v>80</v>
      </c>
      <c r="G1227" s="19">
        <v>1</v>
      </c>
      <c r="H1227" s="16">
        <v>5</v>
      </c>
    </row>
    <row r="1228" spans="1:8" x14ac:dyDescent="0.15">
      <c r="A1228" s="19">
        <v>250.01891000000001</v>
      </c>
      <c r="B1228" s="19">
        <v>593.5</v>
      </c>
      <c r="C1228" s="19">
        <v>0.35609000000000002</v>
      </c>
      <c r="D1228" s="19">
        <v>88.119330000000005</v>
      </c>
      <c r="E1228" s="19">
        <v>20</v>
      </c>
      <c r="F1228" s="19">
        <v>80</v>
      </c>
      <c r="G1228" s="19">
        <v>1</v>
      </c>
      <c r="H1228" s="16">
        <v>5</v>
      </c>
    </row>
    <row r="1229" spans="1:8" x14ac:dyDescent="0.15">
      <c r="A1229" s="19">
        <v>250.01712000000001</v>
      </c>
      <c r="B1229" s="19">
        <v>594</v>
      </c>
      <c r="C1229" s="19">
        <v>0.35622999999999999</v>
      </c>
      <c r="D1229" s="19">
        <v>88.139380000000003</v>
      </c>
      <c r="E1229" s="19">
        <v>20</v>
      </c>
      <c r="F1229" s="19">
        <v>80</v>
      </c>
      <c r="G1229" s="19">
        <v>1</v>
      </c>
      <c r="H1229" s="16">
        <v>5</v>
      </c>
    </row>
    <row r="1230" spans="1:8" x14ac:dyDescent="0.15">
      <c r="A1230" s="19">
        <v>250.01826</v>
      </c>
      <c r="B1230" s="19">
        <v>594.5</v>
      </c>
      <c r="C1230" s="19">
        <v>0.35577999999999999</v>
      </c>
      <c r="D1230" s="19">
        <v>88.112970000000004</v>
      </c>
      <c r="E1230" s="19">
        <v>20</v>
      </c>
      <c r="F1230" s="19">
        <v>80</v>
      </c>
      <c r="G1230" s="19">
        <v>1</v>
      </c>
      <c r="H1230" s="16">
        <v>5</v>
      </c>
    </row>
    <row r="1231" spans="1:8" x14ac:dyDescent="0.15">
      <c r="A1231" s="19">
        <v>250.01315</v>
      </c>
      <c r="B1231" s="19">
        <v>595</v>
      </c>
      <c r="C1231" s="19">
        <v>0.35682999999999998</v>
      </c>
      <c r="D1231" s="19">
        <v>88.028329999999997</v>
      </c>
      <c r="E1231" s="19">
        <v>20</v>
      </c>
      <c r="F1231" s="19">
        <v>80</v>
      </c>
      <c r="G1231" s="19">
        <v>1</v>
      </c>
      <c r="H1231" s="16">
        <v>5</v>
      </c>
    </row>
    <row r="1232" spans="1:8" x14ac:dyDescent="0.15">
      <c r="A1232" s="19">
        <v>250.01282</v>
      </c>
      <c r="B1232" s="19">
        <v>595.5</v>
      </c>
      <c r="C1232" s="19">
        <v>0.35744999999999999</v>
      </c>
      <c r="D1232" s="19">
        <v>88.057050000000004</v>
      </c>
      <c r="E1232" s="19">
        <v>20</v>
      </c>
      <c r="F1232" s="19">
        <v>80</v>
      </c>
      <c r="G1232" s="19">
        <v>1</v>
      </c>
      <c r="H1232" s="16">
        <v>5</v>
      </c>
    </row>
    <row r="1233" spans="1:8" x14ac:dyDescent="0.15">
      <c r="A1233" s="19">
        <v>250.01607000000001</v>
      </c>
      <c r="B1233" s="19">
        <v>596</v>
      </c>
      <c r="C1233" s="19">
        <v>0.35729</v>
      </c>
      <c r="D1233" s="19">
        <v>88.00309</v>
      </c>
      <c r="E1233" s="19">
        <v>20</v>
      </c>
      <c r="F1233" s="19">
        <v>80</v>
      </c>
      <c r="G1233" s="19">
        <v>1</v>
      </c>
      <c r="H1233" s="16">
        <v>5</v>
      </c>
    </row>
    <row r="1234" spans="1:8" x14ac:dyDescent="0.15">
      <c r="A1234" s="19">
        <v>250.02176</v>
      </c>
      <c r="B1234" s="19">
        <v>596.5</v>
      </c>
      <c r="C1234" s="19">
        <v>0.35665999999999998</v>
      </c>
      <c r="D1234" s="19">
        <v>88.126300000000001</v>
      </c>
      <c r="E1234" s="19">
        <v>20</v>
      </c>
      <c r="F1234" s="19">
        <v>80</v>
      </c>
      <c r="G1234" s="19">
        <v>1</v>
      </c>
      <c r="H1234" s="16">
        <v>5</v>
      </c>
    </row>
    <row r="1235" spans="1:8" x14ac:dyDescent="0.15">
      <c r="A1235" s="19">
        <v>250.02508</v>
      </c>
      <c r="B1235" s="19">
        <v>597</v>
      </c>
      <c r="C1235" s="19">
        <v>0.35604999999999998</v>
      </c>
      <c r="D1235" s="19">
        <v>88.098050000000001</v>
      </c>
      <c r="E1235" s="19">
        <v>20</v>
      </c>
      <c r="F1235" s="19">
        <v>80</v>
      </c>
      <c r="G1235" s="19">
        <v>1</v>
      </c>
      <c r="H1235" s="16">
        <v>5</v>
      </c>
    </row>
    <row r="1236" spans="1:8" x14ac:dyDescent="0.15">
      <c r="A1236" s="19">
        <v>250.02654000000001</v>
      </c>
      <c r="B1236" s="19">
        <v>597.5</v>
      </c>
      <c r="C1236" s="19">
        <v>0.35536000000000001</v>
      </c>
      <c r="D1236" s="19">
        <v>88.111469999999997</v>
      </c>
      <c r="E1236" s="19">
        <v>20</v>
      </c>
      <c r="F1236" s="19">
        <v>80</v>
      </c>
      <c r="G1236" s="19">
        <v>1</v>
      </c>
      <c r="H1236" s="16">
        <v>5</v>
      </c>
    </row>
    <row r="1237" spans="1:8" x14ac:dyDescent="0.15">
      <c r="A1237" s="19">
        <v>250.02336</v>
      </c>
      <c r="B1237" s="19">
        <v>598</v>
      </c>
      <c r="C1237" s="19">
        <v>0.35787999999999998</v>
      </c>
      <c r="D1237" s="19">
        <v>87.988860000000003</v>
      </c>
      <c r="E1237" s="19">
        <v>20</v>
      </c>
      <c r="F1237" s="19">
        <v>80</v>
      </c>
      <c r="G1237" s="19">
        <v>1</v>
      </c>
      <c r="H1237" s="16">
        <v>5</v>
      </c>
    </row>
    <row r="1238" spans="1:8" x14ac:dyDescent="0.15">
      <c r="A1238" s="19">
        <v>250.01983999999999</v>
      </c>
      <c r="B1238" s="19">
        <v>598.5</v>
      </c>
      <c r="C1238" s="19">
        <v>0.35580000000000001</v>
      </c>
      <c r="D1238" s="19">
        <v>88.107960000000006</v>
      </c>
      <c r="E1238" s="19">
        <v>20</v>
      </c>
      <c r="F1238" s="19">
        <v>80</v>
      </c>
      <c r="G1238" s="19">
        <v>1</v>
      </c>
      <c r="H1238" s="16">
        <v>5</v>
      </c>
    </row>
    <row r="1239" spans="1:8" x14ac:dyDescent="0.15">
      <c r="A1239" s="19">
        <v>250.01804999999999</v>
      </c>
      <c r="B1239" s="19">
        <v>599</v>
      </c>
      <c r="C1239" s="19">
        <v>0.35521999999999998</v>
      </c>
      <c r="D1239" s="19">
        <v>87.887960000000007</v>
      </c>
      <c r="E1239" s="19">
        <v>20</v>
      </c>
      <c r="F1239" s="19">
        <v>80</v>
      </c>
      <c r="G1239" s="19">
        <v>1</v>
      </c>
      <c r="H1239" s="16">
        <v>5</v>
      </c>
    </row>
    <row r="1240" spans="1:8" x14ac:dyDescent="0.15">
      <c r="A1240" s="19">
        <v>250.01582999999999</v>
      </c>
      <c r="B1240" s="19">
        <v>599.5</v>
      </c>
      <c r="C1240" s="19">
        <v>0.35558000000000001</v>
      </c>
      <c r="D1240" s="19">
        <v>87.978440000000006</v>
      </c>
      <c r="E1240" s="19">
        <v>20</v>
      </c>
      <c r="F1240" s="19">
        <v>80</v>
      </c>
      <c r="G1240" s="19">
        <v>1</v>
      </c>
      <c r="H1240" s="16">
        <v>5</v>
      </c>
    </row>
    <row r="1241" spans="1:8" x14ac:dyDescent="0.15">
      <c r="A1241" s="19">
        <v>250.01621</v>
      </c>
      <c r="B1241" s="19">
        <v>600</v>
      </c>
      <c r="C1241" s="19">
        <v>0.35626999999999998</v>
      </c>
      <c r="D1241" s="19">
        <v>88.035020000000003</v>
      </c>
      <c r="E1241" s="19">
        <v>20</v>
      </c>
      <c r="F1241" s="19">
        <v>80</v>
      </c>
      <c r="G1241" s="19">
        <v>1</v>
      </c>
      <c r="H1241" s="16">
        <v>5</v>
      </c>
    </row>
    <row r="1242" spans="1:8" x14ac:dyDescent="0.15">
      <c r="A1242" s="19">
        <v>250.01311000000001</v>
      </c>
      <c r="B1242" s="19">
        <v>600.5</v>
      </c>
      <c r="C1242" s="19">
        <v>0.35532000000000002</v>
      </c>
      <c r="D1242" s="19">
        <v>87.878280000000004</v>
      </c>
      <c r="E1242" s="19">
        <v>20</v>
      </c>
      <c r="F1242" s="19">
        <v>80</v>
      </c>
      <c r="G1242" s="19">
        <v>1</v>
      </c>
      <c r="H1242" s="16">
        <v>5</v>
      </c>
    </row>
    <row r="1243" spans="1:8" x14ac:dyDescent="0.15">
      <c r="A1243" s="19">
        <v>250.01541</v>
      </c>
      <c r="B1243" s="19">
        <v>601</v>
      </c>
      <c r="C1243" s="19">
        <v>0.35569000000000001</v>
      </c>
      <c r="D1243" s="19">
        <v>88.05986</v>
      </c>
      <c r="E1243" s="19">
        <v>20</v>
      </c>
      <c r="F1243" s="19">
        <v>80</v>
      </c>
      <c r="G1243" s="19">
        <v>1</v>
      </c>
      <c r="H1243" s="16">
        <v>5</v>
      </c>
    </row>
    <row r="1244" spans="1:8" x14ac:dyDescent="0.15">
      <c r="A1244" s="19">
        <v>250.01888</v>
      </c>
      <c r="B1244" s="19">
        <v>601.5</v>
      </c>
      <c r="C1244" s="19">
        <v>0.35585</v>
      </c>
      <c r="D1244" s="19">
        <v>88.040530000000004</v>
      </c>
      <c r="E1244" s="19">
        <v>20</v>
      </c>
      <c r="F1244" s="19">
        <v>80</v>
      </c>
      <c r="G1244" s="19">
        <v>1</v>
      </c>
      <c r="H1244" s="16">
        <v>5</v>
      </c>
    </row>
    <row r="1245" spans="1:8" x14ac:dyDescent="0.15">
      <c r="A1245" s="19">
        <v>250.01836</v>
      </c>
      <c r="B1245" s="19">
        <v>602</v>
      </c>
      <c r="C1245" s="19">
        <v>0.35558000000000001</v>
      </c>
      <c r="D1245" s="19">
        <v>88.046840000000003</v>
      </c>
      <c r="E1245" s="19">
        <v>20</v>
      </c>
      <c r="F1245" s="19">
        <v>80</v>
      </c>
      <c r="G1245" s="19">
        <v>1</v>
      </c>
      <c r="H1245" s="16">
        <v>5</v>
      </c>
    </row>
    <row r="1246" spans="1:8" x14ac:dyDescent="0.15">
      <c r="A1246" s="19">
        <v>250.01846</v>
      </c>
      <c r="B1246" s="19">
        <v>602.5</v>
      </c>
      <c r="C1246" s="19">
        <v>0.35809999999999997</v>
      </c>
      <c r="D1246" s="19">
        <v>87.989310000000003</v>
      </c>
      <c r="E1246" s="19">
        <v>20</v>
      </c>
      <c r="F1246" s="19">
        <v>80</v>
      </c>
      <c r="G1246" s="19">
        <v>1</v>
      </c>
      <c r="H1246" s="16">
        <v>5</v>
      </c>
    </row>
    <row r="1247" spans="1:8" x14ac:dyDescent="0.15">
      <c r="A1247" s="19">
        <v>250.01758000000001</v>
      </c>
      <c r="B1247" s="19">
        <v>603</v>
      </c>
      <c r="C1247" s="19">
        <v>0.35521999999999998</v>
      </c>
      <c r="D1247" s="19">
        <v>88.024420000000006</v>
      </c>
      <c r="E1247" s="19">
        <v>20</v>
      </c>
      <c r="F1247" s="19">
        <v>80</v>
      </c>
      <c r="G1247" s="19">
        <v>1</v>
      </c>
      <c r="H1247" s="16">
        <v>5</v>
      </c>
    </row>
    <row r="1248" spans="1:8" x14ac:dyDescent="0.15">
      <c r="A1248" s="19">
        <v>250.01324</v>
      </c>
      <c r="B1248" s="19">
        <v>603.5</v>
      </c>
      <c r="C1248" s="19">
        <v>0.35387999999999997</v>
      </c>
      <c r="D1248" s="19">
        <v>87.890519999999995</v>
      </c>
      <c r="E1248" s="19">
        <v>20</v>
      </c>
      <c r="F1248" s="19">
        <v>80</v>
      </c>
      <c r="G1248" s="19">
        <v>1</v>
      </c>
      <c r="H1248" s="16">
        <v>5</v>
      </c>
    </row>
    <row r="1249" spans="1:8" x14ac:dyDescent="0.15">
      <c r="A1249" s="19">
        <v>250.01106999999999</v>
      </c>
      <c r="B1249" s="19">
        <v>604</v>
      </c>
      <c r="C1249" s="19">
        <v>0.35539999999999999</v>
      </c>
      <c r="D1249" s="19">
        <v>87.950429999999997</v>
      </c>
      <c r="E1249" s="19">
        <v>20</v>
      </c>
      <c r="F1249" s="19">
        <v>80</v>
      </c>
      <c r="G1249" s="19">
        <v>1</v>
      </c>
      <c r="H1249" s="16">
        <v>5</v>
      </c>
    </row>
    <row r="1250" spans="1:8" x14ac:dyDescent="0.15">
      <c r="A1250" s="19">
        <v>250.01442</v>
      </c>
      <c r="B1250" s="19">
        <v>604.5</v>
      </c>
      <c r="C1250" s="19">
        <v>0.35583999999999999</v>
      </c>
      <c r="D1250" s="19">
        <v>88.026690000000002</v>
      </c>
      <c r="E1250" s="19">
        <v>20</v>
      </c>
      <c r="F1250" s="19">
        <v>80</v>
      </c>
      <c r="G1250" s="19">
        <v>1</v>
      </c>
      <c r="H1250" s="16">
        <v>5</v>
      </c>
    </row>
    <row r="1251" spans="1:8" x14ac:dyDescent="0.15">
      <c r="A1251" s="19">
        <v>250.01703000000001</v>
      </c>
      <c r="B1251" s="19">
        <v>605</v>
      </c>
      <c r="C1251" s="19">
        <v>0.35491</v>
      </c>
      <c r="D1251" s="19">
        <v>87.951409999999996</v>
      </c>
      <c r="E1251" s="19">
        <v>20</v>
      </c>
      <c r="F1251" s="19">
        <v>80</v>
      </c>
      <c r="G1251" s="19">
        <v>1</v>
      </c>
      <c r="H1251" s="16">
        <v>5</v>
      </c>
    </row>
    <row r="1252" spans="1:8" x14ac:dyDescent="0.15">
      <c r="A1252" s="19">
        <v>250.01694000000001</v>
      </c>
      <c r="B1252" s="19">
        <v>605.5</v>
      </c>
      <c r="C1252" s="19">
        <v>0.35460999999999998</v>
      </c>
      <c r="D1252" s="19">
        <v>87.896460000000005</v>
      </c>
      <c r="E1252" s="19">
        <v>20</v>
      </c>
      <c r="F1252" s="19">
        <v>80</v>
      </c>
      <c r="G1252" s="19">
        <v>1</v>
      </c>
      <c r="H1252" s="16">
        <v>5</v>
      </c>
    </row>
    <row r="1253" spans="1:8" x14ac:dyDescent="0.15">
      <c r="A1253" s="19">
        <v>250.01557</v>
      </c>
      <c r="B1253" s="19">
        <v>606</v>
      </c>
      <c r="C1253" s="19">
        <v>0.35459000000000002</v>
      </c>
      <c r="D1253" s="19">
        <v>87.888729999999995</v>
      </c>
      <c r="E1253" s="19">
        <v>20</v>
      </c>
      <c r="F1253" s="19">
        <v>80</v>
      </c>
      <c r="G1253" s="19">
        <v>1</v>
      </c>
      <c r="H1253" s="16">
        <v>5</v>
      </c>
    </row>
    <row r="1254" spans="1:8" x14ac:dyDescent="0.15">
      <c r="A1254" s="19">
        <v>250.01488000000001</v>
      </c>
      <c r="B1254" s="19">
        <v>606.5</v>
      </c>
      <c r="C1254" s="19">
        <v>0.35427999999999998</v>
      </c>
      <c r="D1254" s="19">
        <v>88.001549999999995</v>
      </c>
      <c r="E1254" s="19">
        <v>20</v>
      </c>
      <c r="F1254" s="19">
        <v>80</v>
      </c>
      <c r="G1254" s="19">
        <v>1</v>
      </c>
      <c r="H1254" s="16">
        <v>5</v>
      </c>
    </row>
    <row r="1255" spans="1:8" x14ac:dyDescent="0.15">
      <c r="A1255" s="19">
        <v>250.01508000000001</v>
      </c>
      <c r="B1255" s="19">
        <v>607</v>
      </c>
      <c r="C1255" s="19">
        <v>0.35383999999999999</v>
      </c>
      <c r="D1255" s="19">
        <v>87.831940000000003</v>
      </c>
      <c r="E1255" s="19">
        <v>20</v>
      </c>
      <c r="F1255" s="19">
        <v>80</v>
      </c>
      <c r="G1255" s="19">
        <v>1</v>
      </c>
      <c r="H1255" s="16">
        <v>5</v>
      </c>
    </row>
    <row r="1256" spans="1:8" x14ac:dyDescent="0.15">
      <c r="A1256" s="19">
        <v>250.0155</v>
      </c>
      <c r="B1256" s="19">
        <v>607.5</v>
      </c>
      <c r="C1256" s="19">
        <v>0.35336000000000001</v>
      </c>
      <c r="D1256" s="19">
        <v>87.870590000000007</v>
      </c>
      <c r="E1256" s="19">
        <v>20</v>
      </c>
      <c r="F1256" s="19">
        <v>80</v>
      </c>
      <c r="G1256" s="19">
        <v>1</v>
      </c>
      <c r="H1256" s="16">
        <v>5</v>
      </c>
    </row>
    <row r="1257" spans="1:8" x14ac:dyDescent="0.15">
      <c r="A1257" s="19">
        <v>250.01409000000001</v>
      </c>
      <c r="B1257" s="19">
        <v>608</v>
      </c>
      <c r="C1257" s="19">
        <v>0.35459000000000002</v>
      </c>
      <c r="D1257" s="19">
        <v>87.843450000000004</v>
      </c>
      <c r="E1257" s="19">
        <v>20</v>
      </c>
      <c r="F1257" s="19">
        <v>80</v>
      </c>
      <c r="G1257" s="19">
        <v>1</v>
      </c>
      <c r="H1257" s="16">
        <v>5</v>
      </c>
    </row>
    <row r="1258" spans="1:8" x14ac:dyDescent="0.15">
      <c r="A1258" s="19">
        <v>250.01670999999999</v>
      </c>
      <c r="B1258" s="19">
        <v>608.5</v>
      </c>
      <c r="C1258" s="19">
        <v>0.35415000000000002</v>
      </c>
      <c r="D1258" s="19">
        <v>87.776489999999995</v>
      </c>
      <c r="E1258" s="19">
        <v>20</v>
      </c>
      <c r="F1258" s="19">
        <v>80</v>
      </c>
      <c r="G1258" s="19">
        <v>1</v>
      </c>
      <c r="H1258" s="16">
        <v>5</v>
      </c>
    </row>
    <row r="1259" spans="1:8" x14ac:dyDescent="0.15">
      <c r="A1259" s="19">
        <v>250.01405</v>
      </c>
      <c r="B1259" s="19">
        <v>609</v>
      </c>
      <c r="C1259" s="19">
        <v>0.35411999999999999</v>
      </c>
      <c r="D1259" s="19">
        <v>87.916110000000003</v>
      </c>
      <c r="E1259" s="19">
        <v>20</v>
      </c>
      <c r="F1259" s="19">
        <v>80</v>
      </c>
      <c r="G1259" s="19">
        <v>1</v>
      </c>
      <c r="H1259" s="16">
        <v>5</v>
      </c>
    </row>
    <row r="1260" spans="1:8" x14ac:dyDescent="0.15">
      <c r="A1260" s="19">
        <v>250.01158000000001</v>
      </c>
      <c r="B1260" s="19">
        <v>609.5</v>
      </c>
      <c r="C1260" s="19">
        <v>0.35492000000000001</v>
      </c>
      <c r="D1260" s="19">
        <v>87.754900000000006</v>
      </c>
      <c r="E1260" s="19">
        <v>20</v>
      </c>
      <c r="F1260" s="19">
        <v>80</v>
      </c>
      <c r="G1260" s="19">
        <v>1</v>
      </c>
      <c r="H1260" s="16">
        <v>5</v>
      </c>
    </row>
    <row r="1261" spans="1:8" x14ac:dyDescent="0.15">
      <c r="A1261" s="19">
        <v>250.01373000000001</v>
      </c>
      <c r="B1261" s="19">
        <v>610</v>
      </c>
      <c r="C1261" s="19">
        <v>0.35387999999999997</v>
      </c>
      <c r="D1261" s="19">
        <v>87.73039</v>
      </c>
      <c r="E1261" s="19">
        <v>20</v>
      </c>
      <c r="F1261" s="19">
        <v>80</v>
      </c>
      <c r="G1261" s="19">
        <v>1</v>
      </c>
      <c r="H1261" s="16">
        <v>5</v>
      </c>
    </row>
    <row r="1262" spans="1:8" x14ac:dyDescent="0.15">
      <c r="A1262" s="19">
        <v>250.01623000000001</v>
      </c>
      <c r="B1262" s="19">
        <v>610.5</v>
      </c>
      <c r="C1262" s="19">
        <v>0.35527999999999998</v>
      </c>
      <c r="D1262" s="19">
        <v>87.685879999999997</v>
      </c>
      <c r="E1262" s="19">
        <v>20</v>
      </c>
      <c r="F1262" s="19">
        <v>80</v>
      </c>
      <c r="G1262" s="19">
        <v>1</v>
      </c>
      <c r="H1262" s="16">
        <v>5</v>
      </c>
    </row>
    <row r="1263" spans="1:8" x14ac:dyDescent="0.15">
      <c r="A1263" s="19">
        <v>250.01573999999999</v>
      </c>
      <c r="B1263" s="19">
        <v>611</v>
      </c>
      <c r="C1263" s="19">
        <v>0.35383999999999999</v>
      </c>
      <c r="D1263" s="19">
        <v>87.841099999999997</v>
      </c>
      <c r="E1263" s="19">
        <v>20</v>
      </c>
      <c r="F1263" s="19">
        <v>80</v>
      </c>
      <c r="G1263" s="19">
        <v>1</v>
      </c>
      <c r="H1263" s="16">
        <v>5</v>
      </c>
    </row>
    <row r="1264" spans="1:8" x14ac:dyDescent="0.15">
      <c r="A1264" s="19">
        <v>250.01712000000001</v>
      </c>
      <c r="B1264" s="19">
        <v>611.5</v>
      </c>
      <c r="C1264" s="19">
        <v>0.35305999999999998</v>
      </c>
      <c r="D1264" s="19">
        <v>87.836209999999994</v>
      </c>
      <c r="E1264" s="19">
        <v>20</v>
      </c>
      <c r="F1264" s="19">
        <v>80</v>
      </c>
      <c r="G1264" s="19">
        <v>1</v>
      </c>
      <c r="H1264" s="16">
        <v>5</v>
      </c>
    </row>
    <row r="1265" spans="1:8" x14ac:dyDescent="0.15">
      <c r="A1265" s="19">
        <v>250.01822000000001</v>
      </c>
      <c r="B1265" s="19">
        <v>612</v>
      </c>
      <c r="C1265" s="19">
        <v>0.35346</v>
      </c>
      <c r="D1265" s="19">
        <v>87.631060000000005</v>
      </c>
      <c r="E1265" s="19">
        <v>20</v>
      </c>
      <c r="F1265" s="19">
        <v>80</v>
      </c>
      <c r="G1265" s="19">
        <v>1</v>
      </c>
      <c r="H1265" s="16">
        <v>5</v>
      </c>
    </row>
    <row r="1266" spans="1:8" x14ac:dyDescent="0.15">
      <c r="A1266" s="19">
        <v>250.02234999999999</v>
      </c>
      <c r="B1266" s="19">
        <v>612.5</v>
      </c>
      <c r="C1266" s="19">
        <v>0.35243000000000002</v>
      </c>
      <c r="D1266" s="19">
        <v>87.83493</v>
      </c>
      <c r="E1266" s="19">
        <v>20</v>
      </c>
      <c r="F1266" s="19">
        <v>80</v>
      </c>
      <c r="G1266" s="19">
        <v>1</v>
      </c>
      <c r="H1266" s="16">
        <v>5</v>
      </c>
    </row>
    <row r="1267" spans="1:8" x14ac:dyDescent="0.15">
      <c r="A1267" s="19">
        <v>250.02077</v>
      </c>
      <c r="B1267" s="19">
        <v>613</v>
      </c>
      <c r="C1267" s="19">
        <v>0.35410000000000003</v>
      </c>
      <c r="D1267" s="19">
        <v>87.762280000000004</v>
      </c>
      <c r="E1267" s="19">
        <v>20</v>
      </c>
      <c r="F1267" s="19">
        <v>80</v>
      </c>
      <c r="G1267" s="19">
        <v>1</v>
      </c>
      <c r="H1267" s="16">
        <v>5</v>
      </c>
    </row>
    <row r="1268" spans="1:8" x14ac:dyDescent="0.15">
      <c r="A1268" s="19">
        <v>250.01855</v>
      </c>
      <c r="B1268" s="19">
        <v>613.5</v>
      </c>
      <c r="C1268" s="19">
        <v>0.35316999999999998</v>
      </c>
      <c r="D1268" s="19">
        <v>87.791179999999997</v>
      </c>
      <c r="E1268" s="19">
        <v>20</v>
      </c>
      <c r="F1268" s="19">
        <v>80</v>
      </c>
      <c r="G1268" s="19">
        <v>1</v>
      </c>
      <c r="H1268" s="16">
        <v>5</v>
      </c>
    </row>
    <row r="1269" spans="1:8" x14ac:dyDescent="0.15">
      <c r="A1269" s="19">
        <v>250.02027000000001</v>
      </c>
      <c r="B1269" s="19">
        <v>614</v>
      </c>
      <c r="C1269" s="19">
        <v>0.35370000000000001</v>
      </c>
      <c r="D1269" s="19">
        <v>87.65428</v>
      </c>
      <c r="E1269" s="19">
        <v>20</v>
      </c>
      <c r="F1269" s="19">
        <v>80</v>
      </c>
      <c r="G1269" s="19">
        <v>1</v>
      </c>
      <c r="H1269" s="16">
        <v>5</v>
      </c>
    </row>
    <row r="1270" spans="1:8" x14ac:dyDescent="0.15">
      <c r="A1270" s="19">
        <v>250.01813000000001</v>
      </c>
      <c r="B1270" s="19">
        <v>614.5</v>
      </c>
      <c r="C1270" s="19">
        <v>0.35360000000000003</v>
      </c>
      <c r="D1270" s="19">
        <v>87.771820000000005</v>
      </c>
      <c r="E1270" s="19">
        <v>20</v>
      </c>
      <c r="F1270" s="19">
        <v>80</v>
      </c>
      <c r="G1270" s="19">
        <v>1</v>
      </c>
      <c r="H1270" s="16">
        <v>5</v>
      </c>
    </row>
    <row r="1271" spans="1:8" x14ac:dyDescent="0.15">
      <c r="A1271" s="19">
        <v>250.01707999999999</v>
      </c>
      <c r="B1271" s="19">
        <v>615</v>
      </c>
      <c r="C1271" s="19">
        <v>0.35191</v>
      </c>
      <c r="D1271" s="19">
        <v>87.813630000000003</v>
      </c>
      <c r="E1271" s="19">
        <v>20</v>
      </c>
      <c r="F1271" s="19">
        <v>80</v>
      </c>
      <c r="G1271" s="19">
        <v>1</v>
      </c>
      <c r="H1271" s="16">
        <v>5</v>
      </c>
    </row>
    <row r="1272" spans="1:8" x14ac:dyDescent="0.15">
      <c r="A1272" s="19">
        <v>250.01750999999999</v>
      </c>
      <c r="B1272" s="19">
        <v>615.5</v>
      </c>
      <c r="C1272" s="19">
        <v>0.35213</v>
      </c>
      <c r="D1272" s="19">
        <v>87.644170000000003</v>
      </c>
      <c r="E1272" s="19">
        <v>20</v>
      </c>
      <c r="F1272" s="19">
        <v>80</v>
      </c>
      <c r="G1272" s="19">
        <v>1</v>
      </c>
      <c r="H1272" s="16">
        <v>5</v>
      </c>
    </row>
    <row r="1273" spans="1:8" x14ac:dyDescent="0.15">
      <c r="A1273" s="19">
        <v>250.01913999999999</v>
      </c>
      <c r="B1273" s="19">
        <v>616</v>
      </c>
      <c r="C1273" s="19">
        <v>0.35322999999999999</v>
      </c>
      <c r="D1273" s="19">
        <v>87.629099999999994</v>
      </c>
      <c r="E1273" s="19">
        <v>20</v>
      </c>
      <c r="F1273" s="19">
        <v>80</v>
      </c>
      <c r="G1273" s="19">
        <v>1</v>
      </c>
      <c r="H1273" s="16">
        <v>5</v>
      </c>
    </row>
    <row r="1274" spans="1:8" x14ac:dyDescent="0.15">
      <c r="A1274" s="19">
        <v>250.01831000000001</v>
      </c>
      <c r="B1274" s="19">
        <v>616.5</v>
      </c>
      <c r="C1274" s="19">
        <v>0.35327999999999998</v>
      </c>
      <c r="D1274" s="19">
        <v>87.618200000000002</v>
      </c>
      <c r="E1274" s="19">
        <v>20</v>
      </c>
      <c r="F1274" s="19">
        <v>80</v>
      </c>
      <c r="G1274" s="19">
        <v>1</v>
      </c>
      <c r="H1274" s="16">
        <v>5</v>
      </c>
    </row>
    <row r="1275" spans="1:8" x14ac:dyDescent="0.15">
      <c r="A1275" s="19">
        <v>250.01444000000001</v>
      </c>
      <c r="B1275" s="19">
        <v>617</v>
      </c>
      <c r="C1275" s="19">
        <v>0.35400999999999999</v>
      </c>
      <c r="D1275" s="19">
        <v>87.66292</v>
      </c>
      <c r="E1275" s="19">
        <v>20</v>
      </c>
      <c r="F1275" s="19">
        <v>80</v>
      </c>
      <c r="G1275" s="19">
        <v>1</v>
      </c>
      <c r="H1275" s="16">
        <v>5</v>
      </c>
    </row>
    <row r="1276" spans="1:8" x14ac:dyDescent="0.15">
      <c r="A1276" s="19">
        <v>250.01588000000001</v>
      </c>
      <c r="B1276" s="19">
        <v>617.5</v>
      </c>
      <c r="C1276" s="19">
        <v>0.35322999999999999</v>
      </c>
      <c r="D1276" s="19">
        <v>87.679220000000001</v>
      </c>
      <c r="E1276" s="19">
        <v>20</v>
      </c>
      <c r="F1276" s="19">
        <v>80</v>
      </c>
      <c r="G1276" s="19">
        <v>1</v>
      </c>
      <c r="H1276" s="16">
        <v>5</v>
      </c>
    </row>
    <row r="1277" spans="1:8" x14ac:dyDescent="0.15">
      <c r="A1277" s="19">
        <v>250.01701</v>
      </c>
      <c r="B1277" s="19">
        <v>618</v>
      </c>
      <c r="C1277" s="19">
        <v>0.35278999999999999</v>
      </c>
      <c r="D1277" s="19">
        <v>87.589460000000003</v>
      </c>
      <c r="E1277" s="19">
        <v>20</v>
      </c>
      <c r="F1277" s="19">
        <v>80</v>
      </c>
      <c r="G1277" s="19">
        <v>1</v>
      </c>
      <c r="H1277" s="16">
        <v>5</v>
      </c>
    </row>
    <row r="1278" spans="1:8" x14ac:dyDescent="0.15">
      <c r="A1278" s="19">
        <v>250.0145</v>
      </c>
      <c r="B1278" s="19">
        <v>618.5</v>
      </c>
      <c r="C1278" s="19">
        <v>0.35132000000000002</v>
      </c>
      <c r="D1278" s="19">
        <v>87.667630000000003</v>
      </c>
      <c r="E1278" s="19">
        <v>20</v>
      </c>
      <c r="F1278" s="19">
        <v>80</v>
      </c>
      <c r="G1278" s="19">
        <v>1</v>
      </c>
      <c r="H1278" s="16">
        <v>5</v>
      </c>
    </row>
    <row r="1279" spans="1:8" x14ac:dyDescent="0.15">
      <c r="A1279" s="19">
        <v>250.01453000000001</v>
      </c>
      <c r="B1279" s="19">
        <v>619</v>
      </c>
      <c r="C1279" s="19">
        <v>0.35316999999999998</v>
      </c>
      <c r="D1279" s="19">
        <v>87.700999999999993</v>
      </c>
      <c r="E1279" s="19">
        <v>20</v>
      </c>
      <c r="F1279" s="19">
        <v>80</v>
      </c>
      <c r="G1279" s="19">
        <v>1</v>
      </c>
      <c r="H1279" s="16">
        <v>5</v>
      </c>
    </row>
    <row r="1280" spans="1:8" x14ac:dyDescent="0.15">
      <c r="A1280" s="19">
        <v>250.01202000000001</v>
      </c>
      <c r="B1280" s="19">
        <v>619.5</v>
      </c>
      <c r="C1280" s="19">
        <v>0.35308</v>
      </c>
      <c r="D1280" s="19">
        <v>87.60172</v>
      </c>
      <c r="E1280" s="19">
        <v>20</v>
      </c>
      <c r="F1280" s="19">
        <v>80</v>
      </c>
      <c r="G1280" s="19">
        <v>1</v>
      </c>
      <c r="H1280" s="16">
        <v>5</v>
      </c>
    </row>
    <row r="1281" spans="1:8" x14ac:dyDescent="0.15">
      <c r="A1281" s="19">
        <v>250.00972999999999</v>
      </c>
      <c r="B1281" s="19">
        <v>620</v>
      </c>
      <c r="C1281" s="19">
        <v>0.35260000000000002</v>
      </c>
      <c r="D1281" s="19">
        <v>87.658540000000002</v>
      </c>
      <c r="E1281" s="19">
        <v>20</v>
      </c>
      <c r="F1281" s="19">
        <v>80</v>
      </c>
      <c r="G1281" s="19">
        <v>1</v>
      </c>
      <c r="H1281" s="16">
        <v>5</v>
      </c>
    </row>
    <row r="1282" spans="1:8" x14ac:dyDescent="0.15">
      <c r="A1282" s="19">
        <v>250.00897000000001</v>
      </c>
      <c r="B1282" s="19">
        <v>620.5</v>
      </c>
      <c r="C1282" s="19">
        <v>0.35321000000000002</v>
      </c>
      <c r="D1282" s="19">
        <v>87.685599999999994</v>
      </c>
      <c r="E1282" s="19">
        <v>20</v>
      </c>
      <c r="F1282" s="19">
        <v>80</v>
      </c>
      <c r="G1282" s="19">
        <v>1</v>
      </c>
      <c r="H1282" s="16">
        <v>5</v>
      </c>
    </row>
    <row r="1283" spans="1:8" x14ac:dyDescent="0.15">
      <c r="A1283" s="19">
        <v>250.00847999999999</v>
      </c>
      <c r="B1283" s="19">
        <v>621</v>
      </c>
      <c r="C1283" s="19">
        <v>0.35333999999999999</v>
      </c>
      <c r="D1283" s="19">
        <v>87.664820000000006</v>
      </c>
      <c r="E1283" s="19">
        <v>20</v>
      </c>
      <c r="F1283" s="19">
        <v>80</v>
      </c>
      <c r="G1283" s="19">
        <v>1</v>
      </c>
      <c r="H1283" s="16">
        <v>5</v>
      </c>
    </row>
    <row r="1284" spans="1:8" x14ac:dyDescent="0.15">
      <c r="A1284" s="19">
        <v>250.01085</v>
      </c>
      <c r="B1284" s="19">
        <v>621.5</v>
      </c>
      <c r="C1284" s="19">
        <v>0.35352</v>
      </c>
      <c r="D1284" s="19">
        <v>87.61103</v>
      </c>
      <c r="E1284" s="19">
        <v>20</v>
      </c>
      <c r="F1284" s="19">
        <v>80</v>
      </c>
      <c r="G1284" s="19">
        <v>1</v>
      </c>
      <c r="H1284" s="16">
        <v>5</v>
      </c>
    </row>
    <row r="1285" spans="1:8" x14ac:dyDescent="0.15">
      <c r="A1285" s="19">
        <v>250.01079999999999</v>
      </c>
      <c r="B1285" s="19">
        <v>622</v>
      </c>
      <c r="C1285" s="19">
        <v>0.35274</v>
      </c>
      <c r="D1285" s="19">
        <v>87.436359999999993</v>
      </c>
      <c r="E1285" s="19">
        <v>20</v>
      </c>
      <c r="F1285" s="19">
        <v>80</v>
      </c>
      <c r="G1285" s="19">
        <v>1</v>
      </c>
      <c r="H1285" s="16">
        <v>5</v>
      </c>
    </row>
    <row r="1286" spans="1:8" x14ac:dyDescent="0.15">
      <c r="A1286" s="19">
        <v>250.01303999999999</v>
      </c>
      <c r="B1286" s="19">
        <v>622.5</v>
      </c>
      <c r="C1286" s="19">
        <v>0.35387999999999997</v>
      </c>
      <c r="D1286" s="19">
        <v>87.623220000000003</v>
      </c>
      <c r="E1286" s="19">
        <v>20</v>
      </c>
      <c r="F1286" s="19">
        <v>80</v>
      </c>
      <c r="G1286" s="19">
        <v>1</v>
      </c>
      <c r="H1286" s="16">
        <v>5</v>
      </c>
    </row>
    <row r="1287" spans="1:8" x14ac:dyDescent="0.15">
      <c r="A1287" s="19">
        <v>250.01560000000001</v>
      </c>
      <c r="B1287" s="19">
        <v>623</v>
      </c>
      <c r="C1287" s="19">
        <v>0.35376000000000002</v>
      </c>
      <c r="D1287" s="19">
        <v>87.569400000000002</v>
      </c>
      <c r="E1287" s="19">
        <v>20</v>
      </c>
      <c r="F1287" s="19">
        <v>80</v>
      </c>
      <c r="G1287" s="19">
        <v>1</v>
      </c>
      <c r="H1287" s="16">
        <v>5</v>
      </c>
    </row>
    <row r="1288" spans="1:8" x14ac:dyDescent="0.15">
      <c r="A1288" s="19">
        <v>250.01491999999999</v>
      </c>
      <c r="B1288" s="19">
        <v>623.5</v>
      </c>
      <c r="C1288" s="19">
        <v>0.35182000000000002</v>
      </c>
      <c r="D1288" s="19">
        <v>87.471890000000002</v>
      </c>
      <c r="E1288" s="19">
        <v>20</v>
      </c>
      <c r="F1288" s="19">
        <v>80</v>
      </c>
      <c r="G1288" s="19">
        <v>1</v>
      </c>
      <c r="H1288" s="16">
        <v>5</v>
      </c>
    </row>
    <row r="1289" spans="1:8" x14ac:dyDescent="0.15">
      <c r="A1289" s="19">
        <v>250.01373000000001</v>
      </c>
      <c r="B1289" s="19">
        <v>624</v>
      </c>
      <c r="C1289" s="19">
        <v>0.35176000000000002</v>
      </c>
      <c r="D1289" s="19">
        <v>87.54074</v>
      </c>
      <c r="E1289" s="19">
        <v>20</v>
      </c>
      <c r="F1289" s="19">
        <v>80</v>
      </c>
      <c r="G1289" s="19">
        <v>1</v>
      </c>
      <c r="H1289" s="16">
        <v>5</v>
      </c>
    </row>
    <row r="1290" spans="1:8" x14ac:dyDescent="0.15">
      <c r="A1290" s="19">
        <v>250.01438999999999</v>
      </c>
      <c r="B1290" s="19">
        <v>624.5</v>
      </c>
      <c r="C1290" s="19">
        <v>0.35200999999999999</v>
      </c>
      <c r="D1290" s="19">
        <v>87.608559999999997</v>
      </c>
      <c r="E1290" s="19">
        <v>20</v>
      </c>
      <c r="F1290" s="19">
        <v>80</v>
      </c>
      <c r="G1290" s="19">
        <v>1</v>
      </c>
      <c r="H1290" s="16">
        <v>5</v>
      </c>
    </row>
    <row r="1291" spans="1:8" x14ac:dyDescent="0.15">
      <c r="A1291" s="19">
        <v>250.01595</v>
      </c>
      <c r="B1291" s="19">
        <v>625</v>
      </c>
      <c r="C1291" s="19">
        <v>0.35253000000000001</v>
      </c>
      <c r="D1291" s="19">
        <v>87.481939999999994</v>
      </c>
      <c r="E1291" s="19">
        <v>20</v>
      </c>
      <c r="F1291" s="19">
        <v>80</v>
      </c>
      <c r="G1291" s="19">
        <v>1</v>
      </c>
      <c r="H1291" s="16">
        <v>5</v>
      </c>
    </row>
    <row r="1292" spans="1:8" x14ac:dyDescent="0.15">
      <c r="A1292" s="19">
        <v>250.01734999999999</v>
      </c>
      <c r="B1292" s="19">
        <v>625.5</v>
      </c>
      <c r="C1292" s="19">
        <v>0.35260999999999998</v>
      </c>
      <c r="D1292" s="19">
        <v>87.463729999999998</v>
      </c>
      <c r="E1292" s="19">
        <v>20</v>
      </c>
      <c r="F1292" s="19">
        <v>80</v>
      </c>
      <c r="G1292" s="19">
        <v>1</v>
      </c>
      <c r="H1292" s="16">
        <v>5</v>
      </c>
    </row>
    <row r="1293" spans="1:8" x14ac:dyDescent="0.15">
      <c r="A1293" s="19">
        <v>250.02171000000001</v>
      </c>
      <c r="B1293" s="19">
        <v>626</v>
      </c>
      <c r="C1293" s="19">
        <v>0.3528</v>
      </c>
      <c r="D1293" s="19">
        <v>87.484449999999995</v>
      </c>
      <c r="E1293" s="19">
        <v>20</v>
      </c>
      <c r="F1293" s="19">
        <v>80</v>
      </c>
      <c r="G1293" s="19">
        <v>1</v>
      </c>
      <c r="H1293" s="16">
        <v>5</v>
      </c>
    </row>
    <row r="1294" spans="1:8" x14ac:dyDescent="0.15">
      <c r="A1294" s="19">
        <v>250.02305999999999</v>
      </c>
      <c r="B1294" s="19">
        <v>626.5</v>
      </c>
      <c r="C1294" s="19">
        <v>0.35469000000000001</v>
      </c>
      <c r="D1294" s="19">
        <v>87.449839999999995</v>
      </c>
      <c r="E1294" s="19">
        <v>20</v>
      </c>
      <c r="F1294" s="19">
        <v>80</v>
      </c>
      <c r="G1294" s="19">
        <v>1</v>
      </c>
      <c r="H1294" s="16">
        <v>5</v>
      </c>
    </row>
    <row r="1295" spans="1:8" x14ac:dyDescent="0.15">
      <c r="A1295" s="19">
        <v>250.01725999999999</v>
      </c>
      <c r="B1295" s="19">
        <v>627</v>
      </c>
      <c r="C1295" s="19">
        <v>0.35188999999999998</v>
      </c>
      <c r="D1295" s="19">
        <v>87.482039999999998</v>
      </c>
      <c r="E1295" s="19">
        <v>20</v>
      </c>
      <c r="F1295" s="19">
        <v>80</v>
      </c>
      <c r="G1295" s="19">
        <v>1</v>
      </c>
      <c r="H1295" s="16">
        <v>5</v>
      </c>
    </row>
    <row r="1296" spans="1:8" x14ac:dyDescent="0.15">
      <c r="A1296" s="19">
        <v>250.01336000000001</v>
      </c>
      <c r="B1296" s="19">
        <v>627.5</v>
      </c>
      <c r="C1296" s="19">
        <v>0.35309000000000001</v>
      </c>
      <c r="D1296" s="19">
        <v>87.527180000000001</v>
      </c>
      <c r="E1296" s="19">
        <v>20</v>
      </c>
      <c r="F1296" s="19">
        <v>80</v>
      </c>
      <c r="G1296" s="19">
        <v>1</v>
      </c>
      <c r="H1296" s="16">
        <v>5</v>
      </c>
    </row>
    <row r="1297" spans="1:8" x14ac:dyDescent="0.15">
      <c r="A1297" s="19">
        <v>250.01586</v>
      </c>
      <c r="B1297" s="19">
        <v>628</v>
      </c>
      <c r="C1297" s="19">
        <v>0.35382999999999998</v>
      </c>
      <c r="D1297" s="19">
        <v>87.557010000000005</v>
      </c>
      <c r="E1297" s="19">
        <v>20</v>
      </c>
      <c r="F1297" s="19">
        <v>80</v>
      </c>
      <c r="G1297" s="19">
        <v>1</v>
      </c>
      <c r="H1297" s="16">
        <v>5</v>
      </c>
    </row>
    <row r="1298" spans="1:8" x14ac:dyDescent="0.15">
      <c r="A1298" s="19">
        <v>250.01704000000001</v>
      </c>
      <c r="B1298" s="19">
        <v>628.5</v>
      </c>
      <c r="C1298" s="19">
        <v>0.35294999999999999</v>
      </c>
      <c r="D1298" s="19">
        <v>87.564580000000007</v>
      </c>
      <c r="E1298" s="19">
        <v>20</v>
      </c>
      <c r="F1298" s="19">
        <v>80</v>
      </c>
      <c r="G1298" s="19">
        <v>1</v>
      </c>
      <c r="H1298" s="16">
        <v>5</v>
      </c>
    </row>
    <row r="1299" spans="1:8" x14ac:dyDescent="0.15">
      <c r="A1299" s="19">
        <v>250.01677000000001</v>
      </c>
      <c r="B1299" s="19">
        <v>629</v>
      </c>
      <c r="C1299" s="19">
        <v>0.35220000000000001</v>
      </c>
      <c r="D1299" s="19">
        <v>87.440129999999996</v>
      </c>
      <c r="E1299" s="19">
        <v>20</v>
      </c>
      <c r="F1299" s="19">
        <v>80</v>
      </c>
      <c r="G1299" s="19">
        <v>1</v>
      </c>
      <c r="H1299" s="16">
        <v>5</v>
      </c>
    </row>
    <row r="1300" spans="1:8" x14ac:dyDescent="0.15">
      <c r="A1300" s="19">
        <v>250.01737</v>
      </c>
      <c r="B1300" s="19">
        <v>629.5</v>
      </c>
      <c r="C1300" s="19">
        <v>0.35132000000000002</v>
      </c>
      <c r="D1300" s="19">
        <v>87.362949999999998</v>
      </c>
      <c r="E1300" s="19">
        <v>20</v>
      </c>
      <c r="F1300" s="19">
        <v>80</v>
      </c>
      <c r="G1300" s="19">
        <v>1</v>
      </c>
      <c r="H1300" s="16">
        <v>5</v>
      </c>
    </row>
    <row r="1301" spans="1:8" x14ac:dyDescent="0.15">
      <c r="A1301" s="19">
        <v>250.01205999999999</v>
      </c>
      <c r="B1301" s="19">
        <v>630</v>
      </c>
      <c r="C1301" s="19">
        <v>0.35161999999999999</v>
      </c>
      <c r="D1301" s="19">
        <v>87.463880000000003</v>
      </c>
      <c r="E1301" s="19">
        <v>20</v>
      </c>
      <c r="F1301" s="19">
        <v>80</v>
      </c>
      <c r="G1301" s="19">
        <v>1</v>
      </c>
      <c r="H1301" s="16">
        <v>5</v>
      </c>
    </row>
    <row r="1302" spans="1:8" x14ac:dyDescent="0.15">
      <c r="A1302" s="19">
        <v>250.01500999999999</v>
      </c>
      <c r="B1302" s="19">
        <v>630.5</v>
      </c>
      <c r="C1302" s="19">
        <v>0.35133999999999999</v>
      </c>
      <c r="D1302" s="19">
        <v>87.450010000000006</v>
      </c>
      <c r="E1302" s="19">
        <v>20</v>
      </c>
      <c r="F1302" s="19">
        <v>80</v>
      </c>
      <c r="G1302" s="19">
        <v>1</v>
      </c>
      <c r="H1302" s="16">
        <v>5</v>
      </c>
    </row>
    <row r="1303" spans="1:8" x14ac:dyDescent="0.15">
      <c r="A1303" s="19">
        <v>250.01593</v>
      </c>
      <c r="B1303" s="19">
        <v>631</v>
      </c>
      <c r="C1303" s="19">
        <v>0.35259000000000001</v>
      </c>
      <c r="D1303" s="19">
        <v>87.416870000000003</v>
      </c>
      <c r="E1303" s="19">
        <v>20</v>
      </c>
      <c r="F1303" s="19">
        <v>80</v>
      </c>
      <c r="G1303" s="19">
        <v>1</v>
      </c>
      <c r="H1303" s="16">
        <v>5</v>
      </c>
    </row>
    <row r="1304" spans="1:8" x14ac:dyDescent="0.15">
      <c r="A1304" s="19">
        <v>250.01363000000001</v>
      </c>
      <c r="B1304" s="19">
        <v>631.5</v>
      </c>
      <c r="C1304" s="19">
        <v>0.35126000000000002</v>
      </c>
      <c r="D1304" s="19">
        <v>87.296989999999994</v>
      </c>
      <c r="E1304" s="19">
        <v>20</v>
      </c>
      <c r="F1304" s="19">
        <v>80</v>
      </c>
      <c r="G1304" s="19">
        <v>1</v>
      </c>
      <c r="H1304" s="16">
        <v>5</v>
      </c>
    </row>
    <row r="1305" spans="1:8" x14ac:dyDescent="0.15">
      <c r="A1305" s="19">
        <v>250.01435000000001</v>
      </c>
      <c r="B1305" s="19">
        <v>632</v>
      </c>
      <c r="C1305" s="19">
        <v>0.35182000000000002</v>
      </c>
      <c r="D1305" s="19">
        <v>87.420270000000002</v>
      </c>
      <c r="E1305" s="19">
        <v>20</v>
      </c>
      <c r="F1305" s="19">
        <v>80</v>
      </c>
      <c r="G1305" s="19">
        <v>1</v>
      </c>
      <c r="H1305" s="16">
        <v>5</v>
      </c>
    </row>
    <row r="1306" spans="1:8" x14ac:dyDescent="0.15">
      <c r="A1306" s="19">
        <v>250.01598999999999</v>
      </c>
      <c r="B1306" s="19">
        <v>632.5</v>
      </c>
      <c r="C1306" s="19">
        <v>0.35236000000000001</v>
      </c>
      <c r="D1306" s="19">
        <v>87.473470000000006</v>
      </c>
      <c r="E1306" s="19">
        <v>20</v>
      </c>
      <c r="F1306" s="19">
        <v>80</v>
      </c>
      <c r="G1306" s="19">
        <v>1</v>
      </c>
      <c r="H1306" s="16">
        <v>5</v>
      </c>
    </row>
    <row r="1307" spans="1:8" x14ac:dyDescent="0.15">
      <c r="A1307" s="19">
        <v>250.01853</v>
      </c>
      <c r="B1307" s="19">
        <v>633</v>
      </c>
      <c r="C1307" s="19">
        <v>0.35041</v>
      </c>
      <c r="D1307" s="19">
        <v>87.268339999999995</v>
      </c>
      <c r="E1307" s="19">
        <v>20</v>
      </c>
      <c r="F1307" s="19">
        <v>80</v>
      </c>
      <c r="G1307" s="19">
        <v>1</v>
      </c>
      <c r="H1307" s="16">
        <v>5</v>
      </c>
    </row>
    <row r="1308" spans="1:8" x14ac:dyDescent="0.15">
      <c r="A1308" s="19">
        <v>250.01731000000001</v>
      </c>
      <c r="B1308" s="19">
        <v>633.5</v>
      </c>
      <c r="C1308" s="19">
        <v>0.35154999999999997</v>
      </c>
      <c r="D1308" s="19">
        <v>87.515770000000003</v>
      </c>
      <c r="E1308" s="19">
        <v>20</v>
      </c>
      <c r="F1308" s="19">
        <v>80</v>
      </c>
      <c r="G1308" s="19">
        <v>1</v>
      </c>
      <c r="H1308" s="16">
        <v>5</v>
      </c>
    </row>
    <row r="1309" spans="1:8" x14ac:dyDescent="0.15">
      <c r="A1309" s="19">
        <v>250.01528999999999</v>
      </c>
      <c r="B1309" s="19">
        <v>634</v>
      </c>
      <c r="C1309" s="19">
        <v>0.35115000000000002</v>
      </c>
      <c r="D1309" s="19">
        <v>87.410899999999998</v>
      </c>
      <c r="E1309" s="19">
        <v>20</v>
      </c>
      <c r="F1309" s="19">
        <v>80</v>
      </c>
      <c r="G1309" s="19">
        <v>1</v>
      </c>
      <c r="H1309" s="16">
        <v>5</v>
      </c>
    </row>
    <row r="1310" spans="1:8" x14ac:dyDescent="0.15">
      <c r="A1310" s="19">
        <v>250.01541</v>
      </c>
      <c r="B1310" s="19">
        <v>634.5</v>
      </c>
      <c r="C1310" s="19">
        <v>0.35032000000000002</v>
      </c>
      <c r="D1310" s="19">
        <v>87.375860000000003</v>
      </c>
      <c r="E1310" s="19">
        <v>20</v>
      </c>
      <c r="F1310" s="19">
        <v>80</v>
      </c>
      <c r="G1310" s="19">
        <v>1</v>
      </c>
      <c r="H1310" s="16">
        <v>5</v>
      </c>
    </row>
    <row r="1311" spans="1:8" x14ac:dyDescent="0.15">
      <c r="A1311" s="19">
        <v>250.018</v>
      </c>
      <c r="B1311" s="19">
        <v>635</v>
      </c>
      <c r="C1311" s="19">
        <v>0.3508</v>
      </c>
      <c r="D1311" s="19">
        <v>87.411689999999993</v>
      </c>
      <c r="E1311" s="19">
        <v>20</v>
      </c>
      <c r="F1311" s="19">
        <v>80</v>
      </c>
      <c r="G1311" s="19">
        <v>1</v>
      </c>
      <c r="H1311" s="16">
        <v>5</v>
      </c>
    </row>
    <row r="1312" spans="1:8" x14ac:dyDescent="0.15">
      <c r="A1312" s="19">
        <v>250.01874000000001</v>
      </c>
      <c r="B1312" s="19">
        <v>635.5</v>
      </c>
      <c r="C1312" s="19">
        <v>0.35189999999999999</v>
      </c>
      <c r="D1312" s="19">
        <v>87.378360000000001</v>
      </c>
      <c r="E1312" s="19">
        <v>20</v>
      </c>
      <c r="F1312" s="19">
        <v>80</v>
      </c>
      <c r="G1312" s="19">
        <v>1</v>
      </c>
      <c r="H1312" s="16">
        <v>5</v>
      </c>
    </row>
    <row r="1313" spans="1:8" x14ac:dyDescent="0.15">
      <c r="A1313" s="19">
        <v>250.01942</v>
      </c>
      <c r="B1313" s="19">
        <v>636</v>
      </c>
      <c r="C1313" s="19">
        <v>0.35185</v>
      </c>
      <c r="D1313" s="19">
        <v>87.388850000000005</v>
      </c>
      <c r="E1313" s="19">
        <v>20</v>
      </c>
      <c r="F1313" s="19">
        <v>80</v>
      </c>
      <c r="G1313" s="19">
        <v>1</v>
      </c>
      <c r="H1313" s="16">
        <v>5</v>
      </c>
    </row>
    <row r="1314" spans="1:8" x14ac:dyDescent="0.15">
      <c r="A1314" s="19">
        <v>250.01906</v>
      </c>
      <c r="B1314" s="19">
        <v>636.5</v>
      </c>
      <c r="C1314" s="19">
        <v>0.35155999999999998</v>
      </c>
      <c r="D1314" s="19">
        <v>87.421120000000002</v>
      </c>
      <c r="E1314" s="19">
        <v>20</v>
      </c>
      <c r="F1314" s="19">
        <v>80</v>
      </c>
      <c r="G1314" s="19">
        <v>1</v>
      </c>
      <c r="H1314" s="16">
        <v>5</v>
      </c>
    </row>
    <row r="1315" spans="1:8" x14ac:dyDescent="0.15">
      <c r="A1315" s="19">
        <v>250.01892000000001</v>
      </c>
      <c r="B1315" s="19">
        <v>637</v>
      </c>
      <c r="C1315" s="19">
        <v>0.35071999999999998</v>
      </c>
      <c r="D1315" s="19">
        <v>87.309150000000002</v>
      </c>
      <c r="E1315" s="19">
        <v>20</v>
      </c>
      <c r="F1315" s="19">
        <v>80</v>
      </c>
      <c r="G1315" s="19">
        <v>1</v>
      </c>
      <c r="H1315" s="16">
        <v>5</v>
      </c>
    </row>
    <row r="1316" spans="1:8" x14ac:dyDescent="0.15">
      <c r="A1316" s="19">
        <v>250.01903999999999</v>
      </c>
      <c r="B1316" s="19">
        <v>637.5</v>
      </c>
      <c r="C1316" s="19">
        <v>0.35143000000000002</v>
      </c>
      <c r="D1316" s="19">
        <v>87.237579999999994</v>
      </c>
      <c r="E1316" s="19">
        <v>20</v>
      </c>
      <c r="F1316" s="19">
        <v>80</v>
      </c>
      <c r="G1316" s="19">
        <v>1</v>
      </c>
      <c r="H1316" s="16">
        <v>5</v>
      </c>
    </row>
    <row r="1317" spans="1:8" x14ac:dyDescent="0.15">
      <c r="A1317" s="19">
        <v>250.02011999999999</v>
      </c>
      <c r="B1317" s="19">
        <v>638</v>
      </c>
      <c r="C1317" s="19">
        <v>0.35148000000000001</v>
      </c>
      <c r="D1317" s="19">
        <v>87.393929999999997</v>
      </c>
      <c r="E1317" s="19">
        <v>20</v>
      </c>
      <c r="F1317" s="19">
        <v>80</v>
      </c>
      <c r="G1317" s="19">
        <v>1</v>
      </c>
      <c r="H1317" s="16">
        <v>5</v>
      </c>
    </row>
    <row r="1318" spans="1:8" x14ac:dyDescent="0.15">
      <c r="A1318" s="19">
        <v>250.01937000000001</v>
      </c>
      <c r="B1318" s="19">
        <v>638.5</v>
      </c>
      <c r="C1318" s="19">
        <v>0.34944999999999998</v>
      </c>
      <c r="D1318" s="19">
        <v>87.359470000000002</v>
      </c>
      <c r="E1318" s="19">
        <v>20</v>
      </c>
      <c r="F1318" s="19">
        <v>80</v>
      </c>
      <c r="G1318" s="19">
        <v>1</v>
      </c>
      <c r="H1318" s="16">
        <v>5</v>
      </c>
    </row>
    <row r="1319" spans="1:8" x14ac:dyDescent="0.15">
      <c r="A1319" s="19">
        <v>250.02132</v>
      </c>
      <c r="B1319" s="19">
        <v>639</v>
      </c>
      <c r="C1319" s="19">
        <v>0.35016999999999998</v>
      </c>
      <c r="D1319" s="19">
        <v>87.299890000000005</v>
      </c>
      <c r="E1319" s="19">
        <v>20</v>
      </c>
      <c r="F1319" s="19">
        <v>80</v>
      </c>
      <c r="G1319" s="19">
        <v>1</v>
      </c>
      <c r="H1319" s="16">
        <v>5</v>
      </c>
    </row>
    <row r="1320" spans="1:8" x14ac:dyDescent="0.15">
      <c r="A1320" s="19">
        <v>250.02146999999999</v>
      </c>
      <c r="B1320" s="19">
        <v>639.5</v>
      </c>
      <c r="C1320" s="19">
        <v>0.34891</v>
      </c>
      <c r="D1320" s="19">
        <v>87.294020000000003</v>
      </c>
      <c r="E1320" s="19">
        <v>20</v>
      </c>
      <c r="F1320" s="19">
        <v>80</v>
      </c>
      <c r="G1320" s="19">
        <v>1</v>
      </c>
      <c r="H1320" s="16">
        <v>5</v>
      </c>
    </row>
    <row r="1321" spans="1:8" x14ac:dyDescent="0.15">
      <c r="A1321" s="19">
        <v>250.02280999999999</v>
      </c>
      <c r="B1321" s="19">
        <v>640</v>
      </c>
      <c r="C1321" s="19">
        <v>0.34969</v>
      </c>
      <c r="D1321" s="19">
        <v>87.29365</v>
      </c>
      <c r="E1321" s="19">
        <v>20</v>
      </c>
      <c r="F1321" s="19">
        <v>80</v>
      </c>
      <c r="G1321" s="19">
        <v>1</v>
      </c>
      <c r="H1321" s="16">
        <v>5</v>
      </c>
    </row>
    <row r="1322" spans="1:8" x14ac:dyDescent="0.15">
      <c r="A1322" s="19">
        <v>250.01891000000001</v>
      </c>
      <c r="B1322" s="19">
        <v>640.5</v>
      </c>
      <c r="C1322" s="19">
        <v>0.35021000000000002</v>
      </c>
      <c r="D1322" s="19">
        <v>87.161360000000002</v>
      </c>
      <c r="E1322" s="19">
        <v>20</v>
      </c>
      <c r="F1322" s="19">
        <v>80</v>
      </c>
      <c r="G1322" s="19">
        <v>1</v>
      </c>
      <c r="H1322" s="16">
        <v>5</v>
      </c>
    </row>
    <row r="1323" spans="1:8" x14ac:dyDescent="0.15">
      <c r="A1323" s="19">
        <v>250.01519999999999</v>
      </c>
      <c r="B1323" s="19">
        <v>641</v>
      </c>
      <c r="C1323" s="19">
        <v>0.34873999999999999</v>
      </c>
      <c r="D1323" s="19">
        <v>87.189660000000003</v>
      </c>
      <c r="E1323" s="19">
        <v>20</v>
      </c>
      <c r="F1323" s="19">
        <v>80</v>
      </c>
      <c r="G1323" s="19">
        <v>1</v>
      </c>
      <c r="H1323" s="16">
        <v>5</v>
      </c>
    </row>
    <row r="1324" spans="1:8" x14ac:dyDescent="0.15">
      <c r="A1324" s="19">
        <v>250.01678999999999</v>
      </c>
      <c r="B1324" s="19">
        <v>641.5</v>
      </c>
      <c r="C1324" s="19">
        <v>0.34971999999999998</v>
      </c>
      <c r="D1324" s="19">
        <v>87.270520000000005</v>
      </c>
      <c r="E1324" s="19">
        <v>20</v>
      </c>
      <c r="F1324" s="19">
        <v>80</v>
      </c>
      <c r="G1324" s="19">
        <v>1</v>
      </c>
      <c r="H1324" s="16">
        <v>5</v>
      </c>
    </row>
    <row r="1325" spans="1:8" x14ac:dyDescent="0.15">
      <c r="A1325" s="19">
        <v>250.01924</v>
      </c>
      <c r="B1325" s="19">
        <v>642</v>
      </c>
      <c r="C1325" s="19">
        <v>0.34838000000000002</v>
      </c>
      <c r="D1325" s="19">
        <v>87.096149999999994</v>
      </c>
      <c r="E1325" s="19">
        <v>20</v>
      </c>
      <c r="F1325" s="19">
        <v>80</v>
      </c>
      <c r="G1325" s="19">
        <v>1</v>
      </c>
      <c r="H1325" s="16">
        <v>5</v>
      </c>
    </row>
    <row r="1326" spans="1:8" x14ac:dyDescent="0.15">
      <c r="A1326" s="19">
        <v>250.01760999999999</v>
      </c>
      <c r="B1326" s="19">
        <v>642.5</v>
      </c>
      <c r="C1326" s="19">
        <v>0.34927999999999998</v>
      </c>
      <c r="D1326" s="19">
        <v>87.234290000000001</v>
      </c>
      <c r="E1326" s="19">
        <v>20</v>
      </c>
      <c r="F1326" s="19">
        <v>80</v>
      </c>
      <c r="G1326" s="19">
        <v>1</v>
      </c>
      <c r="H1326" s="16">
        <v>5</v>
      </c>
    </row>
    <row r="1327" spans="1:8" x14ac:dyDescent="0.15">
      <c r="A1327" s="19">
        <v>250.01434</v>
      </c>
      <c r="B1327" s="19">
        <v>643</v>
      </c>
      <c r="C1327" s="19">
        <v>0.34954000000000002</v>
      </c>
      <c r="D1327" s="19">
        <v>87.172970000000007</v>
      </c>
      <c r="E1327" s="19">
        <v>20</v>
      </c>
      <c r="F1327" s="19">
        <v>80</v>
      </c>
      <c r="G1327" s="19">
        <v>1</v>
      </c>
      <c r="H1327" s="16">
        <v>5</v>
      </c>
    </row>
    <row r="1328" spans="1:8" x14ac:dyDescent="0.15">
      <c r="A1328" s="19">
        <v>250.01004</v>
      </c>
      <c r="B1328" s="19">
        <v>643.5</v>
      </c>
      <c r="C1328" s="19">
        <v>0.34860999999999998</v>
      </c>
      <c r="D1328" s="19">
        <v>87.304770000000005</v>
      </c>
      <c r="E1328" s="19">
        <v>20</v>
      </c>
      <c r="F1328" s="19">
        <v>80</v>
      </c>
      <c r="G1328" s="19">
        <v>1</v>
      </c>
      <c r="H1328" s="16">
        <v>5</v>
      </c>
    </row>
    <row r="1329" spans="1:8" x14ac:dyDescent="0.15">
      <c r="A1329" s="19">
        <v>250.00700000000001</v>
      </c>
      <c r="B1329" s="19">
        <v>644</v>
      </c>
      <c r="C1329" s="19">
        <v>0.34827999999999998</v>
      </c>
      <c r="D1329" s="19">
        <v>87.230469999999997</v>
      </c>
      <c r="E1329" s="19">
        <v>20</v>
      </c>
      <c r="F1329" s="19">
        <v>80</v>
      </c>
      <c r="G1329" s="19">
        <v>1</v>
      </c>
      <c r="H1329" s="16">
        <v>5</v>
      </c>
    </row>
    <row r="1330" spans="1:8" x14ac:dyDescent="0.15">
      <c r="A1330" s="19">
        <v>250.00480999999999</v>
      </c>
      <c r="B1330" s="19">
        <v>644.5</v>
      </c>
      <c r="C1330" s="19">
        <v>0.34920000000000001</v>
      </c>
      <c r="D1330" s="19">
        <v>87.219830000000002</v>
      </c>
      <c r="E1330" s="19">
        <v>20</v>
      </c>
      <c r="F1330" s="19">
        <v>80</v>
      </c>
      <c r="G1330" s="19">
        <v>1</v>
      </c>
      <c r="H1330" s="16">
        <v>5</v>
      </c>
    </row>
    <row r="1331" spans="1:8" x14ac:dyDescent="0.15">
      <c r="A1331" s="19">
        <v>250.00782000000001</v>
      </c>
      <c r="B1331" s="19">
        <v>645</v>
      </c>
      <c r="C1331" s="19">
        <v>0.34805000000000003</v>
      </c>
      <c r="D1331" s="19">
        <v>87.137950000000004</v>
      </c>
      <c r="E1331" s="19">
        <v>20</v>
      </c>
      <c r="F1331" s="19">
        <v>80</v>
      </c>
      <c r="G1331" s="19">
        <v>1</v>
      </c>
      <c r="H1331" s="16">
        <v>5</v>
      </c>
    </row>
    <row r="1332" spans="1:8" x14ac:dyDescent="0.15">
      <c r="A1332" s="19">
        <v>250.00717</v>
      </c>
      <c r="B1332" s="19">
        <v>645.5</v>
      </c>
      <c r="C1332" s="19">
        <v>0.35014000000000001</v>
      </c>
      <c r="D1332" s="19">
        <v>87.149469999999994</v>
      </c>
      <c r="E1332" s="19">
        <v>20</v>
      </c>
      <c r="F1332" s="19">
        <v>80</v>
      </c>
      <c r="G1332" s="19">
        <v>1</v>
      </c>
      <c r="H1332" s="16">
        <v>5</v>
      </c>
    </row>
    <row r="1333" spans="1:8" x14ac:dyDescent="0.15">
      <c r="A1333" s="19">
        <v>250.00987000000001</v>
      </c>
      <c r="B1333" s="19">
        <v>646</v>
      </c>
      <c r="C1333" s="19">
        <v>0.34953000000000001</v>
      </c>
      <c r="D1333" s="19">
        <v>87.158119999999997</v>
      </c>
      <c r="E1333" s="19">
        <v>20</v>
      </c>
      <c r="F1333" s="19">
        <v>80</v>
      </c>
      <c r="G1333" s="19">
        <v>1</v>
      </c>
      <c r="H1333" s="16">
        <v>5</v>
      </c>
    </row>
    <row r="1334" spans="1:8" x14ac:dyDescent="0.15">
      <c r="A1334" s="19">
        <v>250.01052000000001</v>
      </c>
      <c r="B1334" s="19">
        <v>646.5</v>
      </c>
      <c r="C1334" s="19">
        <v>0.35066000000000003</v>
      </c>
      <c r="D1334" s="19">
        <v>87.159869999999998</v>
      </c>
      <c r="E1334" s="19">
        <v>20</v>
      </c>
      <c r="F1334" s="19">
        <v>80</v>
      </c>
      <c r="G1334" s="19">
        <v>1</v>
      </c>
      <c r="H1334" s="16">
        <v>5</v>
      </c>
    </row>
    <row r="1335" spans="1:8" x14ac:dyDescent="0.15">
      <c r="A1335" s="19">
        <v>250.01073</v>
      </c>
      <c r="B1335" s="19">
        <v>647</v>
      </c>
      <c r="C1335" s="19">
        <v>0.34987000000000001</v>
      </c>
      <c r="D1335" s="19">
        <v>87.138599999999997</v>
      </c>
      <c r="E1335" s="19">
        <v>20</v>
      </c>
      <c r="F1335" s="19">
        <v>80</v>
      </c>
      <c r="G1335" s="19">
        <v>1</v>
      </c>
      <c r="H1335" s="16">
        <v>5</v>
      </c>
    </row>
    <row r="1336" spans="1:8" x14ac:dyDescent="0.15">
      <c r="A1336" s="19">
        <v>250.01354000000001</v>
      </c>
      <c r="B1336" s="19">
        <v>647.5</v>
      </c>
      <c r="C1336" s="19">
        <v>0.34860000000000002</v>
      </c>
      <c r="D1336" s="19">
        <v>87.153170000000003</v>
      </c>
      <c r="E1336" s="19">
        <v>20</v>
      </c>
      <c r="F1336" s="19">
        <v>80</v>
      </c>
      <c r="G1336" s="19">
        <v>1</v>
      </c>
      <c r="H1336" s="16">
        <v>5</v>
      </c>
    </row>
    <row r="1337" spans="1:8" x14ac:dyDescent="0.15">
      <c r="A1337" s="19">
        <v>250.01607000000001</v>
      </c>
      <c r="B1337" s="19">
        <v>648</v>
      </c>
      <c r="C1337" s="19">
        <v>0.34949999999999998</v>
      </c>
      <c r="D1337" s="19">
        <v>87.191410000000005</v>
      </c>
      <c r="E1337" s="19">
        <v>20</v>
      </c>
      <c r="F1337" s="19">
        <v>80</v>
      </c>
      <c r="G1337" s="19">
        <v>1</v>
      </c>
      <c r="H1337" s="16">
        <v>5</v>
      </c>
    </row>
    <row r="1338" spans="1:8" x14ac:dyDescent="0.15">
      <c r="A1338" s="19">
        <v>250.01881</v>
      </c>
      <c r="B1338" s="19">
        <v>648.5</v>
      </c>
      <c r="C1338" s="19">
        <v>0.35042000000000001</v>
      </c>
      <c r="D1338" s="19">
        <v>87.060029999999998</v>
      </c>
      <c r="E1338" s="19">
        <v>20</v>
      </c>
      <c r="F1338" s="19">
        <v>80</v>
      </c>
      <c r="G1338" s="19">
        <v>1</v>
      </c>
      <c r="H1338" s="16">
        <v>5</v>
      </c>
    </row>
    <row r="1339" spans="1:8" x14ac:dyDescent="0.15">
      <c r="A1339" s="19">
        <v>250.02233000000001</v>
      </c>
      <c r="B1339" s="19">
        <v>649</v>
      </c>
      <c r="C1339" s="19">
        <v>0.34927000000000002</v>
      </c>
      <c r="D1339" s="19">
        <v>87.053449999999998</v>
      </c>
      <c r="E1339" s="19">
        <v>20</v>
      </c>
      <c r="F1339" s="19">
        <v>80</v>
      </c>
      <c r="G1339" s="19">
        <v>1</v>
      </c>
      <c r="H1339" s="16">
        <v>5</v>
      </c>
    </row>
    <row r="1340" spans="1:8" x14ac:dyDescent="0.15">
      <c r="A1340" s="19">
        <v>250.02440999999999</v>
      </c>
      <c r="B1340" s="19">
        <v>649.5</v>
      </c>
      <c r="C1340" s="19">
        <v>0.34816000000000003</v>
      </c>
      <c r="D1340" s="19">
        <v>87.065420000000003</v>
      </c>
      <c r="E1340" s="19">
        <v>20</v>
      </c>
      <c r="F1340" s="19">
        <v>80</v>
      </c>
      <c r="G1340" s="19">
        <v>1</v>
      </c>
      <c r="H1340" s="16">
        <v>5</v>
      </c>
    </row>
    <row r="1341" spans="1:8" x14ac:dyDescent="0.15">
      <c r="A1341" s="19">
        <v>250.02199999999999</v>
      </c>
      <c r="B1341" s="19">
        <v>650</v>
      </c>
      <c r="C1341" s="19">
        <v>0.34854000000000002</v>
      </c>
      <c r="D1341" s="19">
        <v>87.044330000000002</v>
      </c>
      <c r="E1341" s="19">
        <v>20</v>
      </c>
      <c r="F1341" s="19">
        <v>80</v>
      </c>
      <c r="G1341" s="19">
        <v>1</v>
      </c>
      <c r="H1341" s="16">
        <v>5</v>
      </c>
    </row>
    <row r="1342" spans="1:8" x14ac:dyDescent="0.15">
      <c r="A1342" s="19">
        <v>250.02164999999999</v>
      </c>
      <c r="B1342" s="19">
        <v>650.5</v>
      </c>
      <c r="C1342" s="19">
        <v>0.34733000000000003</v>
      </c>
      <c r="D1342" s="19">
        <v>87.079040000000006</v>
      </c>
      <c r="E1342" s="19">
        <v>20</v>
      </c>
      <c r="F1342" s="19">
        <v>80</v>
      </c>
      <c r="G1342" s="19">
        <v>1</v>
      </c>
      <c r="H1342" s="16">
        <v>5</v>
      </c>
    </row>
    <row r="1343" spans="1:8" x14ac:dyDescent="0.15">
      <c r="A1343" s="19">
        <v>250.02116000000001</v>
      </c>
      <c r="B1343" s="19">
        <v>651</v>
      </c>
      <c r="C1343" s="19">
        <v>0.34864000000000001</v>
      </c>
      <c r="D1343" s="19">
        <v>87.056200000000004</v>
      </c>
      <c r="E1343" s="19">
        <v>20</v>
      </c>
      <c r="F1343" s="19">
        <v>80</v>
      </c>
      <c r="G1343" s="19">
        <v>1</v>
      </c>
      <c r="H1343" s="16">
        <v>5</v>
      </c>
    </row>
    <row r="1344" spans="1:8" x14ac:dyDescent="0.15">
      <c r="A1344" s="19">
        <v>250.01872</v>
      </c>
      <c r="B1344" s="19">
        <v>651.5</v>
      </c>
      <c r="C1344" s="19">
        <v>0.34734999999999999</v>
      </c>
      <c r="D1344" s="19">
        <v>87.009780000000006</v>
      </c>
      <c r="E1344" s="19">
        <v>20</v>
      </c>
      <c r="F1344" s="19">
        <v>80</v>
      </c>
      <c r="G1344" s="19">
        <v>1</v>
      </c>
      <c r="H1344" s="16">
        <v>5</v>
      </c>
    </row>
    <row r="1345" spans="1:8" x14ac:dyDescent="0.15">
      <c r="A1345" s="19">
        <v>250.01734999999999</v>
      </c>
      <c r="B1345" s="19">
        <v>652</v>
      </c>
      <c r="C1345" s="19">
        <v>0.34755000000000003</v>
      </c>
      <c r="D1345" s="19">
        <v>87.017480000000006</v>
      </c>
      <c r="E1345" s="19">
        <v>20</v>
      </c>
      <c r="F1345" s="19">
        <v>80</v>
      </c>
      <c r="G1345" s="19">
        <v>1</v>
      </c>
      <c r="H1345" s="16">
        <v>5</v>
      </c>
    </row>
    <row r="1346" spans="1:8" x14ac:dyDescent="0.15">
      <c r="A1346" s="19">
        <v>250.01658</v>
      </c>
      <c r="B1346" s="19">
        <v>652.5</v>
      </c>
      <c r="C1346" s="19">
        <v>0.34803000000000001</v>
      </c>
      <c r="D1346" s="19">
        <v>87.149739999999994</v>
      </c>
      <c r="E1346" s="19">
        <v>20</v>
      </c>
      <c r="F1346" s="19">
        <v>80</v>
      </c>
      <c r="G1346" s="19">
        <v>1</v>
      </c>
      <c r="H1346" s="16">
        <v>5</v>
      </c>
    </row>
    <row r="1347" spans="1:8" x14ac:dyDescent="0.15">
      <c r="A1347" s="19">
        <v>250.01378</v>
      </c>
      <c r="B1347" s="19">
        <v>653</v>
      </c>
      <c r="C1347" s="19">
        <v>0.34799999999999998</v>
      </c>
      <c r="D1347" s="19">
        <v>87.016040000000004</v>
      </c>
      <c r="E1347" s="19">
        <v>20</v>
      </c>
      <c r="F1347" s="19">
        <v>80</v>
      </c>
      <c r="G1347" s="19">
        <v>1</v>
      </c>
      <c r="H1347" s="16">
        <v>5</v>
      </c>
    </row>
    <row r="1348" spans="1:8" x14ac:dyDescent="0.15">
      <c r="A1348" s="19">
        <v>250.01346000000001</v>
      </c>
      <c r="B1348" s="19">
        <v>653.5</v>
      </c>
      <c r="C1348" s="19">
        <v>0.34647</v>
      </c>
      <c r="D1348" s="19">
        <v>87.078710000000001</v>
      </c>
      <c r="E1348" s="19">
        <v>20</v>
      </c>
      <c r="F1348" s="19">
        <v>80</v>
      </c>
      <c r="G1348" s="19">
        <v>1</v>
      </c>
      <c r="H1348" s="16">
        <v>5</v>
      </c>
    </row>
    <row r="1349" spans="1:8" x14ac:dyDescent="0.15">
      <c r="A1349" s="19">
        <v>250.01284999999999</v>
      </c>
      <c r="B1349" s="19">
        <v>654</v>
      </c>
      <c r="C1349" s="19">
        <v>0.34672999999999998</v>
      </c>
      <c r="D1349" s="19">
        <v>86.932090000000002</v>
      </c>
      <c r="E1349" s="19">
        <v>20</v>
      </c>
      <c r="F1349" s="19">
        <v>80</v>
      </c>
      <c r="G1349" s="19">
        <v>1</v>
      </c>
      <c r="H1349" s="16">
        <v>5</v>
      </c>
    </row>
    <row r="1350" spans="1:8" x14ac:dyDescent="0.15">
      <c r="A1350" s="19">
        <v>250.01383000000001</v>
      </c>
      <c r="B1350" s="19">
        <v>654.5</v>
      </c>
      <c r="C1350" s="19">
        <v>0.34683999999999998</v>
      </c>
      <c r="D1350" s="19">
        <v>87.009910000000005</v>
      </c>
      <c r="E1350" s="19">
        <v>20</v>
      </c>
      <c r="F1350" s="19">
        <v>80</v>
      </c>
      <c r="G1350" s="19">
        <v>1</v>
      </c>
      <c r="H1350" s="16">
        <v>5</v>
      </c>
    </row>
    <row r="1351" spans="1:8" x14ac:dyDescent="0.15">
      <c r="A1351" s="19">
        <v>250.01642000000001</v>
      </c>
      <c r="B1351" s="19">
        <v>655</v>
      </c>
      <c r="C1351" s="19">
        <v>0.34731000000000001</v>
      </c>
      <c r="D1351" s="19">
        <v>87.038480000000007</v>
      </c>
      <c r="E1351" s="19">
        <v>20</v>
      </c>
      <c r="F1351" s="19">
        <v>80</v>
      </c>
      <c r="G1351" s="19">
        <v>1</v>
      </c>
      <c r="H1351" s="16">
        <v>5</v>
      </c>
    </row>
    <row r="1352" spans="1:8" x14ac:dyDescent="0.15">
      <c r="A1352" s="19">
        <v>250.01747</v>
      </c>
      <c r="B1352" s="19">
        <v>655.5</v>
      </c>
      <c r="C1352" s="19">
        <v>0.34655000000000002</v>
      </c>
      <c r="D1352" s="19">
        <v>86.910219999999995</v>
      </c>
      <c r="E1352" s="19">
        <v>20</v>
      </c>
      <c r="F1352" s="19">
        <v>80</v>
      </c>
      <c r="G1352" s="19">
        <v>1</v>
      </c>
      <c r="H1352" s="16">
        <v>5</v>
      </c>
    </row>
    <row r="1353" spans="1:8" x14ac:dyDescent="0.15">
      <c r="A1353" s="19">
        <v>250.01791</v>
      </c>
      <c r="B1353" s="19">
        <v>656</v>
      </c>
      <c r="C1353" s="19">
        <v>0.34653</v>
      </c>
      <c r="D1353" s="19">
        <v>87.007729999999995</v>
      </c>
      <c r="E1353" s="19">
        <v>20</v>
      </c>
      <c r="F1353" s="19">
        <v>80</v>
      </c>
      <c r="G1353" s="19">
        <v>1</v>
      </c>
      <c r="H1353" s="16">
        <v>5</v>
      </c>
    </row>
    <row r="1354" spans="1:8" x14ac:dyDescent="0.15">
      <c r="A1354" s="19">
        <v>250.01754</v>
      </c>
      <c r="B1354" s="19">
        <v>656.5</v>
      </c>
      <c r="C1354" s="19">
        <v>0.34577999999999998</v>
      </c>
      <c r="D1354" s="19">
        <v>87.044200000000004</v>
      </c>
      <c r="E1354" s="19">
        <v>20</v>
      </c>
      <c r="F1354" s="19">
        <v>80</v>
      </c>
      <c r="G1354" s="19">
        <v>1</v>
      </c>
      <c r="H1354" s="16">
        <v>5</v>
      </c>
    </row>
    <row r="1355" spans="1:8" x14ac:dyDescent="0.15">
      <c r="A1355" s="19">
        <v>250.01883000000001</v>
      </c>
      <c r="B1355" s="19">
        <v>657</v>
      </c>
      <c r="C1355" s="19">
        <v>0.34681000000000001</v>
      </c>
      <c r="D1355" s="19">
        <v>86.930800000000005</v>
      </c>
      <c r="E1355" s="19">
        <v>20</v>
      </c>
      <c r="F1355" s="19">
        <v>80</v>
      </c>
      <c r="G1355" s="19">
        <v>1</v>
      </c>
      <c r="H1355" s="16">
        <v>5</v>
      </c>
    </row>
    <row r="1356" spans="1:8" x14ac:dyDescent="0.15">
      <c r="A1356" s="19">
        <v>250.01662999999999</v>
      </c>
      <c r="B1356" s="19">
        <v>657.5</v>
      </c>
      <c r="C1356" s="19">
        <v>0.34658</v>
      </c>
      <c r="D1356" s="19">
        <v>86.933059999999998</v>
      </c>
      <c r="E1356" s="19">
        <v>20</v>
      </c>
      <c r="F1356" s="19">
        <v>80</v>
      </c>
      <c r="G1356" s="19">
        <v>1</v>
      </c>
      <c r="H1356" s="16">
        <v>5</v>
      </c>
    </row>
    <row r="1357" spans="1:8" x14ac:dyDescent="0.15">
      <c r="A1357" s="19">
        <v>250.01303999999999</v>
      </c>
      <c r="B1357" s="19">
        <v>658</v>
      </c>
      <c r="C1357" s="19">
        <v>0.34569</v>
      </c>
      <c r="D1357" s="19">
        <v>86.911580000000001</v>
      </c>
      <c r="E1357" s="19">
        <v>20</v>
      </c>
      <c r="F1357" s="19">
        <v>80</v>
      </c>
      <c r="G1357" s="19">
        <v>1</v>
      </c>
      <c r="H1357" s="16">
        <v>5</v>
      </c>
    </row>
    <row r="1358" spans="1:8" x14ac:dyDescent="0.15">
      <c r="A1358" s="19">
        <v>250.01352</v>
      </c>
      <c r="B1358" s="19">
        <v>658.5</v>
      </c>
      <c r="C1358" s="19">
        <v>0.34721999999999997</v>
      </c>
      <c r="D1358" s="19">
        <v>87.044719999999998</v>
      </c>
      <c r="E1358" s="19">
        <v>20</v>
      </c>
      <c r="F1358" s="19">
        <v>80</v>
      </c>
      <c r="G1358" s="19">
        <v>1</v>
      </c>
      <c r="H1358" s="16">
        <v>5</v>
      </c>
    </row>
    <row r="1359" spans="1:8" x14ac:dyDescent="0.15">
      <c r="A1359" s="19">
        <v>250.01682</v>
      </c>
      <c r="B1359" s="19">
        <v>659</v>
      </c>
      <c r="C1359" s="19">
        <v>0.34683999999999998</v>
      </c>
      <c r="D1359" s="19">
        <v>86.85145</v>
      </c>
      <c r="E1359" s="19">
        <v>20</v>
      </c>
      <c r="F1359" s="19">
        <v>80</v>
      </c>
      <c r="G1359" s="19">
        <v>1</v>
      </c>
      <c r="H1359" s="16">
        <v>5</v>
      </c>
    </row>
    <row r="1360" spans="1:8" x14ac:dyDescent="0.15">
      <c r="A1360" s="19">
        <v>250.02264</v>
      </c>
      <c r="B1360" s="19">
        <v>659.5</v>
      </c>
      <c r="C1360" s="19">
        <v>0.34583000000000003</v>
      </c>
      <c r="D1360" s="19">
        <v>87.041700000000006</v>
      </c>
      <c r="E1360" s="19">
        <v>20</v>
      </c>
      <c r="F1360" s="19">
        <v>80</v>
      </c>
      <c r="G1360" s="19">
        <v>1</v>
      </c>
      <c r="H1360" s="16">
        <v>5</v>
      </c>
    </row>
    <row r="1361" spans="1:8" x14ac:dyDescent="0.15">
      <c r="A1361" s="19">
        <v>250.02113</v>
      </c>
      <c r="B1361" s="19">
        <v>660</v>
      </c>
      <c r="C1361" s="19">
        <v>0.34678999999999999</v>
      </c>
      <c r="D1361" s="19">
        <v>86.906210000000002</v>
      </c>
      <c r="E1361" s="19">
        <v>20</v>
      </c>
      <c r="F1361" s="19">
        <v>80</v>
      </c>
      <c r="G1361" s="19">
        <v>1</v>
      </c>
      <c r="H1361" s="16">
        <v>5</v>
      </c>
    </row>
    <row r="1362" spans="1:8" x14ac:dyDescent="0.15">
      <c r="A1362" s="19">
        <v>250.01704000000001</v>
      </c>
      <c r="B1362" s="19">
        <v>660.5</v>
      </c>
      <c r="C1362" s="19">
        <v>0.34627999999999998</v>
      </c>
      <c r="D1362" s="19">
        <v>86.80359</v>
      </c>
      <c r="E1362" s="19">
        <v>20</v>
      </c>
      <c r="F1362" s="19">
        <v>80</v>
      </c>
      <c r="G1362" s="19">
        <v>1</v>
      </c>
      <c r="H1362" s="16">
        <v>5</v>
      </c>
    </row>
    <row r="1363" spans="1:8" x14ac:dyDescent="0.15">
      <c r="A1363" s="19">
        <v>250.01118</v>
      </c>
      <c r="B1363" s="19">
        <v>661</v>
      </c>
      <c r="C1363" s="19">
        <v>0.34570000000000001</v>
      </c>
      <c r="D1363" s="19">
        <v>86.878200000000007</v>
      </c>
      <c r="E1363" s="19">
        <v>20</v>
      </c>
      <c r="F1363" s="19">
        <v>80</v>
      </c>
      <c r="G1363" s="19">
        <v>1</v>
      </c>
      <c r="H1363" s="16">
        <v>5</v>
      </c>
    </row>
    <row r="1364" spans="1:8" x14ac:dyDescent="0.15">
      <c r="A1364" s="19">
        <v>250.00704999999999</v>
      </c>
      <c r="B1364" s="19">
        <v>661.5</v>
      </c>
      <c r="C1364" s="19">
        <v>0.34551999999999999</v>
      </c>
      <c r="D1364" s="19">
        <v>86.900769999999994</v>
      </c>
      <c r="E1364" s="19">
        <v>20</v>
      </c>
      <c r="F1364" s="19">
        <v>80</v>
      </c>
      <c r="G1364" s="19">
        <v>1</v>
      </c>
      <c r="H1364" s="16">
        <v>5</v>
      </c>
    </row>
    <row r="1365" spans="1:8" x14ac:dyDescent="0.15">
      <c r="A1365" s="19">
        <v>250.00790000000001</v>
      </c>
      <c r="B1365" s="19">
        <v>662</v>
      </c>
      <c r="C1365" s="19">
        <v>0.34575</v>
      </c>
      <c r="D1365" s="19">
        <v>86.811539999999994</v>
      </c>
      <c r="E1365" s="19">
        <v>20</v>
      </c>
      <c r="F1365" s="19">
        <v>80</v>
      </c>
      <c r="G1365" s="19">
        <v>1</v>
      </c>
      <c r="H1365" s="16">
        <v>5</v>
      </c>
    </row>
    <row r="1366" spans="1:8" x14ac:dyDescent="0.15">
      <c r="A1366" s="19">
        <v>250.00747999999999</v>
      </c>
      <c r="B1366" s="19">
        <v>662.5</v>
      </c>
      <c r="C1366" s="19">
        <v>0.34437000000000001</v>
      </c>
      <c r="D1366" s="19">
        <v>86.806479999999993</v>
      </c>
      <c r="E1366" s="19">
        <v>20</v>
      </c>
      <c r="F1366" s="19">
        <v>80</v>
      </c>
      <c r="G1366" s="19">
        <v>1</v>
      </c>
      <c r="H1366" s="16">
        <v>5</v>
      </c>
    </row>
    <row r="1367" spans="1:8" x14ac:dyDescent="0.15">
      <c r="A1367" s="19">
        <v>250.00951000000001</v>
      </c>
      <c r="B1367" s="19">
        <v>663</v>
      </c>
      <c r="C1367" s="19">
        <v>0.34417999999999999</v>
      </c>
      <c r="D1367" s="19">
        <v>86.792410000000004</v>
      </c>
      <c r="E1367" s="19">
        <v>20</v>
      </c>
      <c r="F1367" s="19">
        <v>80</v>
      </c>
      <c r="G1367" s="19">
        <v>1</v>
      </c>
      <c r="H1367" s="16">
        <v>5</v>
      </c>
    </row>
    <row r="1368" spans="1:8" x14ac:dyDescent="0.15">
      <c r="A1368" s="19">
        <v>250.01320000000001</v>
      </c>
      <c r="B1368" s="19">
        <v>663.5</v>
      </c>
      <c r="C1368" s="19">
        <v>0.34575</v>
      </c>
      <c r="D1368" s="19">
        <v>86.748729999999995</v>
      </c>
      <c r="E1368" s="19">
        <v>20</v>
      </c>
      <c r="F1368" s="19">
        <v>80</v>
      </c>
      <c r="G1368" s="19">
        <v>1</v>
      </c>
      <c r="H1368" s="16">
        <v>5</v>
      </c>
    </row>
    <row r="1369" spans="1:8" x14ac:dyDescent="0.15">
      <c r="A1369" s="19">
        <v>250.01245</v>
      </c>
      <c r="B1369" s="19">
        <v>664</v>
      </c>
      <c r="C1369" s="19">
        <v>0.34605999999999998</v>
      </c>
      <c r="D1369" s="19">
        <v>86.801379999999995</v>
      </c>
      <c r="E1369" s="19">
        <v>20</v>
      </c>
      <c r="F1369" s="19">
        <v>80</v>
      </c>
      <c r="G1369" s="19">
        <v>1</v>
      </c>
      <c r="H1369" s="16">
        <v>5</v>
      </c>
    </row>
    <row r="1370" spans="1:8" x14ac:dyDescent="0.15">
      <c r="A1370" s="19">
        <v>250.01326</v>
      </c>
      <c r="B1370" s="19">
        <v>664.5</v>
      </c>
      <c r="C1370" s="19">
        <v>0.34548000000000001</v>
      </c>
      <c r="D1370" s="19">
        <v>86.82441</v>
      </c>
      <c r="E1370" s="19">
        <v>20</v>
      </c>
      <c r="F1370" s="19">
        <v>80</v>
      </c>
      <c r="G1370" s="19">
        <v>1</v>
      </c>
      <c r="H1370" s="16">
        <v>5</v>
      </c>
    </row>
    <row r="1371" spans="1:8" x14ac:dyDescent="0.15">
      <c r="A1371" s="19">
        <v>250.01109</v>
      </c>
      <c r="B1371" s="19">
        <v>665</v>
      </c>
      <c r="C1371" s="19">
        <v>0.34494000000000002</v>
      </c>
      <c r="D1371" s="19">
        <v>86.711160000000007</v>
      </c>
      <c r="E1371" s="19">
        <v>20</v>
      </c>
      <c r="F1371" s="19">
        <v>80</v>
      </c>
      <c r="G1371" s="19">
        <v>1</v>
      </c>
      <c r="H1371" s="16">
        <v>5</v>
      </c>
    </row>
    <row r="1372" spans="1:8" x14ac:dyDescent="0.15">
      <c r="A1372" s="19">
        <v>250.00890999999999</v>
      </c>
      <c r="B1372" s="19">
        <v>665.5</v>
      </c>
      <c r="C1372" s="19">
        <v>0.34522999999999998</v>
      </c>
      <c r="D1372" s="19">
        <v>86.695220000000006</v>
      </c>
      <c r="E1372" s="19">
        <v>20</v>
      </c>
      <c r="F1372" s="19">
        <v>80</v>
      </c>
      <c r="G1372" s="19">
        <v>1</v>
      </c>
      <c r="H1372" s="16">
        <v>5</v>
      </c>
    </row>
    <row r="1373" spans="1:8" x14ac:dyDescent="0.15">
      <c r="A1373" s="19">
        <v>250.0104</v>
      </c>
      <c r="B1373" s="19">
        <v>666</v>
      </c>
      <c r="C1373" s="19">
        <v>0.34388999999999997</v>
      </c>
      <c r="D1373" s="19">
        <v>86.732420000000005</v>
      </c>
      <c r="E1373" s="19">
        <v>20</v>
      </c>
      <c r="F1373" s="19">
        <v>80</v>
      </c>
      <c r="G1373" s="19">
        <v>1</v>
      </c>
      <c r="H1373" s="16">
        <v>5</v>
      </c>
    </row>
    <row r="1374" spans="1:8" x14ac:dyDescent="0.15">
      <c r="A1374" s="19">
        <v>250.01077000000001</v>
      </c>
      <c r="B1374" s="19">
        <v>666.5</v>
      </c>
      <c r="C1374" s="19">
        <v>0.34433999999999998</v>
      </c>
      <c r="D1374" s="19">
        <v>86.820610000000002</v>
      </c>
      <c r="E1374" s="19">
        <v>20</v>
      </c>
      <c r="F1374" s="19">
        <v>80</v>
      </c>
      <c r="G1374" s="19">
        <v>1</v>
      </c>
      <c r="H1374" s="16">
        <v>5</v>
      </c>
    </row>
    <row r="1375" spans="1:8" x14ac:dyDescent="0.15">
      <c r="A1375" s="19">
        <v>250.0138</v>
      </c>
      <c r="B1375" s="19">
        <v>667</v>
      </c>
      <c r="C1375" s="19">
        <v>0.34493000000000001</v>
      </c>
      <c r="D1375" s="19">
        <v>86.781700000000001</v>
      </c>
      <c r="E1375" s="19">
        <v>20</v>
      </c>
      <c r="F1375" s="19">
        <v>80</v>
      </c>
      <c r="G1375" s="19">
        <v>1</v>
      </c>
      <c r="H1375" s="16">
        <v>5</v>
      </c>
    </row>
    <row r="1376" spans="1:8" x14ac:dyDescent="0.15">
      <c r="A1376" s="19">
        <v>250.01050000000001</v>
      </c>
      <c r="B1376" s="19">
        <v>667.5</v>
      </c>
      <c r="C1376" s="19">
        <v>0.34462999999999999</v>
      </c>
      <c r="D1376" s="19">
        <v>86.742750000000001</v>
      </c>
      <c r="E1376" s="19">
        <v>20</v>
      </c>
      <c r="F1376" s="19">
        <v>80</v>
      </c>
      <c r="G1376" s="19">
        <v>1</v>
      </c>
      <c r="H1376" s="16">
        <v>5</v>
      </c>
    </row>
    <row r="1377" spans="1:8" x14ac:dyDescent="0.15">
      <c r="A1377" s="19">
        <v>250.00998999999999</v>
      </c>
      <c r="B1377" s="19">
        <v>668</v>
      </c>
      <c r="C1377" s="19">
        <v>0.34632000000000002</v>
      </c>
      <c r="D1377" s="19">
        <v>86.799599999999998</v>
      </c>
      <c r="E1377" s="19">
        <v>20</v>
      </c>
      <c r="F1377" s="19">
        <v>80</v>
      </c>
      <c r="G1377" s="19">
        <v>1</v>
      </c>
      <c r="H1377" s="16">
        <v>5</v>
      </c>
    </row>
    <row r="1378" spans="1:8" x14ac:dyDescent="0.15">
      <c r="A1378" s="19">
        <v>250.01129</v>
      </c>
      <c r="B1378" s="19">
        <v>668.5</v>
      </c>
      <c r="C1378" s="19">
        <v>0.34515000000000001</v>
      </c>
      <c r="D1378" s="19">
        <v>86.682850000000002</v>
      </c>
      <c r="E1378" s="19">
        <v>20</v>
      </c>
      <c r="F1378" s="19">
        <v>80</v>
      </c>
      <c r="G1378" s="19">
        <v>1</v>
      </c>
      <c r="H1378" s="16">
        <v>5</v>
      </c>
    </row>
    <row r="1379" spans="1:8" x14ac:dyDescent="0.15">
      <c r="A1379" s="19">
        <v>250.01428999999999</v>
      </c>
      <c r="B1379" s="19">
        <v>669</v>
      </c>
      <c r="C1379" s="19">
        <v>0.34544000000000002</v>
      </c>
      <c r="D1379" s="19">
        <v>86.864660000000001</v>
      </c>
      <c r="E1379" s="19">
        <v>20</v>
      </c>
      <c r="F1379" s="19">
        <v>80</v>
      </c>
      <c r="G1379" s="19">
        <v>1</v>
      </c>
      <c r="H1379" s="16">
        <v>5</v>
      </c>
    </row>
    <row r="1380" spans="1:8" x14ac:dyDescent="0.15">
      <c r="A1380" s="19">
        <v>250.01231999999999</v>
      </c>
      <c r="B1380" s="19">
        <v>669.5</v>
      </c>
      <c r="C1380" s="19">
        <v>0.34365000000000001</v>
      </c>
      <c r="D1380" s="19">
        <v>86.700090000000003</v>
      </c>
      <c r="E1380" s="19">
        <v>20</v>
      </c>
      <c r="F1380" s="19">
        <v>80</v>
      </c>
      <c r="G1380" s="19">
        <v>1</v>
      </c>
      <c r="H1380" s="16">
        <v>5</v>
      </c>
    </row>
    <row r="1381" spans="1:8" x14ac:dyDescent="0.15">
      <c r="A1381" s="19">
        <v>250.01338999999999</v>
      </c>
      <c r="B1381" s="19">
        <v>670</v>
      </c>
      <c r="C1381" s="19">
        <v>0.34510999999999997</v>
      </c>
      <c r="D1381" s="19">
        <v>86.624120000000005</v>
      </c>
      <c r="E1381" s="19">
        <v>20</v>
      </c>
      <c r="F1381" s="19">
        <v>80</v>
      </c>
      <c r="G1381" s="19">
        <v>1</v>
      </c>
      <c r="H1381" s="16">
        <v>5</v>
      </c>
    </row>
    <row r="1382" spans="1:8" x14ac:dyDescent="0.15">
      <c r="A1382" s="19">
        <v>250.01635999999999</v>
      </c>
      <c r="B1382" s="19">
        <v>670.5</v>
      </c>
      <c r="C1382" s="19">
        <v>0.34605000000000002</v>
      </c>
      <c r="D1382" s="19">
        <v>86.645070000000004</v>
      </c>
      <c r="E1382" s="19">
        <v>20</v>
      </c>
      <c r="F1382" s="19">
        <v>80</v>
      </c>
      <c r="G1382" s="19">
        <v>1</v>
      </c>
      <c r="H1382" s="16">
        <v>5</v>
      </c>
    </row>
    <row r="1383" spans="1:8" x14ac:dyDescent="0.15">
      <c r="A1383" s="19">
        <v>250.01682</v>
      </c>
      <c r="B1383" s="19">
        <v>671</v>
      </c>
      <c r="C1383" s="19">
        <v>0.34461000000000003</v>
      </c>
      <c r="D1383" s="19">
        <v>86.665629999999993</v>
      </c>
      <c r="E1383" s="19">
        <v>20</v>
      </c>
      <c r="F1383" s="19">
        <v>80</v>
      </c>
      <c r="G1383" s="19">
        <v>1</v>
      </c>
      <c r="H1383" s="16">
        <v>5</v>
      </c>
    </row>
    <row r="1384" spans="1:8" x14ac:dyDescent="0.15">
      <c r="A1384" s="19">
        <v>250.01524000000001</v>
      </c>
      <c r="B1384" s="19">
        <v>671.5</v>
      </c>
      <c r="C1384" s="19">
        <v>0.34369</v>
      </c>
      <c r="D1384" s="19">
        <v>86.590159999999997</v>
      </c>
      <c r="E1384" s="19">
        <v>20</v>
      </c>
      <c r="F1384" s="19">
        <v>80</v>
      </c>
      <c r="G1384" s="19">
        <v>1</v>
      </c>
      <c r="H1384" s="16">
        <v>5</v>
      </c>
    </row>
    <row r="1385" spans="1:8" x14ac:dyDescent="0.15">
      <c r="A1385" s="19">
        <v>250.01581999999999</v>
      </c>
      <c r="B1385" s="19">
        <v>672</v>
      </c>
      <c r="C1385" s="19">
        <v>0.34419</v>
      </c>
      <c r="D1385" s="19">
        <v>86.635509999999996</v>
      </c>
      <c r="E1385" s="19">
        <v>20</v>
      </c>
      <c r="F1385" s="19">
        <v>80</v>
      </c>
      <c r="G1385" s="19">
        <v>1</v>
      </c>
      <c r="H1385" s="16">
        <v>5</v>
      </c>
    </row>
    <row r="1386" spans="1:8" x14ac:dyDescent="0.15">
      <c r="A1386" s="19">
        <v>250.01555999999999</v>
      </c>
      <c r="B1386" s="19">
        <v>672.5</v>
      </c>
      <c r="C1386" s="19">
        <v>0.34473999999999999</v>
      </c>
      <c r="D1386" s="19">
        <v>86.655019999999993</v>
      </c>
      <c r="E1386" s="19">
        <v>20</v>
      </c>
      <c r="F1386" s="19">
        <v>80</v>
      </c>
      <c r="G1386" s="19">
        <v>1</v>
      </c>
      <c r="H1386" s="16">
        <v>5</v>
      </c>
    </row>
    <row r="1387" spans="1:8" x14ac:dyDescent="0.15">
      <c r="A1387" s="19">
        <v>250.01811000000001</v>
      </c>
      <c r="B1387" s="19">
        <v>673</v>
      </c>
      <c r="C1387" s="19">
        <v>0.34512999999999999</v>
      </c>
      <c r="D1387" s="19">
        <v>86.703919999999997</v>
      </c>
      <c r="E1387" s="19">
        <v>20</v>
      </c>
      <c r="F1387" s="19">
        <v>80</v>
      </c>
      <c r="G1387" s="19">
        <v>1</v>
      </c>
      <c r="H1387" s="16">
        <v>5</v>
      </c>
    </row>
    <row r="1388" spans="1:8" x14ac:dyDescent="0.15">
      <c r="A1388" s="19">
        <v>250.01981000000001</v>
      </c>
      <c r="B1388" s="19">
        <v>673.5</v>
      </c>
      <c r="C1388" s="19">
        <v>0.34390999999999999</v>
      </c>
      <c r="D1388" s="19">
        <v>86.598039999999997</v>
      </c>
      <c r="E1388" s="19">
        <v>20</v>
      </c>
      <c r="F1388" s="19">
        <v>80</v>
      </c>
      <c r="G1388" s="19">
        <v>1</v>
      </c>
      <c r="H1388" s="16">
        <v>5</v>
      </c>
    </row>
    <row r="1389" spans="1:8" x14ac:dyDescent="0.15">
      <c r="A1389" s="19">
        <v>250.02208999999999</v>
      </c>
      <c r="B1389" s="19">
        <v>674</v>
      </c>
      <c r="C1389" s="19">
        <v>0.34511999999999998</v>
      </c>
      <c r="D1389" s="19">
        <v>86.696510000000004</v>
      </c>
      <c r="E1389" s="19">
        <v>20</v>
      </c>
      <c r="F1389" s="19">
        <v>80</v>
      </c>
      <c r="G1389" s="19">
        <v>1</v>
      </c>
      <c r="H1389" s="16">
        <v>5</v>
      </c>
    </row>
    <row r="1390" spans="1:8" x14ac:dyDescent="0.15">
      <c r="A1390" s="19">
        <v>250.02565000000001</v>
      </c>
      <c r="B1390" s="19">
        <v>674.5</v>
      </c>
      <c r="C1390" s="19">
        <v>0.34336</v>
      </c>
      <c r="D1390" s="19">
        <v>86.598950000000002</v>
      </c>
      <c r="E1390" s="19">
        <v>20</v>
      </c>
      <c r="F1390" s="19">
        <v>80</v>
      </c>
      <c r="G1390" s="19">
        <v>1</v>
      </c>
      <c r="H1390" s="16">
        <v>5</v>
      </c>
    </row>
    <row r="1391" spans="1:8" x14ac:dyDescent="0.15">
      <c r="A1391" s="19">
        <v>250.02128999999999</v>
      </c>
      <c r="B1391" s="19">
        <v>675</v>
      </c>
      <c r="C1391" s="19">
        <v>0.34292</v>
      </c>
      <c r="D1391" s="19">
        <v>86.685919999999996</v>
      </c>
      <c r="E1391" s="19">
        <v>20</v>
      </c>
      <c r="F1391" s="19">
        <v>80</v>
      </c>
      <c r="G1391" s="19">
        <v>1</v>
      </c>
      <c r="H1391" s="16">
        <v>5</v>
      </c>
    </row>
    <row r="1392" spans="1:8" x14ac:dyDescent="0.15">
      <c r="A1392" s="19">
        <v>250.01946000000001</v>
      </c>
      <c r="B1392" s="19">
        <v>675.5</v>
      </c>
      <c r="C1392" s="19">
        <v>0.34316000000000002</v>
      </c>
      <c r="D1392" s="19">
        <v>86.677880000000002</v>
      </c>
      <c r="E1392" s="19">
        <v>20</v>
      </c>
      <c r="F1392" s="19">
        <v>80</v>
      </c>
      <c r="G1392" s="19">
        <v>1</v>
      </c>
      <c r="H1392" s="16">
        <v>5</v>
      </c>
    </row>
    <row r="1393" spans="1:8" x14ac:dyDescent="0.15">
      <c r="A1393" s="19">
        <v>250.02133000000001</v>
      </c>
      <c r="B1393" s="19">
        <v>676</v>
      </c>
      <c r="C1393" s="19">
        <v>0.34395999999999999</v>
      </c>
      <c r="D1393" s="19">
        <v>86.642319999999998</v>
      </c>
      <c r="E1393" s="19">
        <v>20</v>
      </c>
      <c r="F1393" s="19">
        <v>80</v>
      </c>
      <c r="G1393" s="19">
        <v>1</v>
      </c>
      <c r="H1393" s="16">
        <v>5</v>
      </c>
    </row>
    <row r="1394" spans="1:8" x14ac:dyDescent="0.15">
      <c r="A1394" s="19">
        <v>250.02091999999999</v>
      </c>
      <c r="B1394" s="19">
        <v>676.5</v>
      </c>
      <c r="C1394" s="19">
        <v>0.34305999999999998</v>
      </c>
      <c r="D1394" s="19">
        <v>86.589330000000004</v>
      </c>
      <c r="E1394" s="19">
        <v>20</v>
      </c>
      <c r="F1394" s="19">
        <v>80</v>
      </c>
      <c r="G1394" s="19">
        <v>1</v>
      </c>
      <c r="H1394" s="16">
        <v>5</v>
      </c>
    </row>
    <row r="1395" spans="1:8" x14ac:dyDescent="0.15">
      <c r="A1395" s="19">
        <v>250.01975999999999</v>
      </c>
      <c r="B1395" s="19">
        <v>677</v>
      </c>
      <c r="C1395" s="19">
        <v>0.34450999999999998</v>
      </c>
      <c r="D1395" s="19">
        <v>86.487549999999999</v>
      </c>
      <c r="E1395" s="19">
        <v>20</v>
      </c>
      <c r="F1395" s="19">
        <v>80</v>
      </c>
      <c r="G1395" s="19">
        <v>1</v>
      </c>
      <c r="H1395" s="16">
        <v>5</v>
      </c>
    </row>
    <row r="1396" spans="1:8" x14ac:dyDescent="0.15">
      <c r="A1396" s="19">
        <v>250.02153000000001</v>
      </c>
      <c r="B1396" s="19">
        <v>677.5</v>
      </c>
      <c r="C1396" s="19">
        <v>0.34425</v>
      </c>
      <c r="D1396" s="19">
        <v>86.531899999999993</v>
      </c>
      <c r="E1396" s="19">
        <v>20</v>
      </c>
      <c r="F1396" s="19">
        <v>80</v>
      </c>
      <c r="G1396" s="19">
        <v>1</v>
      </c>
      <c r="H1396" s="16">
        <v>5</v>
      </c>
    </row>
    <row r="1397" spans="1:8" x14ac:dyDescent="0.15">
      <c r="A1397" s="19">
        <v>250.02108000000001</v>
      </c>
      <c r="B1397" s="19">
        <v>678</v>
      </c>
      <c r="C1397" s="19">
        <v>0.34389999999999998</v>
      </c>
      <c r="D1397" s="19">
        <v>86.40849</v>
      </c>
      <c r="E1397" s="19">
        <v>20</v>
      </c>
      <c r="F1397" s="19">
        <v>80</v>
      </c>
      <c r="G1397" s="19">
        <v>1</v>
      </c>
      <c r="H1397" s="16">
        <v>5</v>
      </c>
    </row>
    <row r="1398" spans="1:8" x14ac:dyDescent="0.15">
      <c r="A1398" s="19">
        <v>250.01940999999999</v>
      </c>
      <c r="B1398" s="19">
        <v>678.5</v>
      </c>
      <c r="C1398" s="19">
        <v>0.34543000000000001</v>
      </c>
      <c r="D1398" s="19">
        <v>86.536600000000007</v>
      </c>
      <c r="E1398" s="19">
        <v>20</v>
      </c>
      <c r="F1398" s="19">
        <v>80</v>
      </c>
      <c r="G1398" s="19">
        <v>1</v>
      </c>
      <c r="H1398" s="16">
        <v>5</v>
      </c>
    </row>
    <row r="1399" spans="1:8" x14ac:dyDescent="0.15">
      <c r="A1399" s="19">
        <v>250.01823999999999</v>
      </c>
      <c r="B1399" s="19">
        <v>679</v>
      </c>
      <c r="C1399" s="19">
        <v>0.34322000000000003</v>
      </c>
      <c r="D1399" s="19">
        <v>86.432990000000004</v>
      </c>
      <c r="E1399" s="19">
        <v>20</v>
      </c>
      <c r="F1399" s="19">
        <v>80</v>
      </c>
      <c r="G1399" s="19">
        <v>1</v>
      </c>
      <c r="H1399" s="16">
        <v>5</v>
      </c>
    </row>
    <row r="1400" spans="1:8" x14ac:dyDescent="0.15">
      <c r="A1400" s="19">
        <v>250.01938999999999</v>
      </c>
      <c r="B1400" s="19">
        <v>679.5</v>
      </c>
      <c r="C1400" s="19">
        <v>0.34298000000000001</v>
      </c>
      <c r="D1400" s="19">
        <v>86.521739999999994</v>
      </c>
      <c r="E1400" s="19">
        <v>20</v>
      </c>
      <c r="F1400" s="19">
        <v>80</v>
      </c>
      <c r="G1400" s="19">
        <v>1</v>
      </c>
      <c r="H1400" s="16">
        <v>5</v>
      </c>
    </row>
    <row r="1401" spans="1:8" x14ac:dyDescent="0.15">
      <c r="A1401" s="19">
        <v>250.02186</v>
      </c>
      <c r="B1401" s="19">
        <v>680</v>
      </c>
      <c r="C1401" s="19">
        <v>0.34439999999999998</v>
      </c>
      <c r="D1401" s="19">
        <v>86.568209999999993</v>
      </c>
      <c r="E1401" s="19">
        <v>20</v>
      </c>
      <c r="F1401" s="19">
        <v>80</v>
      </c>
      <c r="G1401" s="19">
        <v>1</v>
      </c>
      <c r="H1401" s="16">
        <v>5</v>
      </c>
    </row>
    <row r="1402" spans="1:8" x14ac:dyDescent="0.15">
      <c r="A1402" s="19">
        <v>250.02032</v>
      </c>
      <c r="B1402" s="19">
        <v>680.5</v>
      </c>
      <c r="C1402" s="19">
        <v>0.34417999999999999</v>
      </c>
      <c r="D1402" s="19">
        <v>86.571870000000004</v>
      </c>
      <c r="E1402" s="19">
        <v>20</v>
      </c>
      <c r="F1402" s="19">
        <v>80</v>
      </c>
      <c r="G1402" s="19">
        <v>1</v>
      </c>
      <c r="H1402" s="16">
        <v>5</v>
      </c>
    </row>
    <row r="1403" spans="1:8" x14ac:dyDescent="0.15">
      <c r="A1403" s="19">
        <v>250.01912999999999</v>
      </c>
      <c r="B1403" s="19">
        <v>681</v>
      </c>
      <c r="C1403" s="19">
        <v>0.34470000000000001</v>
      </c>
      <c r="D1403" s="19">
        <v>86.54477</v>
      </c>
      <c r="E1403" s="19">
        <v>20</v>
      </c>
      <c r="F1403" s="19">
        <v>80</v>
      </c>
      <c r="G1403" s="19">
        <v>1</v>
      </c>
      <c r="H1403" s="16">
        <v>5</v>
      </c>
    </row>
    <row r="1404" spans="1:8" x14ac:dyDescent="0.15">
      <c r="A1404" s="19">
        <v>250.02017000000001</v>
      </c>
      <c r="B1404" s="19">
        <v>681.5</v>
      </c>
      <c r="C1404" s="19">
        <v>0.34451999999999999</v>
      </c>
      <c r="D1404" s="19">
        <v>86.526390000000006</v>
      </c>
      <c r="E1404" s="19">
        <v>20</v>
      </c>
      <c r="F1404" s="19">
        <v>80</v>
      </c>
      <c r="G1404" s="19">
        <v>1</v>
      </c>
      <c r="H1404" s="16">
        <v>5</v>
      </c>
    </row>
    <row r="1405" spans="1:8" x14ac:dyDescent="0.15">
      <c r="A1405" s="19">
        <v>250.02477999999999</v>
      </c>
      <c r="B1405" s="19">
        <v>682</v>
      </c>
      <c r="C1405" s="19">
        <v>0.34395999999999999</v>
      </c>
      <c r="D1405" s="19">
        <v>86.446470000000005</v>
      </c>
      <c r="E1405" s="19">
        <v>20</v>
      </c>
      <c r="F1405" s="19">
        <v>80</v>
      </c>
      <c r="G1405" s="19">
        <v>1</v>
      </c>
      <c r="H1405" s="16">
        <v>5</v>
      </c>
    </row>
    <row r="1406" spans="1:8" x14ac:dyDescent="0.15">
      <c r="A1406" s="19">
        <v>250.02167</v>
      </c>
      <c r="B1406" s="19">
        <v>682.5</v>
      </c>
      <c r="C1406" s="19">
        <v>0.34393000000000001</v>
      </c>
      <c r="D1406" s="19">
        <v>86.406170000000003</v>
      </c>
      <c r="E1406" s="19">
        <v>20</v>
      </c>
      <c r="F1406" s="19">
        <v>80</v>
      </c>
      <c r="G1406" s="19">
        <v>1</v>
      </c>
      <c r="H1406" s="16">
        <v>5</v>
      </c>
    </row>
    <row r="1407" spans="1:8" x14ac:dyDescent="0.15">
      <c r="A1407" s="19">
        <v>250.01714000000001</v>
      </c>
      <c r="B1407" s="19">
        <v>683</v>
      </c>
      <c r="C1407" s="19">
        <v>0.34442</v>
      </c>
      <c r="D1407" s="19">
        <v>86.502409999999998</v>
      </c>
      <c r="E1407" s="19">
        <v>20</v>
      </c>
      <c r="F1407" s="19">
        <v>80</v>
      </c>
      <c r="G1407" s="19">
        <v>1</v>
      </c>
      <c r="H1407" s="16">
        <v>5</v>
      </c>
    </row>
    <row r="1408" spans="1:8" x14ac:dyDescent="0.15">
      <c r="A1408" s="19">
        <v>250.01763</v>
      </c>
      <c r="B1408" s="19">
        <v>683.5</v>
      </c>
      <c r="C1408" s="19">
        <v>0.34282000000000001</v>
      </c>
      <c r="D1408" s="19">
        <v>86.379360000000005</v>
      </c>
      <c r="E1408" s="19">
        <v>20</v>
      </c>
      <c r="F1408" s="19">
        <v>80</v>
      </c>
      <c r="G1408" s="19">
        <v>1</v>
      </c>
      <c r="H1408" s="16">
        <v>5</v>
      </c>
    </row>
    <row r="1409" spans="1:8" x14ac:dyDescent="0.15">
      <c r="A1409" s="19">
        <v>250.01806999999999</v>
      </c>
      <c r="B1409" s="19">
        <v>684</v>
      </c>
      <c r="C1409" s="19">
        <v>0.34311999999999998</v>
      </c>
      <c r="D1409" s="19">
        <v>86.417069999999995</v>
      </c>
      <c r="E1409" s="19">
        <v>20</v>
      </c>
      <c r="F1409" s="19">
        <v>80</v>
      </c>
      <c r="G1409" s="19">
        <v>1</v>
      </c>
      <c r="H1409" s="16">
        <v>5</v>
      </c>
    </row>
    <row r="1410" spans="1:8" x14ac:dyDescent="0.15">
      <c r="A1410" s="19">
        <v>250.01609999999999</v>
      </c>
      <c r="B1410" s="19">
        <v>684.5</v>
      </c>
      <c r="C1410" s="19">
        <v>0.34345999999999999</v>
      </c>
      <c r="D1410" s="19">
        <v>86.435820000000007</v>
      </c>
      <c r="E1410" s="19">
        <v>20</v>
      </c>
      <c r="F1410" s="19">
        <v>80</v>
      </c>
      <c r="G1410" s="19">
        <v>1</v>
      </c>
      <c r="H1410" s="16">
        <v>5</v>
      </c>
    </row>
    <row r="1411" spans="1:8" x14ac:dyDescent="0.15">
      <c r="A1411" s="19">
        <v>250.01228</v>
      </c>
      <c r="B1411" s="19">
        <v>685</v>
      </c>
      <c r="C1411" s="19">
        <v>0.34461000000000003</v>
      </c>
      <c r="D1411" s="19">
        <v>86.328850000000003</v>
      </c>
      <c r="E1411" s="19">
        <v>20</v>
      </c>
      <c r="F1411" s="19">
        <v>80</v>
      </c>
      <c r="G1411" s="19">
        <v>1</v>
      </c>
      <c r="H1411" s="16">
        <v>5</v>
      </c>
    </row>
    <row r="1412" spans="1:8" x14ac:dyDescent="0.15">
      <c r="A1412" s="19">
        <v>250.01163</v>
      </c>
      <c r="B1412" s="19">
        <v>685.5</v>
      </c>
      <c r="C1412" s="19">
        <v>0.34419</v>
      </c>
      <c r="D1412" s="19">
        <v>86.408770000000004</v>
      </c>
      <c r="E1412" s="19">
        <v>20</v>
      </c>
      <c r="F1412" s="19">
        <v>80</v>
      </c>
      <c r="G1412" s="19">
        <v>1</v>
      </c>
      <c r="H1412" s="16">
        <v>5</v>
      </c>
    </row>
    <row r="1413" spans="1:8" x14ac:dyDescent="0.15">
      <c r="A1413" s="19">
        <v>250.01313999999999</v>
      </c>
      <c r="B1413" s="19">
        <v>686</v>
      </c>
      <c r="C1413" s="19">
        <v>0.34323999999999999</v>
      </c>
      <c r="D1413" s="19">
        <v>86.375919999999994</v>
      </c>
      <c r="E1413" s="19">
        <v>20</v>
      </c>
      <c r="F1413" s="19">
        <v>80</v>
      </c>
      <c r="G1413" s="19">
        <v>1</v>
      </c>
      <c r="H1413" s="16">
        <v>5</v>
      </c>
    </row>
    <row r="1414" spans="1:8" x14ac:dyDescent="0.15">
      <c r="A1414" s="19">
        <v>250.01355000000001</v>
      </c>
      <c r="B1414" s="19">
        <v>686.5</v>
      </c>
      <c r="C1414" s="19">
        <v>0.34504000000000001</v>
      </c>
      <c r="D1414" s="19">
        <v>86.377430000000004</v>
      </c>
      <c r="E1414" s="19">
        <v>20</v>
      </c>
      <c r="F1414" s="19">
        <v>80</v>
      </c>
      <c r="G1414" s="19">
        <v>1</v>
      </c>
      <c r="H1414" s="16">
        <v>5</v>
      </c>
    </row>
    <row r="1415" spans="1:8" x14ac:dyDescent="0.15">
      <c r="A1415" s="19">
        <v>250.01840000000001</v>
      </c>
      <c r="B1415" s="19">
        <v>687</v>
      </c>
      <c r="C1415" s="19">
        <v>0.34436</v>
      </c>
      <c r="D1415" s="19">
        <v>86.367599999999996</v>
      </c>
      <c r="E1415" s="19">
        <v>20</v>
      </c>
      <c r="F1415" s="19">
        <v>80</v>
      </c>
      <c r="G1415" s="19">
        <v>1</v>
      </c>
      <c r="H1415" s="16">
        <v>5</v>
      </c>
    </row>
    <row r="1416" spans="1:8" x14ac:dyDescent="0.15">
      <c r="A1416" s="19">
        <v>250.01876999999999</v>
      </c>
      <c r="B1416" s="19">
        <v>687.5</v>
      </c>
      <c r="C1416" s="19">
        <v>0.34394000000000002</v>
      </c>
      <c r="D1416" s="19">
        <v>86.330680000000001</v>
      </c>
      <c r="E1416" s="19">
        <v>20</v>
      </c>
      <c r="F1416" s="19">
        <v>80</v>
      </c>
      <c r="G1416" s="19">
        <v>1</v>
      </c>
      <c r="H1416" s="16">
        <v>5</v>
      </c>
    </row>
    <row r="1417" spans="1:8" x14ac:dyDescent="0.15">
      <c r="A1417" s="19">
        <v>250.02081000000001</v>
      </c>
      <c r="B1417" s="19">
        <v>688</v>
      </c>
      <c r="C1417" s="19">
        <v>0.34294000000000002</v>
      </c>
      <c r="D1417" s="19">
        <v>86.362880000000004</v>
      </c>
      <c r="E1417" s="19">
        <v>20</v>
      </c>
      <c r="F1417" s="19">
        <v>80</v>
      </c>
      <c r="G1417" s="19">
        <v>1</v>
      </c>
      <c r="H1417" s="16">
        <v>5</v>
      </c>
    </row>
    <row r="1418" spans="1:8" x14ac:dyDescent="0.15">
      <c r="A1418" s="19">
        <v>250.01589000000001</v>
      </c>
      <c r="B1418" s="19">
        <v>688.5</v>
      </c>
      <c r="C1418" s="19">
        <v>0.34227999999999997</v>
      </c>
      <c r="D1418" s="19">
        <v>86.314070000000001</v>
      </c>
      <c r="E1418" s="19">
        <v>20</v>
      </c>
      <c r="F1418" s="19">
        <v>80</v>
      </c>
      <c r="G1418" s="19">
        <v>1</v>
      </c>
      <c r="H1418" s="16">
        <v>5</v>
      </c>
    </row>
    <row r="1419" spans="1:8" x14ac:dyDescent="0.15">
      <c r="A1419" s="19">
        <v>250.01197999999999</v>
      </c>
      <c r="B1419" s="19">
        <v>689</v>
      </c>
      <c r="C1419" s="19">
        <v>0.34329999999999999</v>
      </c>
      <c r="D1419" s="19">
        <v>86.313140000000004</v>
      </c>
      <c r="E1419" s="19">
        <v>20</v>
      </c>
      <c r="F1419" s="19">
        <v>80</v>
      </c>
      <c r="G1419" s="19">
        <v>1</v>
      </c>
      <c r="H1419" s="16">
        <v>5</v>
      </c>
    </row>
    <row r="1420" spans="1:8" x14ac:dyDescent="0.15">
      <c r="A1420" s="19">
        <v>250.01147</v>
      </c>
      <c r="B1420" s="19">
        <v>689.5</v>
      </c>
      <c r="C1420" s="19">
        <v>0.34409000000000001</v>
      </c>
      <c r="D1420" s="19">
        <v>86.362300000000005</v>
      </c>
      <c r="E1420" s="19">
        <v>20</v>
      </c>
      <c r="F1420" s="19">
        <v>80</v>
      </c>
      <c r="G1420" s="19">
        <v>1</v>
      </c>
      <c r="H1420" s="16">
        <v>5</v>
      </c>
    </row>
  </sheetData>
  <pageMargins left="0.7" right="0.7" top="0.75" bottom="0.75" header="0.3" footer="0.3"/>
  <pageSetup paperSize="9" orientation="portrait" horizontalDpi="0" verticalDpi="0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Data</vt:lpstr>
      <vt:lpstr>Graphing</vt:lpstr>
      <vt:lpstr>200C (Odin)</vt:lpstr>
      <vt:lpstr>225C (Sif)</vt:lpstr>
      <vt:lpstr>225C (Odin)</vt:lpstr>
      <vt:lpstr>250C (Sif)</vt:lpstr>
      <vt:lpstr>250C (Odin)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KT-CH-STA1/labuser</dc:creator>
  <cp:lastModifiedBy>Cornelius Hedegaard Reetz</cp:lastModifiedBy>
  <dcterms:created xsi:type="dcterms:W3CDTF">2025-11-13T13:49:08Z</dcterms:created>
  <dcterms:modified xsi:type="dcterms:W3CDTF">2025-11-19T10:35:48Z</dcterms:modified>
</cp:coreProperties>
</file>